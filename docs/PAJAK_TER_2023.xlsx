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yroll\docs\"/>
    </mc:Choice>
  </mc:AlternateContent>
  <xr:revisionPtr revIDLastSave="0" documentId="13_ncr:1_{6F489149-5705-48E7-BE45-481A28C1DC0F}" xr6:coauthVersionLast="47" xr6:coauthVersionMax="47" xr10:uidLastSave="{00000000-0000-0000-0000-000000000000}"/>
  <bookViews>
    <workbookView xWindow="-120" yWindow="-120" windowWidth="29040" windowHeight="15720" xr2:uid="{D52B5FBC-FFED-4586-91C6-449583DB9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6" i="1" l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126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D45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<sst xmlns="http://schemas.openxmlformats.org/spreadsheetml/2006/main" count="133" uniqueCount="11">
  <si>
    <t>KATEGORI</t>
  </si>
  <si>
    <t>TARIF</t>
  </si>
  <si>
    <t>KATEGORI A</t>
  </si>
  <si>
    <t>KATEGORI B</t>
  </si>
  <si>
    <t>KATEGORI C</t>
  </si>
  <si>
    <t>PENGHASILAN BRUTO MIN</t>
  </si>
  <si>
    <t>PENGHASILAN BRUTO MAX</t>
  </si>
  <si>
    <t>ACCEPT COMPOSITION</t>
  </si>
  <si>
    <t>"TK/0", "TK/1", "K/0"</t>
  </si>
  <si>
    <t>"TK/2", "TK/3", "K/1", "K/2"</t>
  </si>
  <si>
    <t>"K/3"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</si>
</sst>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delle Sans Devanagari Regular"/>
    </font>
    <font>
      <sz val="12"/>
      <color theme="1"/>
      <name val="Adelle Sans Devanagari Regula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3" fillId="2" borderId="1" xfId="2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/>
    </xf>
    <xf numFmtId="0" fontId="4" fillId="0" borderId="1" xfId="2" applyFont="1" applyBorder="1"/>
    <xf numFmtId="165" fontId="4" fillId="0" borderId="1" xfId="3" applyNumberFormat="1" applyFont="1" applyBorder="1"/>
    <xf numFmtId="10" fontId="4" fillId="0" borderId="1" xfId="1" applyNumberFormat="1" applyFont="1" applyBorder="1"/>
    <xf numFmtId="165" fontId="4" fillId="0" borderId="1" xfId="3" applyNumberFormat="1" applyFont="1" applyBorder="1" applyAlignment="1"/>
    <xf numFmtId="165" fontId="4" fillId="0" borderId="1" xfId="3" applyNumberFormat="1" applyFont="1" applyBorder="1" applyAlignment="1">
      <alignment horizontal="centerContinuous"/>
    </xf>
    <xf numFmtId="0" fontId="3" fillId="2" borderId="1" xfId="2" applyFont="1" applyFill="1" applyBorder="1" applyAlignment="1"/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9" fontId="4" fillId="0" borderId="1" xfId="1" applyFont="1" applyBorder="1"/>
  </cellXfs>
  <cellStyles count="4">
    <cellStyle name="Comma 3" xfId="3" xr:uid="{7F1C82D5-A266-4264-814C-04DEBF0D106D}"/>
    <cellStyle name="Normal" xfId="0" builtinId="0"/>
    <cellStyle name="Normal 3" xfId="2" xr:uid="{F745B291-7FF8-4D0F-970C-BA56F01BDE8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5A42-181C-4B49-9C9A-701BE624BD14}">
  <dimension ref="A1:F126"/>
  <sheetViews>
    <sheetView tabSelected="1" workbookViewId="0">
      <selection activeCell="F3" activeCellId="1" sqref="C3:D3 F3"/>
    </sheetView>
  </sheetViews>
  <sheetFormatPr defaultRowHeight="15"/>
  <cols>
    <col min="1" max="1" width="15.140625" bestFit="1" customWidth="1"/>
    <col min="2" max="2" width="28.140625" bestFit="1" customWidth="1"/>
    <col min="3" max="3" width="32.28515625" bestFit="1" customWidth="1"/>
    <col min="4" max="4" width="33.140625" bestFit="1" customWidth="1"/>
    <col min="5" max="5" width="9" bestFit="1" customWidth="1"/>
    <col min="6" max="6" width="10.5703125" bestFit="1" customWidth="1"/>
  </cols>
  <sheetData>
    <row r="1" spans="1:6" ht="15.75">
      <c r="A1" s="1" t="s">
        <v>0</v>
      </c>
      <c r="B1" s="1" t="s">
        <v>7</v>
      </c>
      <c r="C1" s="8" t="s">
        <v>5</v>
      </c>
      <c r="D1" s="8" t="s">
        <v>6</v>
      </c>
      <c r="E1" s="2" t="s">
        <v>1</v>
      </c>
    </row>
    <row r="2" spans="1:6" ht="15.75">
      <c r="A2" s="9" t="s">
        <v>2</v>
      </c>
      <c r="B2" s="3" t="s">
        <v>8</v>
      </c>
      <c r="C2" s="4">
        <v>0</v>
      </c>
      <c r="D2" s="4">
        <v>5400000</v>
      </c>
      <c r="E2" s="12">
        <v>0</v>
      </c>
      <c r="F2">
        <f>E2/100</f>
        <v>0</v>
      </c>
    </row>
    <row r="3" spans="1:6" ht="15.75">
      <c r="A3" s="10"/>
      <c r="B3" s="3" t="s">
        <v>8</v>
      </c>
      <c r="C3" s="4">
        <f>D2+0.00001</f>
        <v>5400000.0000099996</v>
      </c>
      <c r="D3" s="4">
        <v>5650000</v>
      </c>
      <c r="E3" s="5">
        <v>2.5000000000000001E-3</v>
      </c>
      <c r="F3">
        <f>E3/100</f>
        <v>2.5000000000000001E-5</v>
      </c>
    </row>
    <row r="4" spans="1:6" ht="15.75">
      <c r="A4" s="10"/>
      <c r="B4" s="3" t="s">
        <v>8</v>
      </c>
      <c r="C4" s="4">
        <f t="shared" ref="C4:C45" si="0">D3+0.00001</f>
        <v>5650000.0000099996</v>
      </c>
      <c r="D4" s="4">
        <v>5950000</v>
      </c>
      <c r="E4" s="5">
        <v>5.0000000000000001E-3</v>
      </c>
      <c r="F4">
        <f t="shared" ref="F4:F67" si="1">E4/100</f>
        <v>5.0000000000000002E-5</v>
      </c>
    </row>
    <row r="5" spans="1:6" ht="15.75">
      <c r="A5" s="10"/>
      <c r="B5" s="3" t="s">
        <v>8</v>
      </c>
      <c r="C5" s="4">
        <f t="shared" si="0"/>
        <v>5950000.0000099996</v>
      </c>
      <c r="D5" s="4">
        <v>6300000</v>
      </c>
      <c r="E5" s="5">
        <v>7.4999999999999997E-3</v>
      </c>
      <c r="F5">
        <f t="shared" si="1"/>
        <v>7.4999999999999993E-5</v>
      </c>
    </row>
    <row r="6" spans="1:6" ht="15.75">
      <c r="A6" s="10"/>
      <c r="B6" s="3" t="s">
        <v>8</v>
      </c>
      <c r="C6" s="4">
        <f t="shared" si="0"/>
        <v>6300000.0000099996</v>
      </c>
      <c r="D6" s="4">
        <v>6750000</v>
      </c>
      <c r="E6" s="5">
        <v>0.01</v>
      </c>
      <c r="F6">
        <f t="shared" si="1"/>
        <v>1E-4</v>
      </c>
    </row>
    <row r="7" spans="1:6" ht="15.75">
      <c r="A7" s="10"/>
      <c r="B7" s="3" t="s">
        <v>8</v>
      </c>
      <c r="C7" s="4">
        <f t="shared" si="0"/>
        <v>6750000.0000099996</v>
      </c>
      <c r="D7" s="4">
        <v>7500000</v>
      </c>
      <c r="E7" s="5">
        <v>1.2500000000000001E-2</v>
      </c>
      <c r="F7">
        <f t="shared" si="1"/>
        <v>1.25E-4</v>
      </c>
    </row>
    <row r="8" spans="1:6" ht="15.75">
      <c r="A8" s="10"/>
      <c r="B8" s="3" t="s">
        <v>8</v>
      </c>
      <c r="C8" s="4">
        <f t="shared" si="0"/>
        <v>7500000.0000099996</v>
      </c>
      <c r="D8" s="4">
        <v>8550000</v>
      </c>
      <c r="E8" s="5">
        <v>1.4999999999999999E-2</v>
      </c>
      <c r="F8">
        <f t="shared" si="1"/>
        <v>1.4999999999999999E-4</v>
      </c>
    </row>
    <row r="9" spans="1:6" ht="15.75">
      <c r="A9" s="10"/>
      <c r="B9" s="3" t="s">
        <v>8</v>
      </c>
      <c r="C9" s="4">
        <f t="shared" si="0"/>
        <v>8550000.0000100005</v>
      </c>
      <c r="D9" s="4">
        <v>9650000</v>
      </c>
      <c r="E9" s="5">
        <v>1.7500000000000002E-2</v>
      </c>
      <c r="F9">
        <f t="shared" si="1"/>
        <v>1.7500000000000003E-4</v>
      </c>
    </row>
    <row r="10" spans="1:6" ht="15.75">
      <c r="A10" s="10"/>
      <c r="B10" s="3" t="s">
        <v>8</v>
      </c>
      <c r="C10" s="4">
        <f t="shared" si="0"/>
        <v>9650000.0000100005</v>
      </c>
      <c r="D10" s="4">
        <v>10050000</v>
      </c>
      <c r="E10" s="5">
        <v>0.02</v>
      </c>
      <c r="F10">
        <f t="shared" si="1"/>
        <v>2.0000000000000001E-4</v>
      </c>
    </row>
    <row r="11" spans="1:6" ht="15.75">
      <c r="A11" s="10"/>
      <c r="B11" s="3" t="s">
        <v>8</v>
      </c>
      <c r="C11" s="4">
        <f t="shared" si="0"/>
        <v>10050000.000010001</v>
      </c>
      <c r="D11" s="4">
        <v>10350000</v>
      </c>
      <c r="E11" s="5">
        <v>2.2499999999999999E-2</v>
      </c>
      <c r="F11">
        <f t="shared" si="1"/>
        <v>2.2499999999999999E-4</v>
      </c>
    </row>
    <row r="12" spans="1:6" ht="15.75">
      <c r="A12" s="10"/>
      <c r="B12" s="3" t="s">
        <v>8</v>
      </c>
      <c r="C12" s="4">
        <f t="shared" si="0"/>
        <v>10350000.000010001</v>
      </c>
      <c r="D12" s="4">
        <v>10700000</v>
      </c>
      <c r="E12" s="5">
        <v>2.5000000000000001E-2</v>
      </c>
      <c r="F12">
        <f t="shared" si="1"/>
        <v>2.5000000000000001E-4</v>
      </c>
    </row>
    <row r="13" spans="1:6" ht="15.75">
      <c r="A13" s="10"/>
      <c r="B13" s="3" t="s">
        <v>8</v>
      </c>
      <c r="C13" s="4">
        <f t="shared" si="0"/>
        <v>10700000.000010001</v>
      </c>
      <c r="D13" s="4">
        <v>11050000</v>
      </c>
      <c r="E13" s="5">
        <v>0.03</v>
      </c>
      <c r="F13">
        <f t="shared" si="1"/>
        <v>2.9999999999999997E-4</v>
      </c>
    </row>
    <row r="14" spans="1:6" ht="15.75">
      <c r="A14" s="10"/>
      <c r="B14" s="3" t="s">
        <v>8</v>
      </c>
      <c r="C14" s="4">
        <f t="shared" si="0"/>
        <v>11050000.000010001</v>
      </c>
      <c r="D14" s="4">
        <v>11600000</v>
      </c>
      <c r="E14" s="5">
        <v>3.5000000000000003E-2</v>
      </c>
      <c r="F14">
        <f t="shared" si="1"/>
        <v>3.5000000000000005E-4</v>
      </c>
    </row>
    <row r="15" spans="1:6" ht="15.75">
      <c r="A15" s="10"/>
      <c r="B15" s="3" t="s">
        <v>8</v>
      </c>
      <c r="C15" s="4">
        <f t="shared" si="0"/>
        <v>11600000.000010001</v>
      </c>
      <c r="D15" s="4">
        <v>12500000</v>
      </c>
      <c r="E15" s="5">
        <v>0.04</v>
      </c>
      <c r="F15">
        <f t="shared" si="1"/>
        <v>4.0000000000000002E-4</v>
      </c>
    </row>
    <row r="16" spans="1:6" ht="15.75">
      <c r="A16" s="10"/>
      <c r="B16" s="3" t="s">
        <v>8</v>
      </c>
      <c r="C16" s="4">
        <f t="shared" si="0"/>
        <v>12500000.000010001</v>
      </c>
      <c r="D16" s="4">
        <v>13750000</v>
      </c>
      <c r="E16" s="5">
        <v>0.05</v>
      </c>
      <c r="F16">
        <f t="shared" si="1"/>
        <v>5.0000000000000001E-4</v>
      </c>
    </row>
    <row r="17" spans="1:6" ht="15.75">
      <c r="A17" s="10"/>
      <c r="B17" s="3" t="s">
        <v>8</v>
      </c>
      <c r="C17" s="4">
        <f t="shared" si="0"/>
        <v>13750000.000010001</v>
      </c>
      <c r="D17" s="4">
        <v>15100000</v>
      </c>
      <c r="E17" s="5">
        <v>0.06</v>
      </c>
      <c r="F17">
        <f t="shared" si="1"/>
        <v>5.9999999999999995E-4</v>
      </c>
    </row>
    <row r="18" spans="1:6" ht="15.75">
      <c r="A18" s="10"/>
      <c r="B18" s="3" t="s">
        <v>8</v>
      </c>
      <c r="C18" s="4">
        <f t="shared" si="0"/>
        <v>15100000.000010001</v>
      </c>
      <c r="D18" s="4">
        <v>16950000</v>
      </c>
      <c r="E18" s="5">
        <v>7.0000000000000007E-2</v>
      </c>
      <c r="F18">
        <f t="shared" si="1"/>
        <v>7.000000000000001E-4</v>
      </c>
    </row>
    <row r="19" spans="1:6" ht="15.75">
      <c r="A19" s="10"/>
      <c r="B19" s="3" t="s">
        <v>8</v>
      </c>
      <c r="C19" s="4">
        <f t="shared" si="0"/>
        <v>16950000.000009999</v>
      </c>
      <c r="D19" s="4">
        <v>19750000</v>
      </c>
      <c r="E19" s="5">
        <v>0.08</v>
      </c>
      <c r="F19">
        <f t="shared" si="1"/>
        <v>8.0000000000000004E-4</v>
      </c>
    </row>
    <row r="20" spans="1:6" ht="15.75">
      <c r="A20" s="10"/>
      <c r="B20" s="3" t="s">
        <v>8</v>
      </c>
      <c r="C20" s="4">
        <f t="shared" si="0"/>
        <v>19750000.000009999</v>
      </c>
      <c r="D20" s="4">
        <v>24150000</v>
      </c>
      <c r="E20" s="5">
        <v>0.09</v>
      </c>
      <c r="F20">
        <f t="shared" si="1"/>
        <v>8.9999999999999998E-4</v>
      </c>
    </row>
    <row r="21" spans="1:6" ht="15.75">
      <c r="A21" s="10"/>
      <c r="B21" s="3" t="s">
        <v>8</v>
      </c>
      <c r="C21" s="4">
        <f t="shared" si="0"/>
        <v>24150000.000009999</v>
      </c>
      <c r="D21" s="4">
        <v>26450000</v>
      </c>
      <c r="E21" s="5">
        <v>0.1</v>
      </c>
      <c r="F21">
        <f t="shared" si="1"/>
        <v>1E-3</v>
      </c>
    </row>
    <row r="22" spans="1:6" ht="15.75">
      <c r="A22" s="10"/>
      <c r="B22" s="3" t="s">
        <v>8</v>
      </c>
      <c r="C22" s="4">
        <f t="shared" si="0"/>
        <v>26450000.000009999</v>
      </c>
      <c r="D22" s="4">
        <v>28000000</v>
      </c>
      <c r="E22" s="5">
        <v>0.11</v>
      </c>
      <c r="F22">
        <f t="shared" si="1"/>
        <v>1.1000000000000001E-3</v>
      </c>
    </row>
    <row r="23" spans="1:6" ht="15.75">
      <c r="A23" s="10"/>
      <c r="B23" s="3" t="s">
        <v>8</v>
      </c>
      <c r="C23" s="4">
        <f t="shared" si="0"/>
        <v>28000000.000009999</v>
      </c>
      <c r="D23" s="4">
        <v>30050000</v>
      </c>
      <c r="E23" s="5">
        <v>0.12</v>
      </c>
      <c r="F23">
        <f t="shared" si="1"/>
        <v>1.1999999999999999E-3</v>
      </c>
    </row>
    <row r="24" spans="1:6" ht="15.75">
      <c r="A24" s="10"/>
      <c r="B24" s="3" t="s">
        <v>8</v>
      </c>
      <c r="C24" s="4">
        <f t="shared" si="0"/>
        <v>30050000.000009999</v>
      </c>
      <c r="D24" s="4">
        <v>32400000</v>
      </c>
      <c r="E24" s="5">
        <v>0.13</v>
      </c>
      <c r="F24">
        <f t="shared" si="1"/>
        <v>1.2999999999999999E-3</v>
      </c>
    </row>
    <row r="25" spans="1:6" ht="15.75">
      <c r="A25" s="10"/>
      <c r="B25" s="3" t="s">
        <v>8</v>
      </c>
      <c r="C25" s="4">
        <f t="shared" si="0"/>
        <v>32400000.000009999</v>
      </c>
      <c r="D25" s="4">
        <v>35400000</v>
      </c>
      <c r="E25" s="5">
        <v>0.14000000000000001</v>
      </c>
      <c r="F25">
        <f t="shared" si="1"/>
        <v>1.4000000000000002E-3</v>
      </c>
    </row>
    <row r="26" spans="1:6" ht="15.75">
      <c r="A26" s="10"/>
      <c r="B26" s="3" t="s">
        <v>8</v>
      </c>
      <c r="C26" s="4">
        <f t="shared" si="0"/>
        <v>35400000.000009999</v>
      </c>
      <c r="D26" s="4">
        <v>39100000</v>
      </c>
      <c r="E26" s="5">
        <v>0.15</v>
      </c>
      <c r="F26">
        <f t="shared" si="1"/>
        <v>1.5E-3</v>
      </c>
    </row>
    <row r="27" spans="1:6" ht="15.75">
      <c r="A27" s="10"/>
      <c r="B27" s="3" t="s">
        <v>8</v>
      </c>
      <c r="C27" s="4">
        <f t="shared" si="0"/>
        <v>39100000.000009999</v>
      </c>
      <c r="D27" s="4">
        <v>43850000</v>
      </c>
      <c r="E27" s="5">
        <v>0.16</v>
      </c>
      <c r="F27">
        <f t="shared" si="1"/>
        <v>1.6000000000000001E-3</v>
      </c>
    </row>
    <row r="28" spans="1:6" ht="15.75">
      <c r="A28" s="10"/>
      <c r="B28" s="3" t="s">
        <v>8</v>
      </c>
      <c r="C28" s="4">
        <f t="shared" si="0"/>
        <v>43850000.000009999</v>
      </c>
      <c r="D28" s="4">
        <v>47800000</v>
      </c>
      <c r="E28" s="5">
        <v>0.17</v>
      </c>
      <c r="F28">
        <f t="shared" si="1"/>
        <v>1.7000000000000001E-3</v>
      </c>
    </row>
    <row r="29" spans="1:6" ht="15.75">
      <c r="A29" s="10"/>
      <c r="B29" s="3" t="s">
        <v>8</v>
      </c>
      <c r="C29" s="4">
        <f t="shared" si="0"/>
        <v>47800000.000009999</v>
      </c>
      <c r="D29" s="4">
        <v>51400000</v>
      </c>
      <c r="E29" s="5">
        <v>0.18</v>
      </c>
      <c r="F29">
        <f t="shared" si="1"/>
        <v>1.8E-3</v>
      </c>
    </row>
    <row r="30" spans="1:6" ht="15.75">
      <c r="A30" s="10"/>
      <c r="B30" s="3" t="s">
        <v>8</v>
      </c>
      <c r="C30" s="4">
        <f t="shared" si="0"/>
        <v>51400000.000009999</v>
      </c>
      <c r="D30" s="4">
        <v>56300000</v>
      </c>
      <c r="E30" s="5">
        <v>0.19</v>
      </c>
      <c r="F30">
        <f t="shared" si="1"/>
        <v>1.9E-3</v>
      </c>
    </row>
    <row r="31" spans="1:6" ht="15.75">
      <c r="A31" s="10"/>
      <c r="B31" s="3" t="s">
        <v>8</v>
      </c>
      <c r="C31" s="4">
        <f t="shared" si="0"/>
        <v>56300000.000009999</v>
      </c>
      <c r="D31" s="4">
        <v>62200000</v>
      </c>
      <c r="E31" s="5">
        <v>0.2</v>
      </c>
      <c r="F31">
        <f t="shared" si="1"/>
        <v>2E-3</v>
      </c>
    </row>
    <row r="32" spans="1:6" ht="15.75">
      <c r="A32" s="10"/>
      <c r="B32" s="3" t="s">
        <v>8</v>
      </c>
      <c r="C32" s="4">
        <f t="shared" si="0"/>
        <v>62200000.000009999</v>
      </c>
      <c r="D32" s="4">
        <v>68600000</v>
      </c>
      <c r="E32" s="5">
        <v>0.21</v>
      </c>
      <c r="F32">
        <f t="shared" si="1"/>
        <v>2.0999999999999999E-3</v>
      </c>
    </row>
    <row r="33" spans="1:6" ht="15.75">
      <c r="A33" s="10"/>
      <c r="B33" s="3" t="s">
        <v>8</v>
      </c>
      <c r="C33" s="4">
        <f t="shared" si="0"/>
        <v>68600000.000009999</v>
      </c>
      <c r="D33" s="4">
        <v>77500000</v>
      </c>
      <c r="E33" s="5">
        <v>0.22</v>
      </c>
      <c r="F33">
        <f t="shared" si="1"/>
        <v>2.2000000000000001E-3</v>
      </c>
    </row>
    <row r="34" spans="1:6" ht="15.75">
      <c r="A34" s="10"/>
      <c r="B34" s="3" t="s">
        <v>8</v>
      </c>
      <c r="C34" s="4">
        <f t="shared" si="0"/>
        <v>77500000.000009999</v>
      </c>
      <c r="D34" s="4">
        <v>89000000</v>
      </c>
      <c r="E34" s="5">
        <v>0.23</v>
      </c>
      <c r="F34">
        <f t="shared" si="1"/>
        <v>2.3E-3</v>
      </c>
    </row>
    <row r="35" spans="1:6" ht="15.75">
      <c r="A35" s="10"/>
      <c r="B35" s="3" t="s">
        <v>8</v>
      </c>
      <c r="C35" s="4">
        <f t="shared" si="0"/>
        <v>89000000.000009999</v>
      </c>
      <c r="D35" s="4">
        <v>103000000</v>
      </c>
      <c r="E35" s="5">
        <v>0.24</v>
      </c>
      <c r="F35">
        <f t="shared" si="1"/>
        <v>2.3999999999999998E-3</v>
      </c>
    </row>
    <row r="36" spans="1:6" ht="15.75">
      <c r="A36" s="10"/>
      <c r="B36" s="3" t="s">
        <v>8</v>
      </c>
      <c r="C36" s="4">
        <f t="shared" si="0"/>
        <v>103000000.00001</v>
      </c>
      <c r="D36" s="4">
        <v>125000000</v>
      </c>
      <c r="E36" s="5">
        <v>0.25</v>
      </c>
      <c r="F36">
        <f t="shared" si="1"/>
        <v>2.5000000000000001E-3</v>
      </c>
    </row>
    <row r="37" spans="1:6" ht="15.75">
      <c r="A37" s="10"/>
      <c r="B37" s="3" t="s">
        <v>8</v>
      </c>
      <c r="C37" s="4">
        <f t="shared" si="0"/>
        <v>125000000.00001</v>
      </c>
      <c r="D37" s="4">
        <v>157000000</v>
      </c>
      <c r="E37" s="5">
        <v>0.26</v>
      </c>
      <c r="F37">
        <f t="shared" si="1"/>
        <v>2.5999999999999999E-3</v>
      </c>
    </row>
    <row r="38" spans="1:6" ht="15.75">
      <c r="A38" s="10"/>
      <c r="B38" s="3" t="s">
        <v>8</v>
      </c>
      <c r="C38" s="4">
        <f t="shared" si="0"/>
        <v>157000000.00001001</v>
      </c>
      <c r="D38" s="4">
        <v>206000000</v>
      </c>
      <c r="E38" s="5">
        <v>0.27</v>
      </c>
      <c r="F38">
        <f t="shared" si="1"/>
        <v>2.7000000000000001E-3</v>
      </c>
    </row>
    <row r="39" spans="1:6" ht="15.75">
      <c r="A39" s="10"/>
      <c r="B39" s="3" t="s">
        <v>8</v>
      </c>
      <c r="C39" s="4">
        <f t="shared" si="0"/>
        <v>206000000.00001001</v>
      </c>
      <c r="D39" s="4">
        <v>337000000</v>
      </c>
      <c r="E39" s="5">
        <v>0.28000000000000003</v>
      </c>
      <c r="F39">
        <f t="shared" si="1"/>
        <v>2.8000000000000004E-3</v>
      </c>
    </row>
    <row r="40" spans="1:6" ht="15.75">
      <c r="A40" s="10"/>
      <c r="B40" s="3" t="s">
        <v>8</v>
      </c>
      <c r="C40" s="4">
        <f t="shared" si="0"/>
        <v>337000000.00001001</v>
      </c>
      <c r="D40" s="4">
        <v>454000000</v>
      </c>
      <c r="E40" s="5">
        <v>0.28999999999999998</v>
      </c>
      <c r="F40">
        <f t="shared" si="1"/>
        <v>2.8999999999999998E-3</v>
      </c>
    </row>
    <row r="41" spans="1:6" ht="15.75">
      <c r="A41" s="10"/>
      <c r="B41" s="3" t="s">
        <v>8</v>
      </c>
      <c r="C41" s="4">
        <f t="shared" si="0"/>
        <v>454000000.00001001</v>
      </c>
      <c r="D41" s="4">
        <v>550000000</v>
      </c>
      <c r="E41" s="5">
        <v>0.3</v>
      </c>
      <c r="F41">
        <f t="shared" si="1"/>
        <v>3.0000000000000001E-3</v>
      </c>
    </row>
    <row r="42" spans="1:6" ht="15.75">
      <c r="A42" s="10"/>
      <c r="B42" s="3" t="s">
        <v>8</v>
      </c>
      <c r="C42" s="4">
        <f t="shared" si="0"/>
        <v>550000000.00001001</v>
      </c>
      <c r="D42" s="4">
        <v>695000000</v>
      </c>
      <c r="E42" s="5">
        <v>0.31</v>
      </c>
      <c r="F42">
        <f t="shared" si="1"/>
        <v>3.0999999999999999E-3</v>
      </c>
    </row>
    <row r="43" spans="1:6" ht="15.75">
      <c r="A43" s="10"/>
      <c r="B43" s="3" t="s">
        <v>8</v>
      </c>
      <c r="C43" s="4">
        <f t="shared" si="0"/>
        <v>695000000.00001001</v>
      </c>
      <c r="D43" s="4">
        <v>910000000</v>
      </c>
      <c r="E43" s="5">
        <v>0.32</v>
      </c>
      <c r="F43">
        <f t="shared" si="1"/>
        <v>3.2000000000000002E-3</v>
      </c>
    </row>
    <row r="44" spans="1:6" ht="15.75">
      <c r="A44" s="10"/>
      <c r="B44" s="3" t="s">
        <v>8</v>
      </c>
      <c r="C44" s="4">
        <f t="shared" si="0"/>
        <v>910000000.00001001</v>
      </c>
      <c r="D44" s="4">
        <v>1400000000</v>
      </c>
      <c r="E44" s="5">
        <v>0.33</v>
      </c>
      <c r="F44">
        <f t="shared" si="1"/>
        <v>3.3E-3</v>
      </c>
    </row>
    <row r="45" spans="1:6" ht="15.75">
      <c r="A45" s="11"/>
      <c r="B45" s="3" t="s">
        <v>8</v>
      </c>
      <c r="C45" s="4">
        <f t="shared" si="0"/>
        <v>1400000000.00001</v>
      </c>
      <c r="D45" s="6">
        <f>D85</f>
        <v>999999999999999</v>
      </c>
      <c r="E45" s="5">
        <v>0.34</v>
      </c>
      <c r="F45">
        <f t="shared" si="1"/>
        <v>3.4000000000000002E-3</v>
      </c>
    </row>
    <row r="46" spans="1:6" ht="15.75">
      <c r="A46" s="9" t="s">
        <v>3</v>
      </c>
      <c r="B46" s="3" t="s">
        <v>9</v>
      </c>
      <c r="C46" s="4">
        <v>0</v>
      </c>
      <c r="D46" s="4">
        <v>6200000</v>
      </c>
      <c r="E46" s="5">
        <v>0</v>
      </c>
      <c r="F46">
        <f t="shared" si="1"/>
        <v>0</v>
      </c>
    </row>
    <row r="47" spans="1:6" ht="15.75">
      <c r="A47" s="10"/>
      <c r="B47" s="3" t="s">
        <v>9</v>
      </c>
      <c r="C47" s="4">
        <f>D46+0.0001</f>
        <v>6200000.0000999998</v>
      </c>
      <c r="D47" s="4">
        <v>6500000</v>
      </c>
      <c r="E47" s="5">
        <v>2.5000000000000001E-3</v>
      </c>
      <c r="F47">
        <f t="shared" si="1"/>
        <v>2.5000000000000001E-5</v>
      </c>
    </row>
    <row r="48" spans="1:6" ht="15.75">
      <c r="A48" s="10"/>
      <c r="B48" s="3" t="s">
        <v>9</v>
      </c>
      <c r="C48" s="4">
        <f t="shared" ref="C48:C85" si="2">D47+0.0001</f>
        <v>6500000.0000999998</v>
      </c>
      <c r="D48" s="4">
        <v>6850000</v>
      </c>
      <c r="E48" s="5">
        <v>5.0000000000000001E-3</v>
      </c>
      <c r="F48">
        <f t="shared" si="1"/>
        <v>5.0000000000000002E-5</v>
      </c>
    </row>
    <row r="49" spans="1:6" ht="15.75">
      <c r="A49" s="10"/>
      <c r="B49" s="3" t="s">
        <v>9</v>
      </c>
      <c r="C49" s="4">
        <f t="shared" si="2"/>
        <v>6850000.0000999998</v>
      </c>
      <c r="D49" s="4">
        <v>7300000</v>
      </c>
      <c r="E49" s="5">
        <v>7.4999999999999997E-3</v>
      </c>
      <c r="F49">
        <f t="shared" si="1"/>
        <v>7.4999999999999993E-5</v>
      </c>
    </row>
    <row r="50" spans="1:6" ht="15.75">
      <c r="A50" s="10"/>
      <c r="B50" s="3" t="s">
        <v>9</v>
      </c>
      <c r="C50" s="4">
        <f t="shared" si="2"/>
        <v>7300000.0000999998</v>
      </c>
      <c r="D50" s="4">
        <v>9200000</v>
      </c>
      <c r="E50" s="5">
        <v>0.01</v>
      </c>
      <c r="F50">
        <f t="shared" si="1"/>
        <v>1E-4</v>
      </c>
    </row>
    <row r="51" spans="1:6" ht="15.75">
      <c r="A51" s="10"/>
      <c r="B51" s="3" t="s">
        <v>9</v>
      </c>
      <c r="C51" s="4">
        <f t="shared" si="2"/>
        <v>9200000.0000999998</v>
      </c>
      <c r="D51" s="4">
        <v>10750000</v>
      </c>
      <c r="E51" s="5">
        <v>1.4999999999999999E-2</v>
      </c>
      <c r="F51">
        <f t="shared" si="1"/>
        <v>1.4999999999999999E-4</v>
      </c>
    </row>
    <row r="52" spans="1:6" ht="15.75">
      <c r="A52" s="10"/>
      <c r="B52" s="3" t="s">
        <v>9</v>
      </c>
      <c r="C52" s="4">
        <f t="shared" si="2"/>
        <v>10750000.0001</v>
      </c>
      <c r="D52" s="4">
        <v>11250000</v>
      </c>
      <c r="E52" s="5">
        <v>0.02</v>
      </c>
      <c r="F52">
        <f t="shared" si="1"/>
        <v>2.0000000000000001E-4</v>
      </c>
    </row>
    <row r="53" spans="1:6" ht="15.75">
      <c r="A53" s="10"/>
      <c r="B53" s="3" t="s">
        <v>9</v>
      </c>
      <c r="C53" s="4">
        <f t="shared" si="2"/>
        <v>11250000.0001</v>
      </c>
      <c r="D53" s="4">
        <v>11600000</v>
      </c>
      <c r="E53" s="5">
        <v>2.5000000000000001E-2</v>
      </c>
      <c r="F53">
        <f t="shared" si="1"/>
        <v>2.5000000000000001E-4</v>
      </c>
    </row>
    <row r="54" spans="1:6" ht="15.75">
      <c r="A54" s="10"/>
      <c r="B54" s="3" t="s">
        <v>9</v>
      </c>
      <c r="C54" s="4">
        <f t="shared" si="2"/>
        <v>11600000.0001</v>
      </c>
      <c r="D54" s="4">
        <v>12600000</v>
      </c>
      <c r="E54" s="5">
        <v>0.03</v>
      </c>
      <c r="F54">
        <f t="shared" si="1"/>
        <v>2.9999999999999997E-4</v>
      </c>
    </row>
    <row r="55" spans="1:6" ht="15.75">
      <c r="A55" s="10"/>
      <c r="B55" s="3" t="s">
        <v>9</v>
      </c>
      <c r="C55" s="4">
        <f t="shared" si="2"/>
        <v>12600000.0001</v>
      </c>
      <c r="D55" s="4">
        <v>13600000</v>
      </c>
      <c r="E55" s="5">
        <v>0.04</v>
      </c>
      <c r="F55">
        <f t="shared" si="1"/>
        <v>4.0000000000000002E-4</v>
      </c>
    </row>
    <row r="56" spans="1:6" ht="15.75">
      <c r="A56" s="10"/>
      <c r="B56" s="3" t="s">
        <v>9</v>
      </c>
      <c r="C56" s="4">
        <f t="shared" si="2"/>
        <v>13600000.0001</v>
      </c>
      <c r="D56" s="4">
        <v>14950000</v>
      </c>
      <c r="E56" s="5">
        <v>0.05</v>
      </c>
      <c r="F56">
        <f t="shared" si="1"/>
        <v>5.0000000000000001E-4</v>
      </c>
    </row>
    <row r="57" spans="1:6" ht="15.75">
      <c r="A57" s="10"/>
      <c r="B57" s="3" t="s">
        <v>9</v>
      </c>
      <c r="C57" s="4">
        <f t="shared" si="2"/>
        <v>14950000.0001</v>
      </c>
      <c r="D57" s="4">
        <v>16400000</v>
      </c>
      <c r="E57" s="5">
        <v>0.06</v>
      </c>
      <c r="F57">
        <f t="shared" si="1"/>
        <v>5.9999999999999995E-4</v>
      </c>
    </row>
    <row r="58" spans="1:6" ht="15.75">
      <c r="A58" s="10"/>
      <c r="B58" s="3" t="s">
        <v>9</v>
      </c>
      <c r="C58" s="4">
        <f t="shared" si="2"/>
        <v>16400000.0001</v>
      </c>
      <c r="D58" s="4">
        <v>18450000</v>
      </c>
      <c r="E58" s="5">
        <v>7.0000000000000007E-2</v>
      </c>
      <c r="F58">
        <f t="shared" si="1"/>
        <v>7.000000000000001E-4</v>
      </c>
    </row>
    <row r="59" spans="1:6" ht="15.75">
      <c r="A59" s="10"/>
      <c r="B59" s="3" t="s">
        <v>9</v>
      </c>
      <c r="C59" s="4">
        <f t="shared" si="2"/>
        <v>18450000.000100002</v>
      </c>
      <c r="D59" s="4">
        <v>21850000</v>
      </c>
      <c r="E59" s="5">
        <v>0.08</v>
      </c>
      <c r="F59">
        <f t="shared" si="1"/>
        <v>8.0000000000000004E-4</v>
      </c>
    </row>
    <row r="60" spans="1:6" ht="15.75">
      <c r="A60" s="10"/>
      <c r="B60" s="3" t="s">
        <v>9</v>
      </c>
      <c r="C60" s="4">
        <f t="shared" si="2"/>
        <v>21850000.000100002</v>
      </c>
      <c r="D60" s="4">
        <v>26000000</v>
      </c>
      <c r="E60" s="5">
        <v>0.09</v>
      </c>
      <c r="F60">
        <f t="shared" si="1"/>
        <v>8.9999999999999998E-4</v>
      </c>
    </row>
    <row r="61" spans="1:6" ht="15.75">
      <c r="A61" s="10"/>
      <c r="B61" s="3" t="s">
        <v>9</v>
      </c>
      <c r="C61" s="4">
        <f t="shared" si="2"/>
        <v>26000000.000100002</v>
      </c>
      <c r="D61" s="4">
        <v>27700000</v>
      </c>
      <c r="E61" s="5">
        <v>0.1</v>
      </c>
      <c r="F61">
        <f t="shared" si="1"/>
        <v>1E-3</v>
      </c>
    </row>
    <row r="62" spans="1:6" ht="15.75">
      <c r="A62" s="10"/>
      <c r="B62" s="3" t="s">
        <v>9</v>
      </c>
      <c r="C62" s="4">
        <f t="shared" si="2"/>
        <v>27700000.000100002</v>
      </c>
      <c r="D62" s="4">
        <v>29350000</v>
      </c>
      <c r="E62" s="5">
        <v>0.11</v>
      </c>
      <c r="F62">
        <f t="shared" si="1"/>
        <v>1.1000000000000001E-3</v>
      </c>
    </row>
    <row r="63" spans="1:6" ht="15.75">
      <c r="A63" s="10"/>
      <c r="B63" s="3" t="s">
        <v>9</v>
      </c>
      <c r="C63" s="4">
        <f t="shared" si="2"/>
        <v>29350000.000100002</v>
      </c>
      <c r="D63" s="4">
        <v>31450000</v>
      </c>
      <c r="E63" s="5">
        <v>0.12</v>
      </c>
      <c r="F63">
        <f t="shared" si="1"/>
        <v>1.1999999999999999E-3</v>
      </c>
    </row>
    <row r="64" spans="1:6" ht="15.75">
      <c r="A64" s="10"/>
      <c r="B64" s="3" t="s">
        <v>9</v>
      </c>
      <c r="C64" s="4">
        <f t="shared" si="2"/>
        <v>31450000.000100002</v>
      </c>
      <c r="D64" s="4">
        <v>33950000</v>
      </c>
      <c r="E64" s="5">
        <v>0.13</v>
      </c>
      <c r="F64">
        <f t="shared" si="1"/>
        <v>1.2999999999999999E-3</v>
      </c>
    </row>
    <row r="65" spans="1:6" ht="15.75">
      <c r="A65" s="10"/>
      <c r="B65" s="3" t="s">
        <v>9</v>
      </c>
      <c r="C65" s="4">
        <f t="shared" si="2"/>
        <v>33950000.000100002</v>
      </c>
      <c r="D65" s="4">
        <v>37100000</v>
      </c>
      <c r="E65" s="5">
        <v>0.14000000000000001</v>
      </c>
      <c r="F65">
        <f t="shared" si="1"/>
        <v>1.4000000000000002E-3</v>
      </c>
    </row>
    <row r="66" spans="1:6" ht="15.75">
      <c r="A66" s="10"/>
      <c r="B66" s="3" t="s">
        <v>9</v>
      </c>
      <c r="C66" s="4">
        <f t="shared" si="2"/>
        <v>37100000.000100002</v>
      </c>
      <c r="D66" s="4">
        <v>41100000</v>
      </c>
      <c r="E66" s="5">
        <v>0.15</v>
      </c>
      <c r="F66">
        <f t="shared" si="1"/>
        <v>1.5E-3</v>
      </c>
    </row>
    <row r="67" spans="1:6" ht="15.75">
      <c r="A67" s="10"/>
      <c r="B67" s="3" t="s">
        <v>9</v>
      </c>
      <c r="C67" s="4">
        <f t="shared" si="2"/>
        <v>41100000.000100002</v>
      </c>
      <c r="D67" s="4">
        <v>45800000</v>
      </c>
      <c r="E67" s="5">
        <v>0.16</v>
      </c>
      <c r="F67">
        <f t="shared" si="1"/>
        <v>1.6000000000000001E-3</v>
      </c>
    </row>
    <row r="68" spans="1:6" ht="15.75">
      <c r="A68" s="10"/>
      <c r="B68" s="3" t="s">
        <v>9</v>
      </c>
      <c r="C68" s="4">
        <f t="shared" si="2"/>
        <v>45800000.000100002</v>
      </c>
      <c r="D68" s="4">
        <v>49500000</v>
      </c>
      <c r="E68" s="5">
        <v>0.17</v>
      </c>
      <c r="F68">
        <f t="shared" ref="F68:F126" si="3">E68/100</f>
        <v>1.7000000000000001E-3</v>
      </c>
    </row>
    <row r="69" spans="1:6" ht="15.75">
      <c r="A69" s="10"/>
      <c r="B69" s="3" t="s">
        <v>9</v>
      </c>
      <c r="C69" s="4">
        <f t="shared" si="2"/>
        <v>49500000.000100002</v>
      </c>
      <c r="D69" s="4">
        <v>53800000</v>
      </c>
      <c r="E69" s="5">
        <v>0.18</v>
      </c>
      <c r="F69">
        <f t="shared" si="3"/>
        <v>1.8E-3</v>
      </c>
    </row>
    <row r="70" spans="1:6" ht="15.75">
      <c r="A70" s="10"/>
      <c r="B70" s="3" t="s">
        <v>9</v>
      </c>
      <c r="C70" s="4">
        <f t="shared" si="2"/>
        <v>53800000.000100002</v>
      </c>
      <c r="D70" s="4">
        <v>58500000</v>
      </c>
      <c r="E70" s="5">
        <v>0.19</v>
      </c>
      <c r="F70">
        <f t="shared" si="3"/>
        <v>1.9E-3</v>
      </c>
    </row>
    <row r="71" spans="1:6" ht="15.75">
      <c r="A71" s="10"/>
      <c r="B71" s="3" t="s">
        <v>9</v>
      </c>
      <c r="C71" s="4">
        <f t="shared" si="2"/>
        <v>58500000.000100002</v>
      </c>
      <c r="D71" s="4">
        <v>64000000</v>
      </c>
      <c r="E71" s="5">
        <v>0.2</v>
      </c>
      <c r="F71">
        <f t="shared" si="3"/>
        <v>2E-3</v>
      </c>
    </row>
    <row r="72" spans="1:6" ht="15.75">
      <c r="A72" s="10"/>
      <c r="B72" s="3" t="s">
        <v>9</v>
      </c>
      <c r="C72" s="4">
        <f t="shared" si="2"/>
        <v>64000000.000100002</v>
      </c>
      <c r="D72" s="4">
        <v>71000000</v>
      </c>
      <c r="E72" s="5">
        <v>0.21</v>
      </c>
      <c r="F72">
        <f t="shared" si="3"/>
        <v>2.0999999999999999E-3</v>
      </c>
    </row>
    <row r="73" spans="1:6" ht="15.75">
      <c r="A73" s="10"/>
      <c r="B73" s="3" t="s">
        <v>9</v>
      </c>
      <c r="C73" s="4">
        <f t="shared" si="2"/>
        <v>71000000.000100002</v>
      </c>
      <c r="D73" s="4">
        <v>80000000</v>
      </c>
      <c r="E73" s="5">
        <v>0.22</v>
      </c>
      <c r="F73">
        <f t="shared" si="3"/>
        <v>2.2000000000000001E-3</v>
      </c>
    </row>
    <row r="74" spans="1:6" ht="15.75">
      <c r="A74" s="10"/>
      <c r="B74" s="3" t="s">
        <v>9</v>
      </c>
      <c r="C74" s="4">
        <f t="shared" si="2"/>
        <v>80000000.000100002</v>
      </c>
      <c r="D74" s="4">
        <v>93000000</v>
      </c>
      <c r="E74" s="5">
        <v>0.23</v>
      </c>
      <c r="F74">
        <f t="shared" si="3"/>
        <v>2.3E-3</v>
      </c>
    </row>
    <row r="75" spans="1:6" ht="15.75">
      <c r="A75" s="10"/>
      <c r="B75" s="3" t="s">
        <v>9</v>
      </c>
      <c r="C75" s="4">
        <f t="shared" si="2"/>
        <v>93000000.000100002</v>
      </c>
      <c r="D75" s="4">
        <v>109000000</v>
      </c>
      <c r="E75" s="5">
        <v>0.24</v>
      </c>
      <c r="F75">
        <f t="shared" si="3"/>
        <v>2.3999999999999998E-3</v>
      </c>
    </row>
    <row r="76" spans="1:6" ht="15.75">
      <c r="A76" s="10"/>
      <c r="B76" s="3" t="s">
        <v>9</v>
      </c>
      <c r="C76" s="4">
        <f t="shared" si="2"/>
        <v>109000000.0001</v>
      </c>
      <c r="D76" s="4">
        <v>129000000</v>
      </c>
      <c r="E76" s="5">
        <v>0.25</v>
      </c>
      <c r="F76">
        <f t="shared" si="3"/>
        <v>2.5000000000000001E-3</v>
      </c>
    </row>
    <row r="77" spans="1:6" ht="15.75">
      <c r="A77" s="10"/>
      <c r="B77" s="3" t="s">
        <v>9</v>
      </c>
      <c r="C77" s="4">
        <f t="shared" si="2"/>
        <v>129000000.0001</v>
      </c>
      <c r="D77" s="4">
        <v>163000000</v>
      </c>
      <c r="E77" s="5">
        <v>0.26</v>
      </c>
      <c r="F77">
        <f t="shared" si="3"/>
        <v>2.5999999999999999E-3</v>
      </c>
    </row>
    <row r="78" spans="1:6" ht="15.75">
      <c r="A78" s="10"/>
      <c r="B78" s="3" t="s">
        <v>9</v>
      </c>
      <c r="C78" s="4">
        <f t="shared" si="2"/>
        <v>163000000.00009999</v>
      </c>
      <c r="D78" s="4">
        <v>211000000</v>
      </c>
      <c r="E78" s="5">
        <v>0.27</v>
      </c>
      <c r="F78">
        <f t="shared" si="3"/>
        <v>2.7000000000000001E-3</v>
      </c>
    </row>
    <row r="79" spans="1:6" ht="15.75">
      <c r="A79" s="10"/>
      <c r="B79" s="3" t="s">
        <v>9</v>
      </c>
      <c r="C79" s="4">
        <f t="shared" si="2"/>
        <v>211000000.00009999</v>
      </c>
      <c r="D79" s="4">
        <v>374000000</v>
      </c>
      <c r="E79" s="5">
        <v>0.28000000000000003</v>
      </c>
      <c r="F79">
        <f t="shared" si="3"/>
        <v>2.8000000000000004E-3</v>
      </c>
    </row>
    <row r="80" spans="1:6" ht="15.75">
      <c r="A80" s="10"/>
      <c r="B80" s="3" t="s">
        <v>9</v>
      </c>
      <c r="C80" s="4">
        <f t="shared" si="2"/>
        <v>374000000.00010002</v>
      </c>
      <c r="D80" s="4">
        <v>459000000</v>
      </c>
      <c r="E80" s="5">
        <v>0.28999999999999998</v>
      </c>
      <c r="F80">
        <f t="shared" si="3"/>
        <v>2.8999999999999998E-3</v>
      </c>
    </row>
    <row r="81" spans="1:6" ht="15.75">
      <c r="A81" s="10"/>
      <c r="B81" s="3" t="s">
        <v>9</v>
      </c>
      <c r="C81" s="4">
        <f t="shared" si="2"/>
        <v>459000000.00010002</v>
      </c>
      <c r="D81" s="4">
        <v>555000000</v>
      </c>
      <c r="E81" s="5">
        <v>0.3</v>
      </c>
      <c r="F81">
        <f t="shared" si="3"/>
        <v>3.0000000000000001E-3</v>
      </c>
    </row>
    <row r="82" spans="1:6" ht="15.75">
      <c r="A82" s="10"/>
      <c r="B82" s="3" t="s">
        <v>9</v>
      </c>
      <c r="C82" s="4">
        <f t="shared" si="2"/>
        <v>555000000.00010002</v>
      </c>
      <c r="D82" s="4">
        <v>704000000</v>
      </c>
      <c r="E82" s="5">
        <v>0.31</v>
      </c>
      <c r="F82">
        <f t="shared" si="3"/>
        <v>3.0999999999999999E-3</v>
      </c>
    </row>
    <row r="83" spans="1:6" ht="15.75">
      <c r="A83" s="10"/>
      <c r="B83" s="3" t="s">
        <v>9</v>
      </c>
      <c r="C83" s="4">
        <f t="shared" si="2"/>
        <v>704000000.00010002</v>
      </c>
      <c r="D83" s="4">
        <v>957000000</v>
      </c>
      <c r="E83" s="5">
        <v>0.32</v>
      </c>
      <c r="F83">
        <f t="shared" si="3"/>
        <v>3.2000000000000002E-3</v>
      </c>
    </row>
    <row r="84" spans="1:6" ht="15.75">
      <c r="A84" s="10"/>
      <c r="B84" s="3" t="s">
        <v>9</v>
      </c>
      <c r="C84" s="4">
        <f t="shared" si="2"/>
        <v>957000000.00010002</v>
      </c>
      <c r="D84" s="4">
        <v>1405000000</v>
      </c>
      <c r="E84" s="5">
        <v>0.33</v>
      </c>
      <c r="F84">
        <f t="shared" si="3"/>
        <v>3.3E-3</v>
      </c>
    </row>
    <row r="85" spans="1:6" ht="15.75">
      <c r="A85" s="11"/>
      <c r="B85" s="3" t="s">
        <v>9</v>
      </c>
      <c r="C85" s="4">
        <f t="shared" si="2"/>
        <v>1405000000.0000999</v>
      </c>
      <c r="D85" s="6">
        <v>999999999999999</v>
      </c>
      <c r="E85" s="5">
        <v>0.34</v>
      </c>
      <c r="F85">
        <f t="shared" si="3"/>
        <v>3.4000000000000002E-3</v>
      </c>
    </row>
    <row r="86" spans="1:6" ht="15.75">
      <c r="A86" s="9" t="s">
        <v>4</v>
      </c>
      <c r="B86" s="3" t="s">
        <v>10</v>
      </c>
      <c r="C86" s="4">
        <v>0</v>
      </c>
      <c r="D86" s="4">
        <v>6600000</v>
      </c>
      <c r="E86" s="5">
        <v>0</v>
      </c>
      <c r="F86">
        <f t="shared" si="3"/>
        <v>0</v>
      </c>
    </row>
    <row r="87" spans="1:6" ht="15.75">
      <c r="A87" s="10"/>
      <c r="B87" s="3" t="s">
        <v>10</v>
      </c>
      <c r="C87" s="4">
        <f>D86+0.00001</f>
        <v>6600000.0000099996</v>
      </c>
      <c r="D87" s="4">
        <v>6950000</v>
      </c>
      <c r="E87" s="5">
        <v>2.5000000000000001E-3</v>
      </c>
      <c r="F87">
        <f t="shared" si="3"/>
        <v>2.5000000000000001E-5</v>
      </c>
    </row>
    <row r="88" spans="1:6" ht="15.75">
      <c r="A88" s="10"/>
      <c r="B88" s="3" t="s">
        <v>10</v>
      </c>
      <c r="C88" s="4">
        <f t="shared" ref="C88:C126" si="4">D87+0.00001</f>
        <v>6950000.0000099996</v>
      </c>
      <c r="D88" s="4">
        <v>7350000</v>
      </c>
      <c r="E88" s="5">
        <v>5.0000000000000001E-3</v>
      </c>
      <c r="F88">
        <f t="shared" si="3"/>
        <v>5.0000000000000002E-5</v>
      </c>
    </row>
    <row r="89" spans="1:6" ht="15.75">
      <c r="A89" s="10"/>
      <c r="B89" s="3" t="s">
        <v>10</v>
      </c>
      <c r="C89" s="4">
        <f t="shared" si="4"/>
        <v>7350000.0000099996</v>
      </c>
      <c r="D89" s="4">
        <v>7800000</v>
      </c>
      <c r="E89" s="5">
        <v>7.4999999999999997E-3</v>
      </c>
      <c r="F89">
        <f t="shared" si="3"/>
        <v>7.4999999999999993E-5</v>
      </c>
    </row>
    <row r="90" spans="1:6" ht="15.75">
      <c r="A90" s="10"/>
      <c r="B90" s="3" t="s">
        <v>10</v>
      </c>
      <c r="C90" s="4">
        <f t="shared" si="4"/>
        <v>7800000.0000099996</v>
      </c>
      <c r="D90" s="4">
        <v>8850000</v>
      </c>
      <c r="E90" s="5">
        <v>0.01</v>
      </c>
      <c r="F90">
        <f t="shared" si="3"/>
        <v>1E-4</v>
      </c>
    </row>
    <row r="91" spans="1:6" ht="15.75">
      <c r="A91" s="10"/>
      <c r="B91" s="3" t="s">
        <v>10</v>
      </c>
      <c r="C91" s="4">
        <f t="shared" si="4"/>
        <v>8850000.0000100005</v>
      </c>
      <c r="D91" s="4">
        <v>9800000</v>
      </c>
      <c r="E91" s="5">
        <v>1.2500000000000001E-2</v>
      </c>
      <c r="F91">
        <f t="shared" si="3"/>
        <v>1.25E-4</v>
      </c>
    </row>
    <row r="92" spans="1:6" ht="15.75">
      <c r="A92" s="10"/>
      <c r="B92" s="3" t="s">
        <v>10</v>
      </c>
      <c r="C92" s="4">
        <f t="shared" si="4"/>
        <v>9800000.0000100005</v>
      </c>
      <c r="D92" s="4">
        <v>10950000</v>
      </c>
      <c r="E92" s="5">
        <v>1.4999999999999999E-2</v>
      </c>
      <c r="F92">
        <f t="shared" si="3"/>
        <v>1.4999999999999999E-4</v>
      </c>
    </row>
    <row r="93" spans="1:6" ht="15.75">
      <c r="A93" s="10"/>
      <c r="B93" s="3" t="s">
        <v>10</v>
      </c>
      <c r="C93" s="4">
        <f t="shared" si="4"/>
        <v>10950000.000010001</v>
      </c>
      <c r="D93" s="4">
        <v>11200000</v>
      </c>
      <c r="E93" s="5">
        <v>1.7500000000000002E-2</v>
      </c>
      <c r="F93">
        <f t="shared" si="3"/>
        <v>1.7500000000000003E-4</v>
      </c>
    </row>
    <row r="94" spans="1:6" ht="15.75">
      <c r="A94" s="10"/>
      <c r="B94" s="3" t="s">
        <v>10</v>
      </c>
      <c r="C94" s="4">
        <f t="shared" si="4"/>
        <v>11200000.000010001</v>
      </c>
      <c r="D94" s="4">
        <v>12050000</v>
      </c>
      <c r="E94" s="5">
        <v>0.02</v>
      </c>
      <c r="F94">
        <f t="shared" si="3"/>
        <v>2.0000000000000001E-4</v>
      </c>
    </row>
    <row r="95" spans="1:6" ht="15.75">
      <c r="A95" s="10"/>
      <c r="B95" s="3" t="s">
        <v>10</v>
      </c>
      <c r="C95" s="4">
        <f t="shared" si="4"/>
        <v>12050000.000010001</v>
      </c>
      <c r="D95" s="4">
        <v>12950000</v>
      </c>
      <c r="E95" s="5">
        <v>0.03</v>
      </c>
      <c r="F95">
        <f t="shared" si="3"/>
        <v>2.9999999999999997E-4</v>
      </c>
    </row>
    <row r="96" spans="1:6" ht="15.75">
      <c r="A96" s="10"/>
      <c r="B96" s="3" t="s">
        <v>10</v>
      </c>
      <c r="C96" s="4">
        <f t="shared" si="4"/>
        <v>12950000.000010001</v>
      </c>
      <c r="D96" s="4">
        <v>14150000</v>
      </c>
      <c r="E96" s="5">
        <v>0.04</v>
      </c>
      <c r="F96">
        <f t="shared" si="3"/>
        <v>4.0000000000000002E-4</v>
      </c>
    </row>
    <row r="97" spans="1:6" ht="15.75">
      <c r="A97" s="10"/>
      <c r="B97" s="3" t="s">
        <v>10</v>
      </c>
      <c r="C97" s="4">
        <f t="shared" si="4"/>
        <v>14150000.000010001</v>
      </c>
      <c r="D97" s="4">
        <v>15550000</v>
      </c>
      <c r="E97" s="5">
        <v>0.05</v>
      </c>
      <c r="F97">
        <f t="shared" si="3"/>
        <v>5.0000000000000001E-4</v>
      </c>
    </row>
    <row r="98" spans="1:6" ht="15.75">
      <c r="A98" s="10"/>
      <c r="B98" s="3" t="s">
        <v>10</v>
      </c>
      <c r="C98" s="4">
        <f t="shared" si="4"/>
        <v>15550000.000010001</v>
      </c>
      <c r="D98" s="4">
        <v>17050000</v>
      </c>
      <c r="E98" s="5">
        <v>0.06</v>
      </c>
      <c r="F98">
        <f t="shared" si="3"/>
        <v>5.9999999999999995E-4</v>
      </c>
    </row>
    <row r="99" spans="1:6" ht="15.75">
      <c r="A99" s="10"/>
      <c r="B99" s="3" t="s">
        <v>10</v>
      </c>
      <c r="C99" s="4">
        <f t="shared" si="4"/>
        <v>17050000.000009999</v>
      </c>
      <c r="D99" s="4">
        <v>19500000</v>
      </c>
      <c r="E99" s="5">
        <v>7.0000000000000007E-2</v>
      </c>
      <c r="F99">
        <f t="shared" si="3"/>
        <v>7.000000000000001E-4</v>
      </c>
    </row>
    <row r="100" spans="1:6" ht="15.75">
      <c r="A100" s="10"/>
      <c r="B100" s="3" t="s">
        <v>10</v>
      </c>
      <c r="C100" s="4">
        <f t="shared" si="4"/>
        <v>19500000.000009999</v>
      </c>
      <c r="D100" s="4">
        <v>22700000</v>
      </c>
      <c r="E100" s="5">
        <v>0.08</v>
      </c>
      <c r="F100">
        <f t="shared" si="3"/>
        <v>8.0000000000000004E-4</v>
      </c>
    </row>
    <row r="101" spans="1:6" ht="15.75">
      <c r="A101" s="10"/>
      <c r="B101" s="3" t="s">
        <v>10</v>
      </c>
      <c r="C101" s="4">
        <f t="shared" si="4"/>
        <v>22700000.000009999</v>
      </c>
      <c r="D101" s="4">
        <v>26600000</v>
      </c>
      <c r="E101" s="5">
        <v>0.09</v>
      </c>
      <c r="F101">
        <f t="shared" si="3"/>
        <v>8.9999999999999998E-4</v>
      </c>
    </row>
    <row r="102" spans="1:6" ht="15.75">
      <c r="A102" s="10"/>
      <c r="B102" s="3" t="s">
        <v>10</v>
      </c>
      <c r="C102" s="4">
        <f t="shared" si="4"/>
        <v>26600000.000009999</v>
      </c>
      <c r="D102" s="4">
        <v>28100000</v>
      </c>
      <c r="E102" s="5">
        <v>0.1</v>
      </c>
      <c r="F102">
        <f t="shared" si="3"/>
        <v>1E-3</v>
      </c>
    </row>
    <row r="103" spans="1:6" ht="15.75">
      <c r="A103" s="10"/>
      <c r="B103" s="3" t="s">
        <v>10</v>
      </c>
      <c r="C103" s="4">
        <f t="shared" si="4"/>
        <v>28100000.000009999</v>
      </c>
      <c r="D103" s="4">
        <v>30100000</v>
      </c>
      <c r="E103" s="5">
        <v>0.11</v>
      </c>
      <c r="F103">
        <f t="shared" si="3"/>
        <v>1.1000000000000001E-3</v>
      </c>
    </row>
    <row r="104" spans="1:6" ht="15.75">
      <c r="A104" s="10"/>
      <c r="B104" s="3" t="s">
        <v>10</v>
      </c>
      <c r="C104" s="4">
        <f t="shared" si="4"/>
        <v>30100000.000009999</v>
      </c>
      <c r="D104" s="4">
        <v>32600000</v>
      </c>
      <c r="E104" s="5">
        <v>0.12</v>
      </c>
      <c r="F104">
        <f t="shared" si="3"/>
        <v>1.1999999999999999E-3</v>
      </c>
    </row>
    <row r="105" spans="1:6" ht="15.75">
      <c r="A105" s="10"/>
      <c r="B105" s="3" t="s">
        <v>10</v>
      </c>
      <c r="C105" s="4">
        <f t="shared" si="4"/>
        <v>32600000.000009999</v>
      </c>
      <c r="D105" s="4">
        <v>35400000</v>
      </c>
      <c r="E105" s="5">
        <v>0.13</v>
      </c>
      <c r="F105">
        <f t="shared" si="3"/>
        <v>1.2999999999999999E-3</v>
      </c>
    </row>
    <row r="106" spans="1:6" ht="15.75">
      <c r="A106" s="10"/>
      <c r="B106" s="3" t="s">
        <v>10</v>
      </c>
      <c r="C106" s="4">
        <f t="shared" si="4"/>
        <v>35400000.000009999</v>
      </c>
      <c r="D106" s="4">
        <v>38900000</v>
      </c>
      <c r="E106" s="5">
        <v>0.14000000000000001</v>
      </c>
      <c r="F106">
        <f t="shared" si="3"/>
        <v>1.4000000000000002E-3</v>
      </c>
    </row>
    <row r="107" spans="1:6" ht="15.75">
      <c r="A107" s="10"/>
      <c r="B107" s="3" t="s">
        <v>10</v>
      </c>
      <c r="C107" s="4">
        <f t="shared" si="4"/>
        <v>38900000.000009999</v>
      </c>
      <c r="D107" s="4">
        <v>43000000</v>
      </c>
      <c r="E107" s="5">
        <v>0.15</v>
      </c>
      <c r="F107">
        <f t="shared" si="3"/>
        <v>1.5E-3</v>
      </c>
    </row>
    <row r="108" spans="1:6" ht="15.75">
      <c r="A108" s="10"/>
      <c r="B108" s="3" t="s">
        <v>10</v>
      </c>
      <c r="C108" s="4">
        <f t="shared" si="4"/>
        <v>43000000.000009999</v>
      </c>
      <c r="D108" s="4">
        <v>47400000</v>
      </c>
      <c r="E108" s="5">
        <v>0.16</v>
      </c>
      <c r="F108">
        <f t="shared" si="3"/>
        <v>1.6000000000000001E-3</v>
      </c>
    </row>
    <row r="109" spans="1:6" ht="15.75">
      <c r="A109" s="10"/>
      <c r="B109" s="3" t="s">
        <v>10</v>
      </c>
      <c r="C109" s="4">
        <f t="shared" si="4"/>
        <v>47400000.000009999</v>
      </c>
      <c r="D109" s="4">
        <v>51200000</v>
      </c>
      <c r="E109" s="5">
        <v>0.17</v>
      </c>
      <c r="F109">
        <f t="shared" si="3"/>
        <v>1.7000000000000001E-3</v>
      </c>
    </row>
    <row r="110" spans="1:6" ht="15.75">
      <c r="A110" s="10"/>
      <c r="B110" s="3" t="s">
        <v>10</v>
      </c>
      <c r="C110" s="4">
        <f t="shared" si="4"/>
        <v>51200000.000009999</v>
      </c>
      <c r="D110" s="4">
        <v>55800000</v>
      </c>
      <c r="E110" s="5">
        <v>0.18</v>
      </c>
      <c r="F110">
        <f t="shared" si="3"/>
        <v>1.8E-3</v>
      </c>
    </row>
    <row r="111" spans="1:6" ht="15.75">
      <c r="A111" s="10"/>
      <c r="B111" s="3" t="s">
        <v>10</v>
      </c>
      <c r="C111" s="4">
        <f t="shared" si="4"/>
        <v>55800000.000009999</v>
      </c>
      <c r="D111" s="4">
        <v>60400000</v>
      </c>
      <c r="E111" s="5">
        <v>0.19</v>
      </c>
      <c r="F111">
        <f t="shared" si="3"/>
        <v>1.9E-3</v>
      </c>
    </row>
    <row r="112" spans="1:6" ht="15.75">
      <c r="A112" s="10"/>
      <c r="B112" s="3" t="s">
        <v>10</v>
      </c>
      <c r="C112" s="4">
        <f t="shared" si="4"/>
        <v>60400000.000009999</v>
      </c>
      <c r="D112" s="4">
        <v>66700000</v>
      </c>
      <c r="E112" s="5">
        <v>0.2</v>
      </c>
      <c r="F112">
        <f t="shared" si="3"/>
        <v>2E-3</v>
      </c>
    </row>
    <row r="113" spans="1:6" ht="15.75">
      <c r="A113" s="10"/>
      <c r="B113" s="3" t="s">
        <v>10</v>
      </c>
      <c r="C113" s="4">
        <f t="shared" si="4"/>
        <v>66700000.000009999</v>
      </c>
      <c r="D113" s="4">
        <v>74500000</v>
      </c>
      <c r="E113" s="5">
        <v>0.21</v>
      </c>
      <c r="F113">
        <f t="shared" si="3"/>
        <v>2.0999999999999999E-3</v>
      </c>
    </row>
    <row r="114" spans="1:6" ht="15.75">
      <c r="A114" s="10"/>
      <c r="B114" s="3" t="s">
        <v>10</v>
      </c>
      <c r="C114" s="4">
        <f t="shared" si="4"/>
        <v>74500000.000009999</v>
      </c>
      <c r="D114" s="4">
        <v>83200000</v>
      </c>
      <c r="E114" s="5">
        <v>0.22</v>
      </c>
      <c r="F114">
        <f t="shared" si="3"/>
        <v>2.2000000000000001E-3</v>
      </c>
    </row>
    <row r="115" spans="1:6" ht="15.75">
      <c r="A115" s="10"/>
      <c r="B115" s="3" t="s">
        <v>10</v>
      </c>
      <c r="C115" s="4">
        <f t="shared" si="4"/>
        <v>83200000.000009999</v>
      </c>
      <c r="D115" s="4">
        <v>95600000</v>
      </c>
      <c r="E115" s="5">
        <v>0.23</v>
      </c>
      <c r="F115">
        <f t="shared" si="3"/>
        <v>2.3E-3</v>
      </c>
    </row>
    <row r="116" spans="1:6" ht="15.75">
      <c r="A116" s="10"/>
      <c r="B116" s="3" t="s">
        <v>10</v>
      </c>
      <c r="C116" s="4">
        <f t="shared" si="4"/>
        <v>95600000.000009999</v>
      </c>
      <c r="D116" s="4">
        <v>110000000</v>
      </c>
      <c r="E116" s="5">
        <v>0.24</v>
      </c>
      <c r="F116">
        <f t="shared" si="3"/>
        <v>2.3999999999999998E-3</v>
      </c>
    </row>
    <row r="117" spans="1:6" ht="15.75">
      <c r="A117" s="10"/>
      <c r="B117" s="3" t="s">
        <v>10</v>
      </c>
      <c r="C117" s="4">
        <f t="shared" si="4"/>
        <v>110000000.00001</v>
      </c>
      <c r="D117" s="4">
        <v>134000000</v>
      </c>
      <c r="E117" s="5">
        <v>0.25</v>
      </c>
      <c r="F117">
        <f t="shared" si="3"/>
        <v>2.5000000000000001E-3</v>
      </c>
    </row>
    <row r="118" spans="1:6" ht="15.75">
      <c r="A118" s="10"/>
      <c r="B118" s="3" t="s">
        <v>10</v>
      </c>
      <c r="C118" s="4">
        <f t="shared" si="4"/>
        <v>134000000.00001</v>
      </c>
      <c r="D118" s="4">
        <v>169000000</v>
      </c>
      <c r="E118" s="5">
        <v>0.26</v>
      </c>
      <c r="F118">
        <f t="shared" si="3"/>
        <v>2.5999999999999999E-3</v>
      </c>
    </row>
    <row r="119" spans="1:6" ht="15.75">
      <c r="A119" s="10"/>
      <c r="B119" s="3" t="s">
        <v>10</v>
      </c>
      <c r="C119" s="4">
        <f t="shared" si="4"/>
        <v>169000000.00001001</v>
      </c>
      <c r="D119" s="4">
        <v>221000000</v>
      </c>
      <c r="E119" s="5">
        <v>0.27</v>
      </c>
      <c r="F119">
        <f t="shared" si="3"/>
        <v>2.7000000000000001E-3</v>
      </c>
    </row>
    <row r="120" spans="1:6" ht="15.75">
      <c r="A120" s="10"/>
      <c r="B120" s="3" t="s">
        <v>10</v>
      </c>
      <c r="C120" s="4">
        <f t="shared" si="4"/>
        <v>221000000.00001001</v>
      </c>
      <c r="D120" s="4">
        <v>390000000</v>
      </c>
      <c r="E120" s="5">
        <v>0.28000000000000003</v>
      </c>
      <c r="F120">
        <f t="shared" si="3"/>
        <v>2.8000000000000004E-3</v>
      </c>
    </row>
    <row r="121" spans="1:6" ht="15.75">
      <c r="A121" s="10"/>
      <c r="B121" s="3" t="s">
        <v>10</v>
      </c>
      <c r="C121" s="4">
        <f t="shared" si="4"/>
        <v>390000000.00001001</v>
      </c>
      <c r="D121" s="4">
        <v>463000000</v>
      </c>
      <c r="E121" s="5">
        <v>0.28999999999999998</v>
      </c>
      <c r="F121">
        <f t="shared" si="3"/>
        <v>2.8999999999999998E-3</v>
      </c>
    </row>
    <row r="122" spans="1:6" ht="15.75">
      <c r="A122" s="10"/>
      <c r="B122" s="3" t="s">
        <v>10</v>
      </c>
      <c r="C122" s="4">
        <f t="shared" si="4"/>
        <v>463000000.00001001</v>
      </c>
      <c r="D122" s="4">
        <v>561000000</v>
      </c>
      <c r="E122" s="5">
        <v>0.3</v>
      </c>
      <c r="F122">
        <f t="shared" si="3"/>
        <v>3.0000000000000001E-3</v>
      </c>
    </row>
    <row r="123" spans="1:6" ht="15.75">
      <c r="A123" s="10"/>
      <c r="B123" s="3" t="s">
        <v>10</v>
      </c>
      <c r="C123" s="4">
        <f t="shared" si="4"/>
        <v>561000000.00001001</v>
      </c>
      <c r="D123" s="4">
        <v>709000000</v>
      </c>
      <c r="E123" s="5">
        <v>0.31</v>
      </c>
      <c r="F123">
        <f t="shared" si="3"/>
        <v>3.0999999999999999E-3</v>
      </c>
    </row>
    <row r="124" spans="1:6" ht="15.75">
      <c r="A124" s="10"/>
      <c r="B124" s="3" t="s">
        <v>10</v>
      </c>
      <c r="C124" s="4">
        <f t="shared" si="4"/>
        <v>709000000.00001001</v>
      </c>
      <c r="D124" s="4">
        <v>965000000</v>
      </c>
      <c r="E124" s="5">
        <v>0.32</v>
      </c>
      <c r="F124">
        <f t="shared" si="3"/>
        <v>3.2000000000000002E-3</v>
      </c>
    </row>
    <row r="125" spans="1:6" ht="15.75">
      <c r="A125" s="10"/>
      <c r="B125" s="3" t="s">
        <v>10</v>
      </c>
      <c r="C125" s="4">
        <f t="shared" si="4"/>
        <v>965000000.00001001</v>
      </c>
      <c r="D125" s="4">
        <v>1419000000</v>
      </c>
      <c r="E125" s="5">
        <v>0.33</v>
      </c>
      <c r="F125">
        <f t="shared" si="3"/>
        <v>3.3E-3</v>
      </c>
    </row>
    <row r="126" spans="1:6" ht="15.75">
      <c r="A126" s="11"/>
      <c r="B126" s="3" t="s">
        <v>10</v>
      </c>
      <c r="C126" s="4">
        <f t="shared" si="4"/>
        <v>1419000000.00001</v>
      </c>
      <c r="D126" s="7">
        <f>D85</f>
        <v>999999999999999</v>
      </c>
      <c r="E126" s="5">
        <v>0.34</v>
      </c>
      <c r="F126">
        <f t="shared" si="3"/>
        <v>3.4000000000000002E-3</v>
      </c>
    </row>
  </sheetData>
  <mergeCells count="3">
    <mergeCell ref="A86:A126"/>
    <mergeCell ref="A46:A85"/>
    <mergeCell ref="A2:A4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Tanjung Redeb Hutani</dc:creator>
  <cp:lastModifiedBy>IT Tanjung Redeb Hutani</cp:lastModifiedBy>
  <dcterms:created xsi:type="dcterms:W3CDTF">2026-10-08T03:47:55Z</dcterms:created>
  <dcterms:modified xsi:type="dcterms:W3CDTF">2026-10-08T08:34:46Z</dcterms:modified>
</cp:coreProperties>
</file>