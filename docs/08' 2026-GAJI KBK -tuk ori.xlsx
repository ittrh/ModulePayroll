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HARDISK EXTERNAL-BARU-16\1. PAYROLL - 050721\1. C. GAJI TER 21 TH 2024-2025-2026\PROG GAJI 2026\"/>
    </mc:Choice>
  </mc:AlternateContent>
  <xr:revisionPtr revIDLastSave="0" documentId="13_ncr:1_{858CBAD0-1817-44CA-B7D5-52E9578FC2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TTING" sheetId="1" r:id="rId1"/>
    <sheet name="TER 2024" sheetId="18" r:id="rId2"/>
    <sheet name="TENAGA KERJA" sheetId="2" r:id="rId3"/>
    <sheet name="BPJS TK" sheetId="3" r:id="rId4"/>
    <sheet name="BPJS KES" sheetId="4" r:id="rId5"/>
    <sheet name="PPH PSL 21 - GROSS (MULAI 2024)" sheetId="16" r:id="rId6"/>
    <sheet name="RINCIAN GAJI - GROSS" sheetId="6" r:id="rId7"/>
  </sheets>
  <definedNames>
    <definedName name="_xlnm.Print_Area" localSheetId="4">'BPJS KES'!$A$1:$F$212</definedName>
    <definedName name="_xlnm.Print_Area" localSheetId="3">'BPJS TK'!$A$1:$G$211</definedName>
    <definedName name="_xlnm.Print_Area" localSheetId="5">'PPH PSL 21 - GROSS (MULAI 2024)'!$A$1:$L$211</definedName>
    <definedName name="_xlnm.Print_Area" localSheetId="6">'RINCIAN GAJI - GROSS'!$A$1:$W$196</definedName>
    <definedName name="_xlnm.Print_Area" localSheetId="2">'TENAGA KERJA'!$A$1:$O$191</definedName>
    <definedName name="_xlnm.Print_Area" localSheetId="1">'TER 2024'!$A$1:$E$126</definedName>
    <definedName name="_xlnm.Print_Titles" localSheetId="4">'BPJS KES'!$1:$2</definedName>
    <definedName name="_xlnm.Print_Titles" localSheetId="5">'PPH PSL 21 - GROSS (MULAI 2024)'!$1:$249</definedName>
    <definedName name="_xlnm.Print_Titles" localSheetId="6">'RINCIAN GAJI - GROSS'!$1:$140</definedName>
    <definedName name="_xlnm.Print_Titles" localSheetId="1">'TER 2024'!$1:$1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11" i="6" l="1"/>
  <c r="S211" i="6"/>
  <c r="C179" i="4" l="1"/>
  <c r="C168" i="4"/>
  <c r="I191" i="6" l="1"/>
  <c r="I194" i="6"/>
  <c r="F195" i="16"/>
  <c r="F197" i="16"/>
  <c r="F198" i="16"/>
  <c r="I200" i="6"/>
  <c r="F203" i="16"/>
  <c r="I205" i="6"/>
  <c r="I207" i="6"/>
  <c r="F209" i="16"/>
  <c r="I188" i="6"/>
  <c r="I164" i="6"/>
  <c r="F165" i="16"/>
  <c r="F166" i="16"/>
  <c r="I169" i="6"/>
  <c r="I170" i="6"/>
  <c r="I173" i="6"/>
  <c r="I177" i="6"/>
  <c r="I151" i="6"/>
  <c r="F150" i="16"/>
  <c r="F149" i="16"/>
  <c r="F148" i="16"/>
  <c r="F141" i="16"/>
  <c r="I132" i="6"/>
  <c r="F109" i="16"/>
  <c r="I110" i="6"/>
  <c r="I111" i="6"/>
  <c r="F112" i="16"/>
  <c r="I113" i="6"/>
  <c r="F114" i="16"/>
  <c r="I121" i="6"/>
  <c r="F122" i="16"/>
  <c r="I123" i="6"/>
  <c r="I102" i="6"/>
  <c r="I92" i="6"/>
  <c r="I91" i="6"/>
  <c r="F90" i="16"/>
  <c r="F89" i="16"/>
  <c r="I88" i="6"/>
  <c r="F87" i="16"/>
  <c r="F86" i="16"/>
  <c r="I85" i="6"/>
  <c r="I81" i="6"/>
  <c r="I79" i="6"/>
  <c r="I78" i="6"/>
  <c r="I77" i="6"/>
  <c r="F76" i="16"/>
  <c r="F75" i="16"/>
  <c r="F74" i="16"/>
  <c r="F73" i="16"/>
  <c r="F36" i="16"/>
  <c r="I38" i="6"/>
  <c r="I39" i="6"/>
  <c r="F40" i="16"/>
  <c r="F41" i="16"/>
  <c r="I45" i="6"/>
  <c r="I47" i="6"/>
  <c r="I48" i="6"/>
  <c r="I49" i="6"/>
  <c r="I51" i="6"/>
  <c r="I53" i="6"/>
  <c r="I60" i="6"/>
  <c r="I61" i="6"/>
  <c r="F63" i="16"/>
  <c r="I64" i="6"/>
  <c r="F65" i="16"/>
  <c r="F71" i="16"/>
  <c r="T23" i="2"/>
  <c r="R23" i="2"/>
  <c r="N24" i="2"/>
  <c r="N23" i="2"/>
  <c r="N22" i="2"/>
  <c r="N3" i="2"/>
  <c r="I4" i="6" s="1"/>
  <c r="N4" i="2"/>
  <c r="I5" i="6" s="1"/>
  <c r="N5" i="2"/>
  <c r="F6" i="16" s="1"/>
  <c r="N6" i="2"/>
  <c r="F7" i="16" s="1"/>
  <c r="N7" i="2"/>
  <c r="F8" i="16" s="1"/>
  <c r="N8" i="2"/>
  <c r="F9" i="16" s="1"/>
  <c r="N9" i="2"/>
  <c r="F10" i="16" s="1"/>
  <c r="N10" i="2"/>
  <c r="I11" i="6" s="1"/>
  <c r="N11" i="2"/>
  <c r="F12" i="16" s="1"/>
  <c r="N12" i="2"/>
  <c r="F13" i="16" s="1"/>
  <c r="N13" i="2"/>
  <c r="N14" i="2"/>
  <c r="I15" i="6" s="1"/>
  <c r="N15" i="2"/>
  <c r="N16" i="2"/>
  <c r="N17" i="2"/>
  <c r="I18" i="6" s="1"/>
  <c r="N18" i="2"/>
  <c r="F19" i="16" s="1"/>
  <c r="N19" i="2"/>
  <c r="F20" i="16" s="1"/>
  <c r="N20" i="2"/>
  <c r="F21" i="16" s="1"/>
  <c r="F22" i="16"/>
  <c r="I24" i="6"/>
  <c r="F25" i="16"/>
  <c r="N2" i="2"/>
  <c r="E3" i="2"/>
  <c r="E4" i="2" s="1"/>
  <c r="H3" i="2"/>
  <c r="L3" i="2"/>
  <c r="D4" i="16" s="1"/>
  <c r="R3" i="2"/>
  <c r="T3" i="2"/>
  <c r="V3" i="2"/>
  <c r="X3" i="2"/>
  <c r="Y3" i="2"/>
  <c r="M3" i="2" s="1"/>
  <c r="H4" i="2"/>
  <c r="L4" i="2"/>
  <c r="R4" i="2"/>
  <c r="T4" i="2"/>
  <c r="V4" i="2"/>
  <c r="X4" i="2"/>
  <c r="H5" i="2"/>
  <c r="L5" i="2"/>
  <c r="R5" i="2"/>
  <c r="Y5" i="2" s="1"/>
  <c r="M5" i="2" s="1"/>
  <c r="T5" i="2"/>
  <c r="V5" i="2"/>
  <c r="X5" i="2"/>
  <c r="H6" i="2"/>
  <c r="L6" i="2"/>
  <c r="R6" i="2"/>
  <c r="V6" i="2"/>
  <c r="X6" i="2"/>
  <c r="H7" i="2"/>
  <c r="L7" i="2"/>
  <c r="C8" i="3" s="1"/>
  <c r="E8" i="3" s="1"/>
  <c r="T7" i="2"/>
  <c r="V7" i="2"/>
  <c r="X7" i="2"/>
  <c r="H8" i="2"/>
  <c r="L8" i="2"/>
  <c r="V8" i="2"/>
  <c r="X8" i="2"/>
  <c r="H9" i="2"/>
  <c r="L9" i="2"/>
  <c r="V9" i="2"/>
  <c r="X9" i="2"/>
  <c r="H10" i="2"/>
  <c r="L10" i="2"/>
  <c r="R10" i="2" s="1"/>
  <c r="V10" i="2"/>
  <c r="X10" i="2"/>
  <c r="H11" i="2"/>
  <c r="L11" i="2"/>
  <c r="R11" i="2" s="1"/>
  <c r="V11" i="2"/>
  <c r="X11" i="2"/>
  <c r="H12" i="2"/>
  <c r="L12" i="2"/>
  <c r="C13" i="3" s="1"/>
  <c r="F13" i="3" s="1"/>
  <c r="M13" i="6" s="1"/>
  <c r="V12" i="2"/>
  <c r="X12" i="2"/>
  <c r="H13" i="2"/>
  <c r="L13" i="2"/>
  <c r="T13" i="2" s="1"/>
  <c r="R13" i="2"/>
  <c r="V13" i="2"/>
  <c r="X13" i="2"/>
  <c r="H14" i="2"/>
  <c r="L14" i="2"/>
  <c r="R14" i="2" s="1"/>
  <c r="T14" i="2"/>
  <c r="V14" i="2"/>
  <c r="X14" i="2"/>
  <c r="H15" i="2"/>
  <c r="L15" i="2"/>
  <c r="T15" i="2" s="1"/>
  <c r="I16" i="6"/>
  <c r="R15" i="2"/>
  <c r="V15" i="2"/>
  <c r="X15" i="2"/>
  <c r="H16" i="2"/>
  <c r="L16" i="2"/>
  <c r="G17" i="6" s="1"/>
  <c r="T16" i="2"/>
  <c r="V16" i="2"/>
  <c r="X16" i="2"/>
  <c r="H17" i="2"/>
  <c r="L17" i="2"/>
  <c r="D18" i="16" s="1"/>
  <c r="R17" i="2"/>
  <c r="T17" i="2"/>
  <c r="V17" i="2"/>
  <c r="X17" i="2"/>
  <c r="H18" i="2"/>
  <c r="L18" i="2"/>
  <c r="D19" i="16" s="1"/>
  <c r="R18" i="2"/>
  <c r="T18" i="2"/>
  <c r="V18" i="2"/>
  <c r="X18" i="2"/>
  <c r="H19" i="2"/>
  <c r="L19" i="2"/>
  <c r="D20" i="16" s="1"/>
  <c r="T19" i="2"/>
  <c r="V19" i="2"/>
  <c r="X19" i="2"/>
  <c r="H20" i="2"/>
  <c r="L20" i="2"/>
  <c r="V20" i="2"/>
  <c r="X20" i="2"/>
  <c r="H21" i="2"/>
  <c r="I22" i="6"/>
  <c r="R21" i="2"/>
  <c r="T21" i="2"/>
  <c r="V21" i="2"/>
  <c r="X21" i="2"/>
  <c r="H22" i="2"/>
  <c r="L22" i="2"/>
  <c r="V22" i="2"/>
  <c r="X22" i="2"/>
  <c r="H23" i="2"/>
  <c r="L23" i="2"/>
  <c r="G24" i="6" s="1"/>
  <c r="V23" i="2"/>
  <c r="X23" i="2"/>
  <c r="H24" i="2"/>
  <c r="L24" i="2"/>
  <c r="D25" i="16" s="1"/>
  <c r="V24" i="2"/>
  <c r="X24" i="2"/>
  <c r="T26" i="2"/>
  <c r="V26" i="2"/>
  <c r="X26" i="2"/>
  <c r="Y26" i="2"/>
  <c r="T27" i="2"/>
  <c r="V27" i="2"/>
  <c r="X27" i="2"/>
  <c r="D32" i="16"/>
  <c r="F32" i="16"/>
  <c r="I33" i="6"/>
  <c r="F37" i="16"/>
  <c r="I46" i="6"/>
  <c r="G50" i="6"/>
  <c r="D55" i="16"/>
  <c r="I58" i="6"/>
  <c r="I59" i="6"/>
  <c r="F62" i="16"/>
  <c r="H72" i="6"/>
  <c r="F83" i="16"/>
  <c r="C104" i="3"/>
  <c r="G104" i="3" s="1"/>
  <c r="R104" i="6" s="1"/>
  <c r="I107" i="6"/>
  <c r="C119" i="3"/>
  <c r="G119" i="3" s="1"/>
  <c r="R119" i="6" s="1"/>
  <c r="I120" i="6"/>
  <c r="D121" i="16"/>
  <c r="C125" i="3"/>
  <c r="I131" i="6"/>
  <c r="F137" i="16"/>
  <c r="I141" i="6"/>
  <c r="E146" i="6"/>
  <c r="E152" i="6"/>
  <c r="I154" i="6"/>
  <c r="I155" i="6"/>
  <c r="I157" i="6"/>
  <c r="I162" i="6"/>
  <c r="H163" i="6"/>
  <c r="I166" i="6"/>
  <c r="H174" i="6"/>
  <c r="I176" i="6"/>
  <c r="E185" i="6"/>
  <c r="E189" i="6"/>
  <c r="H192" i="6"/>
  <c r="I192" i="6"/>
  <c r="C196" i="3"/>
  <c r="I199" i="6"/>
  <c r="F200" i="16"/>
  <c r="G26" i="6"/>
  <c r="I29" i="6"/>
  <c r="I75" i="6"/>
  <c r="I89" i="6"/>
  <c r="I99" i="6"/>
  <c r="H101" i="6"/>
  <c r="I101" i="6"/>
  <c r="E102" i="16"/>
  <c r="I124" i="6"/>
  <c r="H125" i="6"/>
  <c r="H138" i="6"/>
  <c r="I147" i="6"/>
  <c r="I165" i="6"/>
  <c r="I167" i="6"/>
  <c r="H181" i="6"/>
  <c r="E185" i="16"/>
  <c r="H186" i="6"/>
  <c r="I198" i="6"/>
  <c r="I203" i="6"/>
  <c r="I208" i="6"/>
  <c r="A211" i="6"/>
  <c r="B211" i="6"/>
  <c r="C211" i="6"/>
  <c r="D211" i="6"/>
  <c r="E211" i="6"/>
  <c r="B208" i="6"/>
  <c r="C208" i="6"/>
  <c r="D208" i="6"/>
  <c r="F208" i="6"/>
  <c r="N208" i="6"/>
  <c r="S208" i="6"/>
  <c r="B209" i="6"/>
  <c r="C209" i="6"/>
  <c r="D209" i="6"/>
  <c r="F209" i="6"/>
  <c r="N209" i="6"/>
  <c r="S209" i="6"/>
  <c r="B210" i="6"/>
  <c r="C210" i="6"/>
  <c r="D210" i="6"/>
  <c r="F210" i="6"/>
  <c r="G210" i="6"/>
  <c r="N210" i="6"/>
  <c r="S210" i="6"/>
  <c r="B202" i="6"/>
  <c r="C202" i="6"/>
  <c r="D202" i="6"/>
  <c r="F202" i="6"/>
  <c r="I202" i="6"/>
  <c r="N202" i="6"/>
  <c r="S202" i="6"/>
  <c r="B203" i="6"/>
  <c r="C203" i="6"/>
  <c r="D203" i="6"/>
  <c r="F203" i="6"/>
  <c r="N203" i="6"/>
  <c r="S203" i="6"/>
  <c r="B204" i="6"/>
  <c r="C204" i="6"/>
  <c r="D204" i="6"/>
  <c r="F204" i="6"/>
  <c r="N204" i="6"/>
  <c r="S204" i="6"/>
  <c r="B205" i="6"/>
  <c r="C205" i="6"/>
  <c r="D205" i="6"/>
  <c r="F205" i="6"/>
  <c r="N205" i="6"/>
  <c r="S205" i="6"/>
  <c r="B206" i="6"/>
  <c r="C206" i="6"/>
  <c r="D206" i="6"/>
  <c r="F206" i="6"/>
  <c r="N206" i="6"/>
  <c r="S206" i="6"/>
  <c r="B207" i="6"/>
  <c r="C207" i="6"/>
  <c r="D207" i="6"/>
  <c r="F207" i="6"/>
  <c r="N207" i="6"/>
  <c r="S207" i="6"/>
  <c r="B198" i="6"/>
  <c r="C198" i="6"/>
  <c r="D198" i="6"/>
  <c r="F198" i="6"/>
  <c r="G198" i="6"/>
  <c r="N198" i="6"/>
  <c r="S198" i="6"/>
  <c r="B199" i="6"/>
  <c r="C199" i="6"/>
  <c r="D199" i="6"/>
  <c r="F199" i="6"/>
  <c r="G199" i="6"/>
  <c r="N199" i="6"/>
  <c r="S199" i="6"/>
  <c r="B200" i="6"/>
  <c r="C200" i="6"/>
  <c r="D200" i="6"/>
  <c r="F200" i="6"/>
  <c r="N200" i="6"/>
  <c r="S200" i="6"/>
  <c r="B201" i="6"/>
  <c r="C201" i="6"/>
  <c r="D201" i="6"/>
  <c r="F201" i="6"/>
  <c r="I201" i="6"/>
  <c r="N201" i="6"/>
  <c r="S201" i="6"/>
  <c r="B5" i="6"/>
  <c r="C5" i="6"/>
  <c r="D5" i="6"/>
  <c r="F5" i="6"/>
  <c r="G5" i="6"/>
  <c r="N5" i="6"/>
  <c r="S5" i="6"/>
  <c r="B6" i="6"/>
  <c r="C6" i="6"/>
  <c r="D6" i="6"/>
  <c r="F6" i="6"/>
  <c r="G6" i="6"/>
  <c r="N6" i="6"/>
  <c r="S6" i="6"/>
  <c r="B7" i="6"/>
  <c r="C7" i="6"/>
  <c r="D7" i="6"/>
  <c r="F7" i="6"/>
  <c r="N7" i="6"/>
  <c r="S7" i="6"/>
  <c r="B8" i="6"/>
  <c r="C8" i="6"/>
  <c r="D8" i="6"/>
  <c r="F8" i="6"/>
  <c r="N8" i="6"/>
  <c r="S8" i="6"/>
  <c r="B9" i="6"/>
  <c r="C9" i="6"/>
  <c r="D9" i="6"/>
  <c r="F9" i="6"/>
  <c r="G9" i="6"/>
  <c r="N9" i="6"/>
  <c r="S9" i="6"/>
  <c r="B10" i="6"/>
  <c r="C10" i="6"/>
  <c r="D10" i="6"/>
  <c r="F10" i="6"/>
  <c r="I10" i="6"/>
  <c r="N10" i="6"/>
  <c r="S10" i="6"/>
  <c r="B11" i="6"/>
  <c r="C11" i="6"/>
  <c r="D11" i="6"/>
  <c r="F11" i="6"/>
  <c r="N11" i="6"/>
  <c r="S11" i="6"/>
  <c r="B12" i="6"/>
  <c r="C12" i="6"/>
  <c r="D12" i="6"/>
  <c r="F12" i="6"/>
  <c r="N12" i="6"/>
  <c r="S12" i="6"/>
  <c r="B13" i="6"/>
  <c r="C13" i="6"/>
  <c r="D13" i="6"/>
  <c r="F13" i="6"/>
  <c r="N13" i="6"/>
  <c r="S13" i="6"/>
  <c r="B14" i="6"/>
  <c r="C14" i="6"/>
  <c r="D14" i="6"/>
  <c r="F14" i="6"/>
  <c r="N14" i="6"/>
  <c r="S14" i="6"/>
  <c r="B15" i="6"/>
  <c r="C15" i="6"/>
  <c r="D15" i="6"/>
  <c r="F15" i="6"/>
  <c r="N15" i="6"/>
  <c r="S15" i="6"/>
  <c r="B16" i="6"/>
  <c r="C16" i="6"/>
  <c r="D16" i="6"/>
  <c r="F16" i="6"/>
  <c r="N16" i="6"/>
  <c r="S16" i="6"/>
  <c r="B17" i="6"/>
  <c r="C17" i="6"/>
  <c r="D17" i="6"/>
  <c r="F17" i="6"/>
  <c r="N17" i="6"/>
  <c r="S17" i="6"/>
  <c r="B18" i="6"/>
  <c r="C18" i="6"/>
  <c r="D18" i="6"/>
  <c r="F18" i="6"/>
  <c r="N18" i="6"/>
  <c r="S18" i="6"/>
  <c r="B19" i="6"/>
  <c r="C19" i="6"/>
  <c r="D19" i="6"/>
  <c r="F19" i="6"/>
  <c r="G19" i="6"/>
  <c r="N19" i="6"/>
  <c r="S19" i="6"/>
  <c r="B20" i="6"/>
  <c r="C20" i="6"/>
  <c r="D20" i="6"/>
  <c r="F20" i="6"/>
  <c r="N20" i="6"/>
  <c r="S20" i="6"/>
  <c r="B21" i="6"/>
  <c r="C21" i="6"/>
  <c r="D21" i="6"/>
  <c r="F21" i="6"/>
  <c r="N21" i="6"/>
  <c r="S21" i="6"/>
  <c r="B22" i="6"/>
  <c r="C22" i="6"/>
  <c r="D22" i="6"/>
  <c r="F22" i="6"/>
  <c r="G22" i="6"/>
  <c r="N22" i="6"/>
  <c r="S22" i="6"/>
  <c r="B23" i="6"/>
  <c r="C23" i="6"/>
  <c r="D23" i="6"/>
  <c r="F23" i="6"/>
  <c r="N23" i="6"/>
  <c r="S23" i="6"/>
  <c r="B24" i="6"/>
  <c r="C24" i="6"/>
  <c r="D24" i="6"/>
  <c r="F24" i="6"/>
  <c r="N24" i="6"/>
  <c r="S24" i="6"/>
  <c r="B25" i="6"/>
  <c r="C25" i="6"/>
  <c r="D25" i="6"/>
  <c r="F25" i="6"/>
  <c r="I25" i="6"/>
  <c r="N25" i="6"/>
  <c r="S25" i="6"/>
  <c r="A26" i="6"/>
  <c r="B26" i="6"/>
  <c r="C26" i="6"/>
  <c r="D26" i="6"/>
  <c r="E26" i="6"/>
  <c r="F26" i="6"/>
  <c r="N26" i="6"/>
  <c r="S26" i="6"/>
  <c r="A27" i="6"/>
  <c r="B27" i="6"/>
  <c r="C27" i="6"/>
  <c r="D27" i="6"/>
  <c r="E27" i="6"/>
  <c r="F27" i="6"/>
  <c r="G27" i="6"/>
  <c r="H27" i="6"/>
  <c r="N27" i="6"/>
  <c r="S27" i="6"/>
  <c r="A28" i="6"/>
  <c r="B28" i="6"/>
  <c r="C28" i="6"/>
  <c r="D28" i="6"/>
  <c r="E28" i="6"/>
  <c r="F28" i="6"/>
  <c r="G28" i="6"/>
  <c r="N28" i="6"/>
  <c r="S28" i="6"/>
  <c r="A29" i="6"/>
  <c r="B29" i="6"/>
  <c r="C29" i="6"/>
  <c r="D29" i="6"/>
  <c r="E29" i="6"/>
  <c r="F29" i="6"/>
  <c r="G29" i="6"/>
  <c r="N29" i="6"/>
  <c r="S29" i="6"/>
  <c r="B30" i="6"/>
  <c r="C30" i="6"/>
  <c r="D30" i="6"/>
  <c r="E30" i="6"/>
  <c r="F30" i="6"/>
  <c r="G30" i="6"/>
  <c r="I30" i="6"/>
  <c r="N30" i="6"/>
  <c r="S30" i="6"/>
  <c r="B31" i="6"/>
  <c r="C31" i="6"/>
  <c r="D31" i="6"/>
  <c r="E31" i="6"/>
  <c r="F31" i="6"/>
  <c r="G31" i="6"/>
  <c r="I31" i="6"/>
  <c r="N31" i="6"/>
  <c r="S31" i="6"/>
  <c r="B32" i="6"/>
  <c r="C32" i="6"/>
  <c r="D32" i="6"/>
  <c r="F32" i="6"/>
  <c r="I32" i="6"/>
  <c r="N32" i="6"/>
  <c r="S32" i="6"/>
  <c r="B33" i="6"/>
  <c r="C33" i="6"/>
  <c r="D33" i="6"/>
  <c r="F33" i="6"/>
  <c r="N33" i="6"/>
  <c r="S33" i="6"/>
  <c r="B34" i="6"/>
  <c r="C34" i="6"/>
  <c r="D34" i="6"/>
  <c r="F34" i="6"/>
  <c r="N34" i="6"/>
  <c r="S34" i="6"/>
  <c r="B35" i="6"/>
  <c r="C35" i="6"/>
  <c r="D35" i="6"/>
  <c r="F35" i="6"/>
  <c r="G35" i="6"/>
  <c r="I35" i="6"/>
  <c r="N35" i="6"/>
  <c r="S35" i="6"/>
  <c r="B36" i="6"/>
  <c r="C36" i="6"/>
  <c r="D36" i="6"/>
  <c r="F36" i="6"/>
  <c r="G36" i="6"/>
  <c r="N36" i="6"/>
  <c r="S36" i="6"/>
  <c r="B37" i="6"/>
  <c r="C37" i="6"/>
  <c r="D37" i="6"/>
  <c r="F37" i="6"/>
  <c r="N37" i="6"/>
  <c r="S37" i="6"/>
  <c r="B38" i="6"/>
  <c r="C38" i="6"/>
  <c r="D38" i="6"/>
  <c r="F38" i="6"/>
  <c r="N38" i="6"/>
  <c r="S38" i="6"/>
  <c r="B39" i="6"/>
  <c r="C39" i="6"/>
  <c r="D39" i="6"/>
  <c r="F39" i="6"/>
  <c r="G39" i="6"/>
  <c r="N39" i="6"/>
  <c r="S39" i="6"/>
  <c r="B40" i="6"/>
  <c r="C40" i="6"/>
  <c r="D40" i="6"/>
  <c r="F40" i="6"/>
  <c r="G40" i="6"/>
  <c r="I40" i="6"/>
  <c r="N40" i="6"/>
  <c r="S40" i="6"/>
  <c r="B41" i="6"/>
  <c r="C41" i="6"/>
  <c r="D41" i="6"/>
  <c r="F41" i="6"/>
  <c r="G41" i="6"/>
  <c r="N41" i="6"/>
  <c r="S41" i="6"/>
  <c r="B42" i="6"/>
  <c r="C42" i="6"/>
  <c r="D42" i="6"/>
  <c r="F42" i="6"/>
  <c r="I42" i="6"/>
  <c r="N42" i="6"/>
  <c r="S42" i="6"/>
  <c r="B43" i="6"/>
  <c r="C43" i="6"/>
  <c r="D43" i="6"/>
  <c r="F43" i="6"/>
  <c r="I43" i="6"/>
  <c r="N43" i="6"/>
  <c r="S43" i="6"/>
  <c r="B44" i="6"/>
  <c r="C44" i="6"/>
  <c r="D44" i="6"/>
  <c r="F44" i="6"/>
  <c r="G44" i="6"/>
  <c r="I44" i="6"/>
  <c r="N44" i="6"/>
  <c r="S44" i="6"/>
  <c r="B45" i="6"/>
  <c r="C45" i="6"/>
  <c r="D45" i="6"/>
  <c r="F45" i="6"/>
  <c r="N45" i="6"/>
  <c r="S45" i="6"/>
  <c r="B46" i="6"/>
  <c r="C46" i="6"/>
  <c r="D46" i="6"/>
  <c r="F46" i="6"/>
  <c r="N46" i="6"/>
  <c r="S46" i="6"/>
  <c r="B47" i="6"/>
  <c r="C47" i="6"/>
  <c r="D47" i="6"/>
  <c r="F47" i="6"/>
  <c r="G47" i="6"/>
  <c r="N47" i="6"/>
  <c r="S47" i="6"/>
  <c r="B48" i="6"/>
  <c r="C48" i="6"/>
  <c r="D48" i="6"/>
  <c r="F48" i="6"/>
  <c r="G48" i="6"/>
  <c r="N48" i="6"/>
  <c r="S48" i="6"/>
  <c r="B49" i="6"/>
  <c r="C49" i="6"/>
  <c r="D49" i="6"/>
  <c r="F49" i="6"/>
  <c r="N49" i="6"/>
  <c r="S49" i="6"/>
  <c r="B50" i="6"/>
  <c r="C50" i="6"/>
  <c r="D50" i="6"/>
  <c r="F50" i="6"/>
  <c r="N50" i="6"/>
  <c r="S50" i="6"/>
  <c r="B51" i="6"/>
  <c r="C51" i="6"/>
  <c r="D51" i="6"/>
  <c r="F51" i="6"/>
  <c r="N51" i="6"/>
  <c r="S51" i="6"/>
  <c r="B52" i="6"/>
  <c r="C52" i="6"/>
  <c r="D52" i="6"/>
  <c r="F52" i="6"/>
  <c r="G52" i="6"/>
  <c r="I52" i="6"/>
  <c r="N52" i="6"/>
  <c r="S52" i="6"/>
  <c r="B53" i="6"/>
  <c r="C53" i="6"/>
  <c r="D53" i="6"/>
  <c r="F53" i="6"/>
  <c r="G53" i="6"/>
  <c r="N53" i="6"/>
  <c r="S53" i="6"/>
  <c r="B54" i="6"/>
  <c r="C54" i="6"/>
  <c r="D54" i="6"/>
  <c r="F54" i="6"/>
  <c r="G54" i="6"/>
  <c r="I54" i="6"/>
  <c r="N54" i="6"/>
  <c r="S54" i="6"/>
  <c r="B55" i="6"/>
  <c r="C55" i="6"/>
  <c r="D55" i="6"/>
  <c r="F55" i="6"/>
  <c r="I55" i="6"/>
  <c r="N55" i="6"/>
  <c r="S55" i="6"/>
  <c r="B56" i="6"/>
  <c r="C56" i="6"/>
  <c r="D56" i="6"/>
  <c r="F56" i="6"/>
  <c r="N56" i="6"/>
  <c r="S56" i="6"/>
  <c r="B57" i="6"/>
  <c r="C57" i="6"/>
  <c r="D57" i="6"/>
  <c r="F57" i="6"/>
  <c r="G57" i="6"/>
  <c r="I57" i="6"/>
  <c r="N57" i="6"/>
  <c r="S57" i="6"/>
  <c r="B58" i="6"/>
  <c r="C58" i="6"/>
  <c r="D58" i="6"/>
  <c r="F58" i="6"/>
  <c r="N58" i="6"/>
  <c r="S58" i="6"/>
  <c r="B59" i="6"/>
  <c r="C59" i="6"/>
  <c r="D59" i="6"/>
  <c r="F59" i="6"/>
  <c r="N59" i="6"/>
  <c r="S59" i="6"/>
  <c r="B60" i="6"/>
  <c r="C60" i="6"/>
  <c r="D60" i="6"/>
  <c r="F60" i="6"/>
  <c r="G60" i="6"/>
  <c r="N60" i="6"/>
  <c r="S60" i="6"/>
  <c r="B61" i="6"/>
  <c r="C61" i="6"/>
  <c r="D61" i="6"/>
  <c r="F61" i="6"/>
  <c r="N61" i="6"/>
  <c r="S61" i="6"/>
  <c r="B62" i="6"/>
  <c r="C62" i="6"/>
  <c r="D62" i="6"/>
  <c r="F62" i="6"/>
  <c r="I62" i="6"/>
  <c r="N62" i="6"/>
  <c r="S62" i="6"/>
  <c r="B63" i="6"/>
  <c r="C63" i="6"/>
  <c r="D63" i="6"/>
  <c r="F63" i="6"/>
  <c r="G63" i="6"/>
  <c r="N63" i="6"/>
  <c r="S63" i="6"/>
  <c r="B64" i="6"/>
  <c r="C64" i="6"/>
  <c r="D64" i="6"/>
  <c r="F64" i="6"/>
  <c r="G64" i="6"/>
  <c r="N64" i="6"/>
  <c r="S64" i="6"/>
  <c r="B65" i="6"/>
  <c r="C65" i="6"/>
  <c r="D65" i="6"/>
  <c r="F65" i="6"/>
  <c r="G65" i="6"/>
  <c r="I65" i="6"/>
  <c r="N65" i="6"/>
  <c r="S65" i="6"/>
  <c r="B66" i="6"/>
  <c r="C66" i="6"/>
  <c r="D66" i="6"/>
  <c r="F66" i="6"/>
  <c r="G66" i="6"/>
  <c r="I66" i="6"/>
  <c r="N66" i="6"/>
  <c r="S66" i="6"/>
  <c r="B67" i="6"/>
  <c r="C67" i="6"/>
  <c r="D67" i="6"/>
  <c r="F67" i="6"/>
  <c r="G67" i="6"/>
  <c r="I67" i="6"/>
  <c r="N67" i="6"/>
  <c r="S67" i="6"/>
  <c r="B68" i="6"/>
  <c r="C68" i="6"/>
  <c r="D68" i="6"/>
  <c r="F68" i="6"/>
  <c r="G68" i="6"/>
  <c r="I68" i="6"/>
  <c r="N68" i="6"/>
  <c r="S68" i="6"/>
  <c r="B69" i="6"/>
  <c r="C69" i="6"/>
  <c r="D69" i="6"/>
  <c r="F69" i="6"/>
  <c r="I69" i="6"/>
  <c r="N69" i="6"/>
  <c r="S69" i="6"/>
  <c r="B70" i="6"/>
  <c r="C70" i="6"/>
  <c r="D70" i="6"/>
  <c r="F70" i="6"/>
  <c r="I70" i="6"/>
  <c r="N70" i="6"/>
  <c r="S70" i="6"/>
  <c r="B71" i="6"/>
  <c r="C71" i="6"/>
  <c r="D71" i="6"/>
  <c r="F71" i="6"/>
  <c r="G71" i="6"/>
  <c r="N71" i="6"/>
  <c r="S71" i="6"/>
  <c r="A72" i="6"/>
  <c r="B72" i="6"/>
  <c r="C72" i="6"/>
  <c r="D72" i="6"/>
  <c r="F72" i="6"/>
  <c r="G72" i="6"/>
  <c r="I72" i="6"/>
  <c r="N72" i="6"/>
  <c r="S72" i="6"/>
  <c r="A73" i="6"/>
  <c r="B73" i="6"/>
  <c r="C73" i="6"/>
  <c r="D73" i="6"/>
  <c r="E73" i="6"/>
  <c r="F73" i="6"/>
  <c r="G73" i="6"/>
  <c r="N73" i="6"/>
  <c r="S73" i="6"/>
  <c r="B74" i="6"/>
  <c r="C74" i="6"/>
  <c r="D74" i="6"/>
  <c r="E74" i="6"/>
  <c r="F74" i="6"/>
  <c r="G74" i="6"/>
  <c r="N74" i="6"/>
  <c r="S74" i="6"/>
  <c r="B75" i="6"/>
  <c r="C75" i="6"/>
  <c r="D75" i="6"/>
  <c r="E75" i="6"/>
  <c r="F75" i="6"/>
  <c r="G75" i="6"/>
  <c r="N75" i="6"/>
  <c r="S75" i="6"/>
  <c r="B76" i="6"/>
  <c r="C76" i="6"/>
  <c r="D76" i="6"/>
  <c r="F76" i="6"/>
  <c r="G76" i="6"/>
  <c r="I76" i="6"/>
  <c r="N76" i="6"/>
  <c r="S76" i="6"/>
  <c r="B77" i="6"/>
  <c r="C77" i="6"/>
  <c r="D77" i="6"/>
  <c r="F77" i="6"/>
  <c r="G77" i="6"/>
  <c r="N77" i="6"/>
  <c r="S77" i="6"/>
  <c r="B78" i="6"/>
  <c r="C78" i="6"/>
  <c r="D78" i="6"/>
  <c r="F78" i="6"/>
  <c r="G78" i="6"/>
  <c r="N78" i="6"/>
  <c r="S78" i="6"/>
  <c r="B79" i="6"/>
  <c r="C79" i="6"/>
  <c r="D79" i="6"/>
  <c r="F79" i="6"/>
  <c r="N79" i="6"/>
  <c r="S79" i="6"/>
  <c r="B80" i="6"/>
  <c r="C80" i="6"/>
  <c r="D80" i="6"/>
  <c r="F80" i="6"/>
  <c r="N80" i="6"/>
  <c r="S80" i="6"/>
  <c r="B81" i="6"/>
  <c r="C81" i="6"/>
  <c r="D81" i="6"/>
  <c r="F81" i="6"/>
  <c r="G81" i="6"/>
  <c r="N81" i="6"/>
  <c r="S81" i="6"/>
  <c r="B82" i="6"/>
  <c r="C82" i="6"/>
  <c r="D82" i="6"/>
  <c r="F82" i="6"/>
  <c r="I82" i="6"/>
  <c r="N82" i="6"/>
  <c r="S82" i="6"/>
  <c r="B83" i="6"/>
  <c r="C83" i="6"/>
  <c r="D83" i="6"/>
  <c r="F83" i="6"/>
  <c r="G83" i="6"/>
  <c r="I83" i="6"/>
  <c r="N83" i="6"/>
  <c r="S83" i="6"/>
  <c r="B84" i="6"/>
  <c r="C84" i="6"/>
  <c r="D84" i="6"/>
  <c r="F84" i="6"/>
  <c r="G84" i="6"/>
  <c r="I84" i="6"/>
  <c r="N84" i="6"/>
  <c r="S84" i="6"/>
  <c r="B85" i="6"/>
  <c r="C85" i="6"/>
  <c r="D85" i="6"/>
  <c r="F85" i="6"/>
  <c r="G85" i="6"/>
  <c r="N85" i="6"/>
  <c r="S85" i="6"/>
  <c r="B86" i="6"/>
  <c r="C86" i="6"/>
  <c r="D86" i="6"/>
  <c r="F86" i="6"/>
  <c r="G86" i="6"/>
  <c r="N86" i="6"/>
  <c r="S86" i="6"/>
  <c r="B87" i="6"/>
  <c r="C87" i="6"/>
  <c r="D87" i="6"/>
  <c r="F87" i="6"/>
  <c r="G87" i="6"/>
  <c r="N87" i="6"/>
  <c r="S87" i="6"/>
  <c r="B88" i="6"/>
  <c r="C88" i="6"/>
  <c r="D88" i="6"/>
  <c r="F88" i="6"/>
  <c r="G88" i="6"/>
  <c r="N88" i="6"/>
  <c r="S88" i="6"/>
  <c r="B89" i="6"/>
  <c r="C89" i="6"/>
  <c r="D89" i="6"/>
  <c r="F89" i="6"/>
  <c r="G89" i="6"/>
  <c r="N89" i="6"/>
  <c r="S89" i="6"/>
  <c r="B90" i="6"/>
  <c r="C90" i="6"/>
  <c r="D90" i="6"/>
  <c r="F90" i="6"/>
  <c r="I90" i="6"/>
  <c r="N90" i="6"/>
  <c r="S90" i="6"/>
  <c r="B91" i="6"/>
  <c r="C91" i="6"/>
  <c r="D91" i="6"/>
  <c r="F91" i="6"/>
  <c r="G91" i="6"/>
  <c r="N91" i="6"/>
  <c r="S91" i="6"/>
  <c r="B92" i="6"/>
  <c r="C92" i="6"/>
  <c r="D92" i="6"/>
  <c r="F92" i="6"/>
  <c r="G92" i="6"/>
  <c r="N92" i="6"/>
  <c r="S92" i="6"/>
  <c r="B93" i="6"/>
  <c r="C93" i="6"/>
  <c r="D93" i="6"/>
  <c r="F93" i="6"/>
  <c r="G93" i="6"/>
  <c r="I93" i="6"/>
  <c r="N93" i="6"/>
  <c r="S93" i="6"/>
  <c r="B94" i="6"/>
  <c r="C94" i="6"/>
  <c r="D94" i="6"/>
  <c r="F94" i="6"/>
  <c r="G94" i="6"/>
  <c r="I94" i="6"/>
  <c r="N94" i="6"/>
  <c r="S94" i="6"/>
  <c r="B95" i="6"/>
  <c r="C95" i="6"/>
  <c r="D95" i="6"/>
  <c r="F95" i="6"/>
  <c r="G95" i="6"/>
  <c r="I95" i="6"/>
  <c r="N95" i="6"/>
  <c r="S95" i="6"/>
  <c r="B96" i="6"/>
  <c r="C96" i="6"/>
  <c r="D96" i="6"/>
  <c r="F96" i="6"/>
  <c r="G96" i="6"/>
  <c r="I96" i="6"/>
  <c r="N96" i="6"/>
  <c r="S96" i="6"/>
  <c r="B97" i="6"/>
  <c r="C97" i="6"/>
  <c r="D97" i="6"/>
  <c r="F97" i="6"/>
  <c r="I97" i="6"/>
  <c r="N97" i="6"/>
  <c r="S97" i="6"/>
  <c r="B98" i="6"/>
  <c r="C98" i="6"/>
  <c r="D98" i="6"/>
  <c r="F98" i="6"/>
  <c r="G98" i="6"/>
  <c r="I98" i="6"/>
  <c r="N98" i="6"/>
  <c r="S98" i="6"/>
  <c r="B99" i="6"/>
  <c r="C99" i="6"/>
  <c r="D99" i="6"/>
  <c r="F99" i="6"/>
  <c r="G99" i="6"/>
  <c r="N99" i="6"/>
  <c r="S99" i="6"/>
  <c r="A100" i="6"/>
  <c r="B100" i="6"/>
  <c r="C100" i="6"/>
  <c r="D100" i="6"/>
  <c r="E100" i="6"/>
  <c r="F100" i="6"/>
  <c r="G100" i="6"/>
  <c r="N100" i="6"/>
  <c r="S100" i="6"/>
  <c r="A101" i="6"/>
  <c r="B101" i="6"/>
  <c r="C101" i="6"/>
  <c r="D101" i="6"/>
  <c r="E101" i="6"/>
  <c r="F101" i="6"/>
  <c r="G101" i="6"/>
  <c r="N101" i="6"/>
  <c r="S101" i="6"/>
  <c r="A102" i="6"/>
  <c r="B102" i="6"/>
  <c r="C102" i="6"/>
  <c r="D102" i="6"/>
  <c r="E102" i="6"/>
  <c r="F102" i="6"/>
  <c r="G102" i="6"/>
  <c r="H102" i="6"/>
  <c r="N102" i="6"/>
  <c r="S102" i="6"/>
  <c r="B103" i="6"/>
  <c r="C103" i="6"/>
  <c r="D103" i="6"/>
  <c r="F103" i="6"/>
  <c r="G103" i="6"/>
  <c r="H103" i="6"/>
  <c r="I103" i="6"/>
  <c r="N103" i="6"/>
  <c r="S103" i="6"/>
  <c r="B104" i="6"/>
  <c r="C104" i="6"/>
  <c r="D104" i="6"/>
  <c r="F104" i="6"/>
  <c r="I104" i="6"/>
  <c r="N104" i="6"/>
  <c r="S104" i="6"/>
  <c r="B105" i="6"/>
  <c r="C105" i="6"/>
  <c r="D105" i="6"/>
  <c r="F105" i="6"/>
  <c r="G105" i="6"/>
  <c r="I105" i="6"/>
  <c r="N105" i="6"/>
  <c r="S105" i="6"/>
  <c r="B106" i="6"/>
  <c r="C106" i="6"/>
  <c r="D106" i="6"/>
  <c r="F106" i="6"/>
  <c r="I106" i="6"/>
  <c r="N106" i="6"/>
  <c r="S106" i="6"/>
  <c r="B107" i="6"/>
  <c r="C107" i="6"/>
  <c r="D107" i="6"/>
  <c r="F107" i="6"/>
  <c r="N107" i="6"/>
  <c r="S107" i="6"/>
  <c r="B108" i="6"/>
  <c r="C108" i="6"/>
  <c r="D108" i="6"/>
  <c r="F108" i="6"/>
  <c r="G108" i="6"/>
  <c r="I108" i="6"/>
  <c r="N108" i="6"/>
  <c r="S108" i="6"/>
  <c r="B109" i="6"/>
  <c r="C109" i="6"/>
  <c r="D109" i="6"/>
  <c r="F109" i="6"/>
  <c r="I109" i="6"/>
  <c r="N109" i="6"/>
  <c r="S109" i="6"/>
  <c r="B110" i="6"/>
  <c r="C110" i="6"/>
  <c r="D110" i="6"/>
  <c r="F110" i="6"/>
  <c r="G110" i="6"/>
  <c r="N110" i="6"/>
  <c r="S110" i="6"/>
  <c r="B111" i="6"/>
  <c r="C111" i="6"/>
  <c r="D111" i="6"/>
  <c r="F111" i="6"/>
  <c r="G111" i="6"/>
  <c r="N111" i="6"/>
  <c r="S111" i="6"/>
  <c r="B112" i="6"/>
  <c r="C112" i="6"/>
  <c r="D112" i="6"/>
  <c r="F112" i="6"/>
  <c r="G112" i="6"/>
  <c r="I112" i="6"/>
  <c r="N112" i="6"/>
  <c r="S112" i="6"/>
  <c r="B113" i="6"/>
  <c r="C113" i="6"/>
  <c r="D113" i="6"/>
  <c r="F113" i="6"/>
  <c r="N113" i="6"/>
  <c r="S113" i="6"/>
  <c r="B114" i="6"/>
  <c r="C114" i="6"/>
  <c r="D114" i="6"/>
  <c r="F114" i="6"/>
  <c r="G114" i="6"/>
  <c r="N114" i="6"/>
  <c r="S114" i="6"/>
  <c r="B115" i="6"/>
  <c r="C115" i="6"/>
  <c r="D115" i="6"/>
  <c r="F115" i="6"/>
  <c r="G115" i="6"/>
  <c r="N115" i="6"/>
  <c r="S115" i="6"/>
  <c r="B116" i="6"/>
  <c r="C116" i="6"/>
  <c r="D116" i="6"/>
  <c r="F116" i="6"/>
  <c r="G116" i="6"/>
  <c r="I116" i="6"/>
  <c r="N116" i="6"/>
  <c r="S116" i="6"/>
  <c r="B117" i="6"/>
  <c r="C117" i="6"/>
  <c r="D117" i="6"/>
  <c r="F117" i="6"/>
  <c r="G117" i="6"/>
  <c r="I117" i="6"/>
  <c r="N117" i="6"/>
  <c r="S117" i="6"/>
  <c r="B118" i="6"/>
  <c r="C118" i="6"/>
  <c r="D118" i="6"/>
  <c r="F118" i="6"/>
  <c r="I118" i="6"/>
  <c r="N118" i="6"/>
  <c r="S118" i="6"/>
  <c r="B119" i="6"/>
  <c r="C119" i="6"/>
  <c r="D119" i="6"/>
  <c r="F119" i="6"/>
  <c r="N119" i="6"/>
  <c r="S119" i="6"/>
  <c r="B120" i="6"/>
  <c r="C120" i="6"/>
  <c r="D120" i="6"/>
  <c r="F120" i="6"/>
  <c r="G120" i="6"/>
  <c r="N120" i="6"/>
  <c r="S120" i="6"/>
  <c r="B121" i="6"/>
  <c r="C121" i="6"/>
  <c r="D121" i="6"/>
  <c r="F121" i="6"/>
  <c r="N121" i="6"/>
  <c r="S121" i="6"/>
  <c r="B122" i="6"/>
  <c r="C122" i="6"/>
  <c r="D122" i="6"/>
  <c r="F122" i="6"/>
  <c r="G122" i="6"/>
  <c r="I122" i="6"/>
  <c r="N122" i="6"/>
  <c r="S122" i="6"/>
  <c r="B123" i="6"/>
  <c r="C123" i="6"/>
  <c r="D123" i="6"/>
  <c r="F123" i="6"/>
  <c r="G123" i="6"/>
  <c r="N123" i="6"/>
  <c r="S123" i="6"/>
  <c r="B124" i="6"/>
  <c r="C124" i="6"/>
  <c r="D124" i="6"/>
  <c r="F124" i="6"/>
  <c r="G124" i="6"/>
  <c r="N124" i="6"/>
  <c r="S124" i="6"/>
  <c r="B125" i="6"/>
  <c r="C125" i="6"/>
  <c r="D125" i="6"/>
  <c r="F125" i="6"/>
  <c r="I125" i="6"/>
  <c r="N125" i="6"/>
  <c r="S125" i="6"/>
  <c r="B126" i="6"/>
  <c r="C126" i="6"/>
  <c r="D126" i="6"/>
  <c r="F126" i="6"/>
  <c r="G126" i="6"/>
  <c r="H126" i="6"/>
  <c r="I126" i="6"/>
  <c r="N126" i="6"/>
  <c r="S126" i="6"/>
  <c r="B127" i="6"/>
  <c r="C127" i="6"/>
  <c r="D127" i="6"/>
  <c r="F127" i="6"/>
  <c r="G127" i="6"/>
  <c r="I127" i="6"/>
  <c r="N127" i="6"/>
  <c r="S127" i="6"/>
  <c r="B128" i="6"/>
  <c r="C128" i="6"/>
  <c r="D128" i="6"/>
  <c r="F128" i="6"/>
  <c r="G128" i="6"/>
  <c r="I128" i="6"/>
  <c r="N128" i="6"/>
  <c r="S128" i="6"/>
  <c r="B129" i="6"/>
  <c r="C129" i="6"/>
  <c r="D129" i="6"/>
  <c r="F129" i="6"/>
  <c r="I129" i="6"/>
  <c r="N129" i="6"/>
  <c r="S129" i="6"/>
  <c r="B130" i="6"/>
  <c r="C130" i="6"/>
  <c r="D130" i="6"/>
  <c r="F130" i="6"/>
  <c r="G130" i="6"/>
  <c r="H130" i="6"/>
  <c r="I130" i="6"/>
  <c r="N130" i="6"/>
  <c r="S130" i="6"/>
  <c r="B131" i="6"/>
  <c r="C131" i="6"/>
  <c r="D131" i="6"/>
  <c r="F131" i="6"/>
  <c r="G131" i="6"/>
  <c r="N131" i="6"/>
  <c r="S131" i="6"/>
  <c r="B132" i="6"/>
  <c r="C132" i="6"/>
  <c r="D132" i="6"/>
  <c r="F132" i="6"/>
  <c r="G132" i="6"/>
  <c r="N132" i="6"/>
  <c r="S132" i="6"/>
  <c r="B133" i="6"/>
  <c r="C133" i="6"/>
  <c r="D133" i="6"/>
  <c r="F133" i="6"/>
  <c r="G133" i="6"/>
  <c r="I133" i="6"/>
  <c r="N133" i="6"/>
  <c r="S133" i="6"/>
  <c r="B134" i="6"/>
  <c r="C134" i="6"/>
  <c r="D134" i="6"/>
  <c r="F134" i="6"/>
  <c r="G134" i="6"/>
  <c r="I134" i="6"/>
  <c r="N134" i="6"/>
  <c r="S134" i="6"/>
  <c r="B135" i="6"/>
  <c r="C135" i="6"/>
  <c r="D135" i="6"/>
  <c r="F135" i="6"/>
  <c r="G135" i="6"/>
  <c r="I135" i="6"/>
  <c r="N135" i="6"/>
  <c r="S135" i="6"/>
  <c r="B136" i="6"/>
  <c r="C136" i="6"/>
  <c r="D136" i="6"/>
  <c r="F136" i="6"/>
  <c r="G136" i="6"/>
  <c r="I136" i="6"/>
  <c r="N136" i="6"/>
  <c r="S136" i="6"/>
  <c r="B137" i="6"/>
  <c r="C137" i="6"/>
  <c r="D137" i="6"/>
  <c r="F137" i="6"/>
  <c r="G137" i="6"/>
  <c r="I137" i="6"/>
  <c r="N137" i="6"/>
  <c r="S137" i="6"/>
  <c r="A138" i="6"/>
  <c r="B138" i="6"/>
  <c r="C138" i="6"/>
  <c r="D138" i="6"/>
  <c r="E138" i="6"/>
  <c r="F138" i="6"/>
  <c r="G138" i="6"/>
  <c r="I138" i="6"/>
  <c r="N138" i="6"/>
  <c r="S138" i="6"/>
  <c r="A139" i="6"/>
  <c r="B139" i="6"/>
  <c r="C139" i="6"/>
  <c r="D139" i="6"/>
  <c r="E139" i="6"/>
  <c r="F139" i="6"/>
  <c r="G139" i="6"/>
  <c r="I139" i="6"/>
  <c r="N139" i="6"/>
  <c r="S139" i="6"/>
  <c r="A140" i="6"/>
  <c r="B140" i="6"/>
  <c r="C140" i="6"/>
  <c r="D140" i="6"/>
  <c r="E140" i="6"/>
  <c r="F140" i="6"/>
  <c r="G140" i="6"/>
  <c r="H140" i="6"/>
  <c r="I140" i="6"/>
  <c r="N140" i="6"/>
  <c r="S140" i="6"/>
  <c r="A141" i="6"/>
  <c r="B141" i="6"/>
  <c r="C141" i="6"/>
  <c r="D141" i="6"/>
  <c r="E141" i="6"/>
  <c r="F141" i="6"/>
  <c r="N141" i="6"/>
  <c r="S141" i="6"/>
  <c r="B142" i="6"/>
  <c r="C142" i="6"/>
  <c r="D142" i="6"/>
  <c r="E142" i="6"/>
  <c r="F142" i="6"/>
  <c r="G142" i="6"/>
  <c r="I142" i="6"/>
  <c r="N142" i="6"/>
  <c r="S142" i="6"/>
  <c r="B143" i="6"/>
  <c r="C143" i="6"/>
  <c r="D143" i="6"/>
  <c r="E143" i="6"/>
  <c r="F143" i="6"/>
  <c r="G143" i="6"/>
  <c r="H143" i="6"/>
  <c r="N143" i="6"/>
  <c r="S143" i="6"/>
  <c r="B144" i="6"/>
  <c r="C144" i="6"/>
  <c r="D144" i="6"/>
  <c r="E144" i="6"/>
  <c r="F144" i="6"/>
  <c r="G144" i="6"/>
  <c r="I144" i="6"/>
  <c r="N144" i="6"/>
  <c r="S144" i="6"/>
  <c r="B145" i="6"/>
  <c r="C145" i="6"/>
  <c r="D145" i="6"/>
  <c r="F145" i="6"/>
  <c r="G145" i="6"/>
  <c r="H145" i="6"/>
  <c r="I145" i="6"/>
  <c r="N145" i="6"/>
  <c r="S145" i="6"/>
  <c r="B146" i="6"/>
  <c r="C146" i="6"/>
  <c r="D146" i="6"/>
  <c r="F146" i="6"/>
  <c r="G146" i="6"/>
  <c r="I146" i="6"/>
  <c r="N146" i="6"/>
  <c r="S146" i="6"/>
  <c r="B147" i="6"/>
  <c r="C147" i="6"/>
  <c r="D147" i="6"/>
  <c r="F147" i="6"/>
  <c r="N147" i="6"/>
  <c r="S147" i="6"/>
  <c r="B148" i="6"/>
  <c r="C148" i="6"/>
  <c r="D148" i="6"/>
  <c r="F148" i="6"/>
  <c r="G148" i="6"/>
  <c r="I148" i="6"/>
  <c r="N148" i="6"/>
  <c r="S148" i="6"/>
  <c r="B149" i="6"/>
  <c r="C149" i="6"/>
  <c r="D149" i="6"/>
  <c r="E149" i="6"/>
  <c r="F149" i="6"/>
  <c r="G149" i="6"/>
  <c r="N149" i="6"/>
  <c r="S149" i="6"/>
  <c r="B150" i="6"/>
  <c r="C150" i="6"/>
  <c r="D150" i="6"/>
  <c r="E150" i="6"/>
  <c r="F150" i="6"/>
  <c r="N150" i="6"/>
  <c r="S150" i="6"/>
  <c r="B151" i="6"/>
  <c r="C151" i="6"/>
  <c r="D151" i="6"/>
  <c r="F151" i="6"/>
  <c r="N151" i="6"/>
  <c r="S151" i="6"/>
  <c r="B152" i="6"/>
  <c r="C152" i="6"/>
  <c r="D152" i="6"/>
  <c r="F152" i="6"/>
  <c r="G152" i="6"/>
  <c r="N152" i="6"/>
  <c r="S152" i="6"/>
  <c r="B153" i="6"/>
  <c r="C153" i="6"/>
  <c r="D153" i="6"/>
  <c r="F153" i="6"/>
  <c r="G153" i="6"/>
  <c r="I153" i="6"/>
  <c r="N153" i="6"/>
  <c r="S153" i="6"/>
  <c r="B154" i="6"/>
  <c r="C154" i="6"/>
  <c r="D154" i="6"/>
  <c r="F154" i="6"/>
  <c r="N154" i="6"/>
  <c r="S154" i="6"/>
  <c r="B155" i="6"/>
  <c r="C155" i="6"/>
  <c r="D155" i="6"/>
  <c r="F155" i="6"/>
  <c r="G155" i="6"/>
  <c r="N155" i="6"/>
  <c r="S155" i="6"/>
  <c r="B156" i="6"/>
  <c r="C156" i="6"/>
  <c r="D156" i="6"/>
  <c r="F156" i="6"/>
  <c r="G156" i="6"/>
  <c r="I156" i="6"/>
  <c r="N156" i="6"/>
  <c r="S156" i="6"/>
  <c r="B157" i="6"/>
  <c r="C157" i="6"/>
  <c r="D157" i="6"/>
  <c r="F157" i="6"/>
  <c r="N157" i="6"/>
  <c r="S157" i="6"/>
  <c r="B158" i="6"/>
  <c r="C158" i="6"/>
  <c r="D158" i="6"/>
  <c r="F158" i="6"/>
  <c r="G158" i="6"/>
  <c r="I158" i="6"/>
  <c r="N158" i="6"/>
  <c r="S158" i="6"/>
  <c r="B159" i="6"/>
  <c r="C159" i="6"/>
  <c r="D159" i="6"/>
  <c r="F159" i="6"/>
  <c r="G159" i="6"/>
  <c r="I159" i="6"/>
  <c r="N159" i="6"/>
  <c r="S159" i="6"/>
  <c r="B160" i="6"/>
  <c r="C160" i="6"/>
  <c r="D160" i="6"/>
  <c r="F160" i="6"/>
  <c r="G160" i="6"/>
  <c r="I160" i="6"/>
  <c r="N160" i="6"/>
  <c r="S160" i="6"/>
  <c r="B161" i="6"/>
  <c r="C161" i="6"/>
  <c r="D161" i="6"/>
  <c r="F161" i="6"/>
  <c r="N161" i="6"/>
  <c r="S161" i="6"/>
  <c r="B162" i="6"/>
  <c r="C162" i="6"/>
  <c r="D162" i="6"/>
  <c r="F162" i="6"/>
  <c r="N162" i="6"/>
  <c r="S162" i="6"/>
  <c r="B163" i="6"/>
  <c r="C163" i="6"/>
  <c r="D163" i="6"/>
  <c r="F163" i="6"/>
  <c r="G163" i="6"/>
  <c r="N163" i="6"/>
  <c r="S163" i="6"/>
  <c r="B164" i="6"/>
  <c r="C164" i="6"/>
  <c r="D164" i="6"/>
  <c r="F164" i="6"/>
  <c r="G164" i="6"/>
  <c r="N164" i="6"/>
  <c r="S164" i="6"/>
  <c r="B165" i="6"/>
  <c r="C165" i="6"/>
  <c r="D165" i="6"/>
  <c r="F165" i="6"/>
  <c r="G165" i="6"/>
  <c r="N165" i="6"/>
  <c r="S165" i="6"/>
  <c r="B166" i="6"/>
  <c r="C166" i="6"/>
  <c r="D166" i="6"/>
  <c r="F166" i="6"/>
  <c r="G166" i="6"/>
  <c r="N166" i="6"/>
  <c r="S166" i="6"/>
  <c r="B167" i="6"/>
  <c r="C167" i="6"/>
  <c r="D167" i="6"/>
  <c r="F167" i="6"/>
  <c r="G167" i="6"/>
  <c r="N167" i="6"/>
  <c r="S167" i="6"/>
  <c r="B168" i="6"/>
  <c r="C168" i="6"/>
  <c r="D168" i="6"/>
  <c r="G168" i="6"/>
  <c r="I168" i="6"/>
  <c r="N168" i="6"/>
  <c r="S168" i="6"/>
  <c r="B169" i="6"/>
  <c r="C169" i="6"/>
  <c r="D169" i="6"/>
  <c r="F169" i="6"/>
  <c r="G169" i="6"/>
  <c r="N169" i="6"/>
  <c r="S169" i="6"/>
  <c r="B170" i="6"/>
  <c r="C170" i="6"/>
  <c r="D170" i="6"/>
  <c r="F170" i="6"/>
  <c r="G170" i="6"/>
  <c r="N170" i="6"/>
  <c r="S170" i="6"/>
  <c r="B171" i="6"/>
  <c r="C171" i="6"/>
  <c r="D171" i="6"/>
  <c r="F171" i="6"/>
  <c r="N171" i="6"/>
  <c r="S171" i="6"/>
  <c r="B172" i="6"/>
  <c r="C172" i="6"/>
  <c r="D172" i="6"/>
  <c r="F172" i="6"/>
  <c r="N172" i="6"/>
  <c r="S172" i="6"/>
  <c r="B173" i="6"/>
  <c r="C173" i="6"/>
  <c r="D173" i="6"/>
  <c r="F173" i="6"/>
  <c r="G173" i="6"/>
  <c r="N173" i="6"/>
  <c r="S173" i="6"/>
  <c r="B174" i="6"/>
  <c r="C174" i="6"/>
  <c r="D174" i="6"/>
  <c r="F174" i="6"/>
  <c r="G174" i="6"/>
  <c r="I174" i="6"/>
  <c r="N174" i="6"/>
  <c r="S174" i="6"/>
  <c r="B175" i="6"/>
  <c r="C175" i="6"/>
  <c r="D175" i="6"/>
  <c r="F175" i="6"/>
  <c r="I175" i="6"/>
  <c r="N175" i="6"/>
  <c r="S175" i="6"/>
  <c r="B176" i="6"/>
  <c r="C176" i="6"/>
  <c r="D176" i="6"/>
  <c r="F176" i="6"/>
  <c r="G176" i="6"/>
  <c r="N176" i="6"/>
  <c r="S176" i="6"/>
  <c r="B177" i="6"/>
  <c r="C177" i="6"/>
  <c r="D177" i="6"/>
  <c r="F177" i="6"/>
  <c r="G177" i="6"/>
  <c r="N177" i="6"/>
  <c r="S177" i="6"/>
  <c r="A178" i="6"/>
  <c r="B178" i="6"/>
  <c r="C178" i="6"/>
  <c r="D178" i="6"/>
  <c r="E178" i="6"/>
  <c r="F178" i="6"/>
  <c r="G178" i="6"/>
  <c r="I178" i="6"/>
  <c r="N178" i="6"/>
  <c r="S178" i="6"/>
  <c r="A179" i="6"/>
  <c r="B179" i="6"/>
  <c r="C179" i="6"/>
  <c r="D179" i="6"/>
  <c r="E179" i="6"/>
  <c r="G179" i="6"/>
  <c r="I179" i="6"/>
  <c r="N179" i="6"/>
  <c r="S179" i="6"/>
  <c r="B180" i="6"/>
  <c r="C180" i="6"/>
  <c r="D180" i="6"/>
  <c r="E180" i="6"/>
  <c r="F180" i="6"/>
  <c r="G180" i="6"/>
  <c r="H180" i="6"/>
  <c r="I180" i="6"/>
  <c r="N180" i="6"/>
  <c r="S180" i="6"/>
  <c r="B181" i="6"/>
  <c r="C181" i="6"/>
  <c r="D181" i="6"/>
  <c r="E181" i="6"/>
  <c r="G181" i="6"/>
  <c r="I181" i="6"/>
  <c r="N181" i="6"/>
  <c r="S181" i="6"/>
  <c r="B182" i="6"/>
  <c r="C182" i="6"/>
  <c r="D182" i="6"/>
  <c r="E182" i="6"/>
  <c r="F182" i="6"/>
  <c r="G182" i="6"/>
  <c r="I182" i="6"/>
  <c r="N182" i="6"/>
  <c r="S182" i="6"/>
  <c r="B183" i="6"/>
  <c r="C183" i="6"/>
  <c r="D183" i="6"/>
  <c r="E183" i="6"/>
  <c r="F183" i="6"/>
  <c r="G183" i="6"/>
  <c r="I183" i="6"/>
  <c r="N183" i="6"/>
  <c r="S183" i="6"/>
  <c r="B184" i="6"/>
  <c r="C184" i="6"/>
  <c r="D184" i="6"/>
  <c r="E184" i="6"/>
  <c r="F184" i="6"/>
  <c r="G184" i="6"/>
  <c r="I184" i="6"/>
  <c r="N184" i="6"/>
  <c r="S184" i="6"/>
  <c r="B185" i="6"/>
  <c r="C185" i="6"/>
  <c r="D185" i="6"/>
  <c r="F185" i="6"/>
  <c r="G185" i="6"/>
  <c r="H185" i="6"/>
  <c r="I185" i="6"/>
  <c r="N185" i="6"/>
  <c r="S185" i="6"/>
  <c r="A186" i="6"/>
  <c r="B186" i="6"/>
  <c r="C186" i="6"/>
  <c r="D186" i="6"/>
  <c r="E186" i="6"/>
  <c r="F186" i="6"/>
  <c r="G186" i="6"/>
  <c r="I186" i="6"/>
  <c r="N186" i="6"/>
  <c r="S186" i="6"/>
  <c r="A187" i="6"/>
  <c r="B187" i="6"/>
  <c r="C187" i="6"/>
  <c r="D187" i="6"/>
  <c r="E187" i="6"/>
  <c r="F187" i="6"/>
  <c r="G187" i="6"/>
  <c r="I187" i="6"/>
  <c r="N187" i="6"/>
  <c r="S187" i="6"/>
  <c r="A188" i="6"/>
  <c r="B188" i="6"/>
  <c r="C188" i="6"/>
  <c r="D188" i="6"/>
  <c r="E188" i="6"/>
  <c r="F188" i="6"/>
  <c r="G188" i="6"/>
  <c r="N188" i="6"/>
  <c r="S188" i="6"/>
  <c r="B189" i="6"/>
  <c r="C189" i="6"/>
  <c r="D189" i="6"/>
  <c r="F189" i="6"/>
  <c r="I189" i="6"/>
  <c r="N189" i="6"/>
  <c r="S189" i="6"/>
  <c r="B190" i="6"/>
  <c r="C190" i="6"/>
  <c r="D190" i="6"/>
  <c r="F190" i="6"/>
  <c r="G190" i="6"/>
  <c r="I190" i="6"/>
  <c r="N190" i="6"/>
  <c r="S190" i="6"/>
  <c r="B191" i="6"/>
  <c r="C191" i="6"/>
  <c r="D191" i="6"/>
  <c r="F191" i="6"/>
  <c r="N191" i="6"/>
  <c r="S191" i="6"/>
  <c r="B192" i="6"/>
  <c r="C192" i="6"/>
  <c r="D192" i="6"/>
  <c r="F192" i="6"/>
  <c r="G192" i="6"/>
  <c r="N192" i="6"/>
  <c r="S192" i="6"/>
  <c r="B193" i="6"/>
  <c r="C193" i="6"/>
  <c r="D193" i="6"/>
  <c r="F193" i="6"/>
  <c r="N193" i="6"/>
  <c r="S193" i="6"/>
  <c r="B194" i="6"/>
  <c r="C194" i="6"/>
  <c r="D194" i="6"/>
  <c r="F194" i="6"/>
  <c r="G194" i="6"/>
  <c r="N194" i="6"/>
  <c r="S194" i="6"/>
  <c r="B195" i="6"/>
  <c r="C195" i="6"/>
  <c r="D195" i="6"/>
  <c r="F195" i="6"/>
  <c r="G195" i="6"/>
  <c r="N195" i="6"/>
  <c r="S195" i="6"/>
  <c r="B196" i="6"/>
  <c r="C196" i="6"/>
  <c r="D196" i="6"/>
  <c r="F196" i="6"/>
  <c r="I196" i="6"/>
  <c r="N196" i="6"/>
  <c r="S196" i="6"/>
  <c r="B197" i="6"/>
  <c r="C197" i="6"/>
  <c r="D197" i="6"/>
  <c r="F197" i="6"/>
  <c r="G197" i="6"/>
  <c r="I197" i="6"/>
  <c r="N197" i="6"/>
  <c r="S197" i="6"/>
  <c r="S4" i="6"/>
  <c r="N4" i="6"/>
  <c r="F4" i="6"/>
  <c r="E4" i="6"/>
  <c r="D4" i="6"/>
  <c r="C4" i="6"/>
  <c r="B4" i="6"/>
  <c r="B5" i="16"/>
  <c r="C5" i="16"/>
  <c r="D5" i="16"/>
  <c r="B6" i="16"/>
  <c r="C6" i="16"/>
  <c r="D6" i="16"/>
  <c r="B7" i="16"/>
  <c r="C7" i="16"/>
  <c r="B8" i="16"/>
  <c r="C8" i="16"/>
  <c r="B9" i="16"/>
  <c r="C9" i="16"/>
  <c r="B10" i="16"/>
  <c r="C10" i="16"/>
  <c r="B11" i="16"/>
  <c r="C11" i="16"/>
  <c r="F11" i="16"/>
  <c r="B12" i="16"/>
  <c r="C12" i="16"/>
  <c r="B13" i="16"/>
  <c r="C13" i="16"/>
  <c r="D13" i="16"/>
  <c r="B14" i="16"/>
  <c r="C14" i="16"/>
  <c r="B15" i="16"/>
  <c r="C15" i="16"/>
  <c r="D15" i="16"/>
  <c r="B16" i="16"/>
  <c r="C16" i="16"/>
  <c r="D16" i="16"/>
  <c r="F16" i="16"/>
  <c r="B17" i="16"/>
  <c r="C17" i="16"/>
  <c r="B18" i="16"/>
  <c r="C18" i="16"/>
  <c r="F18" i="16"/>
  <c r="B19" i="16"/>
  <c r="C19" i="16"/>
  <c r="B20" i="16"/>
  <c r="C20" i="16"/>
  <c r="B21" i="16"/>
  <c r="C21" i="16"/>
  <c r="B22" i="16"/>
  <c r="C22" i="16"/>
  <c r="D22" i="16"/>
  <c r="B23" i="16"/>
  <c r="C23" i="16"/>
  <c r="B24" i="16"/>
  <c r="C24" i="16"/>
  <c r="F24" i="16"/>
  <c r="B25" i="16"/>
  <c r="C25" i="16"/>
  <c r="A26" i="16"/>
  <c r="B26" i="16"/>
  <c r="C26" i="16"/>
  <c r="D26" i="16"/>
  <c r="F26" i="16"/>
  <c r="K26" i="16"/>
  <c r="A27" i="16"/>
  <c r="B27" i="16"/>
  <c r="C27" i="16"/>
  <c r="D27" i="16"/>
  <c r="E27" i="16"/>
  <c r="F27" i="16"/>
  <c r="K27" i="16"/>
  <c r="A28" i="16"/>
  <c r="B28" i="16"/>
  <c r="C28" i="16"/>
  <c r="D28" i="16"/>
  <c r="F28" i="16"/>
  <c r="K28" i="16"/>
  <c r="A29" i="16"/>
  <c r="B29" i="16"/>
  <c r="C29" i="16"/>
  <c r="D29" i="16"/>
  <c r="F29" i="16"/>
  <c r="B30" i="16"/>
  <c r="C30" i="16"/>
  <c r="D30" i="16"/>
  <c r="F30" i="16"/>
  <c r="B31" i="16"/>
  <c r="C31" i="16"/>
  <c r="D31" i="16"/>
  <c r="F31" i="16"/>
  <c r="B32" i="16"/>
  <c r="C32" i="16"/>
  <c r="B33" i="16"/>
  <c r="C33" i="16"/>
  <c r="D33" i="16"/>
  <c r="F33" i="16"/>
  <c r="B34" i="16"/>
  <c r="C34" i="16"/>
  <c r="D34" i="16"/>
  <c r="B35" i="16"/>
  <c r="C35" i="16"/>
  <c r="D35" i="16"/>
  <c r="F35" i="16"/>
  <c r="B36" i="16"/>
  <c r="C36" i="16"/>
  <c r="D36" i="16"/>
  <c r="B37" i="16"/>
  <c r="C37" i="16"/>
  <c r="D37" i="16"/>
  <c r="B38" i="16"/>
  <c r="C38" i="16"/>
  <c r="F38" i="16"/>
  <c r="B39" i="16"/>
  <c r="C39" i="16"/>
  <c r="D39" i="16"/>
  <c r="B40" i="16"/>
  <c r="C40" i="16"/>
  <c r="D40" i="16"/>
  <c r="B41" i="16"/>
  <c r="C41" i="16"/>
  <c r="D41" i="16"/>
  <c r="B42" i="16"/>
  <c r="C42" i="16"/>
  <c r="F42" i="16"/>
  <c r="B43" i="16"/>
  <c r="C43" i="16"/>
  <c r="F43" i="16"/>
  <c r="B44" i="16"/>
  <c r="C44" i="16"/>
  <c r="D44" i="16"/>
  <c r="F44" i="16"/>
  <c r="B45" i="16"/>
  <c r="C45" i="16"/>
  <c r="F45" i="16"/>
  <c r="B46" i="16"/>
  <c r="C46" i="16"/>
  <c r="F46" i="16"/>
  <c r="B47" i="16"/>
  <c r="C47" i="16"/>
  <c r="D47" i="16"/>
  <c r="B48" i="16"/>
  <c r="C48" i="16"/>
  <c r="B49" i="16"/>
  <c r="C49" i="16"/>
  <c r="D49" i="16"/>
  <c r="F49" i="16"/>
  <c r="B50" i="16"/>
  <c r="C50" i="16"/>
  <c r="B51" i="16"/>
  <c r="C51" i="16"/>
  <c r="B52" i="16"/>
  <c r="C52" i="16"/>
  <c r="D52" i="16"/>
  <c r="F52" i="16"/>
  <c r="B53" i="16"/>
  <c r="C53" i="16"/>
  <c r="D53" i="16"/>
  <c r="B54" i="16"/>
  <c r="C54" i="16"/>
  <c r="D54" i="16"/>
  <c r="F54" i="16"/>
  <c r="B55" i="16"/>
  <c r="C55" i="16"/>
  <c r="F55" i="16"/>
  <c r="B56" i="16"/>
  <c r="C56" i="16"/>
  <c r="B57" i="16"/>
  <c r="C57" i="16"/>
  <c r="D57" i="16"/>
  <c r="F57" i="16"/>
  <c r="B58" i="16"/>
  <c r="C58" i="16"/>
  <c r="D58" i="16"/>
  <c r="F58" i="16"/>
  <c r="B59" i="16"/>
  <c r="C59" i="16"/>
  <c r="D59" i="16"/>
  <c r="F59" i="16"/>
  <c r="B60" i="16"/>
  <c r="C60" i="16"/>
  <c r="D60" i="16"/>
  <c r="F60" i="16"/>
  <c r="B61" i="16"/>
  <c r="C61" i="16"/>
  <c r="D61" i="16"/>
  <c r="B62" i="16"/>
  <c r="C62" i="16"/>
  <c r="B63" i="16"/>
  <c r="C63" i="16"/>
  <c r="D63" i="16"/>
  <c r="B64" i="16"/>
  <c r="C64" i="16"/>
  <c r="D64" i="16"/>
  <c r="B65" i="16"/>
  <c r="C65" i="16"/>
  <c r="D65" i="16"/>
  <c r="B66" i="16"/>
  <c r="C66" i="16"/>
  <c r="F66" i="16"/>
  <c r="B67" i="16"/>
  <c r="C67" i="16"/>
  <c r="D67" i="16"/>
  <c r="F67" i="16"/>
  <c r="B68" i="16"/>
  <c r="C68" i="16"/>
  <c r="D68" i="16"/>
  <c r="F68" i="16"/>
  <c r="B69" i="16"/>
  <c r="C69" i="16"/>
  <c r="F69" i="16"/>
  <c r="B70" i="16"/>
  <c r="C70" i="16"/>
  <c r="D70" i="16"/>
  <c r="F70" i="16"/>
  <c r="B71" i="16"/>
  <c r="C71" i="16"/>
  <c r="D71" i="16"/>
  <c r="A72" i="16"/>
  <c r="B72" i="16"/>
  <c r="C72" i="16"/>
  <c r="D72" i="16"/>
  <c r="F72" i="16"/>
  <c r="A73" i="16"/>
  <c r="B73" i="16"/>
  <c r="C73" i="16"/>
  <c r="D73" i="16"/>
  <c r="B74" i="16"/>
  <c r="C74" i="16"/>
  <c r="D74" i="16"/>
  <c r="B75" i="16"/>
  <c r="C75" i="16"/>
  <c r="D75" i="16"/>
  <c r="B76" i="16"/>
  <c r="C76" i="16"/>
  <c r="D76" i="16"/>
  <c r="B77" i="16"/>
  <c r="C77" i="16"/>
  <c r="D77" i="16"/>
  <c r="B78" i="16"/>
  <c r="C78" i="16"/>
  <c r="D78" i="16"/>
  <c r="F78" i="16"/>
  <c r="B79" i="16"/>
  <c r="C79" i="16"/>
  <c r="B80" i="16"/>
  <c r="C80" i="16"/>
  <c r="B81" i="16"/>
  <c r="C81" i="16"/>
  <c r="D81" i="16"/>
  <c r="F81" i="16"/>
  <c r="B82" i="16"/>
  <c r="C82" i="16"/>
  <c r="F82" i="16"/>
  <c r="B83" i="16"/>
  <c r="C83" i="16"/>
  <c r="D83" i="16"/>
  <c r="B84" i="16"/>
  <c r="C84" i="16"/>
  <c r="D84" i="16"/>
  <c r="F84" i="16"/>
  <c r="B85" i="16"/>
  <c r="C85" i="16"/>
  <c r="D85" i="16"/>
  <c r="B86" i="16"/>
  <c r="C86" i="16"/>
  <c r="D86" i="16"/>
  <c r="B87" i="16"/>
  <c r="C87" i="16"/>
  <c r="D87" i="16"/>
  <c r="B88" i="16"/>
  <c r="C88" i="16"/>
  <c r="D88" i="16"/>
  <c r="B89" i="16"/>
  <c r="C89" i="16"/>
  <c r="B90" i="16"/>
  <c r="C90" i="16"/>
  <c r="D90" i="16"/>
  <c r="B91" i="16"/>
  <c r="C91" i="16"/>
  <c r="D91" i="16"/>
  <c r="F91" i="16"/>
  <c r="B92" i="16"/>
  <c r="C92" i="16"/>
  <c r="D92" i="16"/>
  <c r="F92" i="16"/>
  <c r="B93" i="16"/>
  <c r="C93" i="16"/>
  <c r="F93" i="16"/>
  <c r="B94" i="16"/>
  <c r="C94" i="16"/>
  <c r="D94" i="16"/>
  <c r="F94" i="16"/>
  <c r="B95" i="16"/>
  <c r="C95" i="16"/>
  <c r="D95" i="16"/>
  <c r="F95" i="16"/>
  <c r="B96" i="16"/>
  <c r="C96" i="16"/>
  <c r="D96" i="16"/>
  <c r="F96" i="16"/>
  <c r="B97" i="16"/>
  <c r="C97" i="16"/>
  <c r="D97" i="16"/>
  <c r="F97" i="16"/>
  <c r="B98" i="16"/>
  <c r="C98" i="16"/>
  <c r="D98" i="16"/>
  <c r="F98" i="16"/>
  <c r="B99" i="16"/>
  <c r="C99" i="16"/>
  <c r="D99" i="16"/>
  <c r="F99" i="16"/>
  <c r="A100" i="16"/>
  <c r="B100" i="16"/>
  <c r="C100" i="16"/>
  <c r="D100" i="16"/>
  <c r="F100" i="16"/>
  <c r="K100" i="16"/>
  <c r="A101" i="16"/>
  <c r="B101" i="16"/>
  <c r="C101" i="16"/>
  <c r="D101" i="16"/>
  <c r="E101" i="16"/>
  <c r="F101" i="16"/>
  <c r="K101" i="16"/>
  <c r="A102" i="16"/>
  <c r="B102" i="16"/>
  <c r="C102" i="16"/>
  <c r="D102" i="16"/>
  <c r="F102" i="16"/>
  <c r="B103" i="16"/>
  <c r="C103" i="16"/>
  <c r="D103" i="16"/>
  <c r="E103" i="16"/>
  <c r="F103" i="16"/>
  <c r="B104" i="16"/>
  <c r="C104" i="16"/>
  <c r="F104" i="16"/>
  <c r="B105" i="16"/>
  <c r="C105" i="16"/>
  <c r="D105" i="16"/>
  <c r="F105" i="16"/>
  <c r="B106" i="16"/>
  <c r="C106" i="16"/>
  <c r="F106" i="16"/>
  <c r="B107" i="16"/>
  <c r="C107" i="16"/>
  <c r="D107" i="16"/>
  <c r="B108" i="16"/>
  <c r="C108" i="16"/>
  <c r="D108" i="16"/>
  <c r="F108" i="16"/>
  <c r="B109" i="16"/>
  <c r="C109" i="16"/>
  <c r="B110" i="16"/>
  <c r="C110" i="16"/>
  <c r="D110" i="16"/>
  <c r="F110" i="16"/>
  <c r="B111" i="16"/>
  <c r="C111" i="16"/>
  <c r="D111" i="16"/>
  <c r="B112" i="16"/>
  <c r="C112" i="16"/>
  <c r="D112" i="16"/>
  <c r="B113" i="16"/>
  <c r="C113" i="16"/>
  <c r="B114" i="16"/>
  <c r="C114" i="16"/>
  <c r="D114" i="16"/>
  <c r="B115" i="16"/>
  <c r="C115" i="16"/>
  <c r="B116" i="16"/>
  <c r="C116" i="16"/>
  <c r="D116" i="16"/>
  <c r="F116" i="16"/>
  <c r="B117" i="16"/>
  <c r="C117" i="16"/>
  <c r="D117" i="16"/>
  <c r="F117" i="16"/>
  <c r="B118" i="16"/>
  <c r="C118" i="16"/>
  <c r="D118" i="16"/>
  <c r="F118" i="16"/>
  <c r="B119" i="16"/>
  <c r="C119" i="16"/>
  <c r="D119" i="16"/>
  <c r="B120" i="16"/>
  <c r="C120" i="16"/>
  <c r="D120" i="16"/>
  <c r="F120" i="16"/>
  <c r="B121" i="16"/>
  <c r="C121" i="16"/>
  <c r="F121" i="16"/>
  <c r="B122" i="16"/>
  <c r="C122" i="16"/>
  <c r="D122" i="16"/>
  <c r="B123" i="16"/>
  <c r="C123" i="16"/>
  <c r="D123" i="16"/>
  <c r="B124" i="16"/>
  <c r="C124" i="16"/>
  <c r="D124" i="16"/>
  <c r="F124" i="16"/>
  <c r="B125" i="16"/>
  <c r="C125" i="16"/>
  <c r="D125" i="16"/>
  <c r="E125" i="16"/>
  <c r="F125" i="16"/>
  <c r="B126" i="16"/>
  <c r="C126" i="16"/>
  <c r="D126" i="16"/>
  <c r="E126" i="16"/>
  <c r="F126" i="16"/>
  <c r="B127" i="16"/>
  <c r="C127" i="16"/>
  <c r="D127" i="16"/>
  <c r="F127" i="16"/>
  <c r="B128" i="16"/>
  <c r="C128" i="16"/>
  <c r="D128" i="16"/>
  <c r="F128" i="16"/>
  <c r="B129" i="16"/>
  <c r="C129" i="16"/>
  <c r="D129" i="16"/>
  <c r="F129" i="16"/>
  <c r="B130" i="16"/>
  <c r="C130" i="16"/>
  <c r="D130" i="16"/>
  <c r="E130" i="16"/>
  <c r="F130" i="16"/>
  <c r="B131" i="16"/>
  <c r="C131" i="16"/>
  <c r="D131" i="16"/>
  <c r="B132" i="16"/>
  <c r="C132" i="16"/>
  <c r="D132" i="16"/>
  <c r="B133" i="16"/>
  <c r="C133" i="16"/>
  <c r="D133" i="16"/>
  <c r="F133" i="16"/>
  <c r="B134" i="16"/>
  <c r="C134" i="16"/>
  <c r="D134" i="16"/>
  <c r="F134" i="16"/>
  <c r="B135" i="16"/>
  <c r="C135" i="16"/>
  <c r="D135" i="16"/>
  <c r="F135" i="16"/>
  <c r="B136" i="16"/>
  <c r="C136" i="16"/>
  <c r="D136" i="16"/>
  <c r="F136" i="16"/>
  <c r="B137" i="16"/>
  <c r="C137" i="16"/>
  <c r="D137" i="16"/>
  <c r="A138" i="16"/>
  <c r="B138" i="16"/>
  <c r="C138" i="16"/>
  <c r="D138" i="16"/>
  <c r="E138" i="16"/>
  <c r="F138" i="16"/>
  <c r="K138" i="16"/>
  <c r="A139" i="16"/>
  <c r="B139" i="16"/>
  <c r="C139" i="16"/>
  <c r="D139" i="16"/>
  <c r="F139" i="16"/>
  <c r="K139" i="16"/>
  <c r="A140" i="16"/>
  <c r="B140" i="16"/>
  <c r="C140" i="16"/>
  <c r="D140" i="16"/>
  <c r="E140" i="16"/>
  <c r="F140" i="16"/>
  <c r="K140" i="16"/>
  <c r="A141" i="16"/>
  <c r="B141" i="16"/>
  <c r="C141" i="16"/>
  <c r="D141" i="16"/>
  <c r="B142" i="16"/>
  <c r="C142" i="16"/>
  <c r="D142" i="16"/>
  <c r="F142" i="16"/>
  <c r="B143" i="16"/>
  <c r="C143" i="16"/>
  <c r="E143" i="16"/>
  <c r="B144" i="16"/>
  <c r="C144" i="16"/>
  <c r="D144" i="16"/>
  <c r="F144" i="16"/>
  <c r="B145" i="16"/>
  <c r="C145" i="16"/>
  <c r="D145" i="16"/>
  <c r="E145" i="16"/>
  <c r="F145" i="16"/>
  <c r="B146" i="16"/>
  <c r="C146" i="16"/>
  <c r="D146" i="16"/>
  <c r="F146" i="16"/>
  <c r="B147" i="16"/>
  <c r="C147" i="16"/>
  <c r="D147" i="16"/>
  <c r="F147" i="16"/>
  <c r="B148" i="16"/>
  <c r="C148" i="16"/>
  <c r="D148" i="16"/>
  <c r="B149" i="16"/>
  <c r="C149" i="16"/>
  <c r="D149" i="16"/>
  <c r="B150" i="16"/>
  <c r="C150" i="16"/>
  <c r="B151" i="16"/>
  <c r="C151" i="16"/>
  <c r="D151" i="16"/>
  <c r="B152" i="16"/>
  <c r="C152" i="16"/>
  <c r="D152" i="16"/>
  <c r="B153" i="16"/>
  <c r="C153" i="16"/>
  <c r="D153" i="16"/>
  <c r="F153" i="16"/>
  <c r="B154" i="16"/>
  <c r="C154" i="16"/>
  <c r="F154" i="16"/>
  <c r="B155" i="16"/>
  <c r="C155" i="16"/>
  <c r="D155" i="16"/>
  <c r="F155" i="16"/>
  <c r="B156" i="16"/>
  <c r="C156" i="16"/>
  <c r="D156" i="16"/>
  <c r="F156" i="16"/>
  <c r="B157" i="16"/>
  <c r="C157" i="16"/>
  <c r="D157" i="16"/>
  <c r="F157" i="16"/>
  <c r="B158" i="16"/>
  <c r="C158" i="16"/>
  <c r="D158" i="16"/>
  <c r="F158" i="16"/>
  <c r="B159" i="16"/>
  <c r="C159" i="16"/>
  <c r="D159" i="16"/>
  <c r="F159" i="16"/>
  <c r="B160" i="16"/>
  <c r="C160" i="16"/>
  <c r="D160" i="16"/>
  <c r="F160" i="16"/>
  <c r="B161" i="16"/>
  <c r="C161" i="16"/>
  <c r="D161" i="16"/>
  <c r="B162" i="16"/>
  <c r="C162" i="16"/>
  <c r="D162" i="16"/>
  <c r="F162" i="16"/>
  <c r="B163" i="16"/>
  <c r="C163" i="16"/>
  <c r="D163" i="16"/>
  <c r="B164" i="16"/>
  <c r="C164" i="16"/>
  <c r="D164" i="16"/>
  <c r="F164" i="16"/>
  <c r="B165" i="16"/>
  <c r="C165" i="16"/>
  <c r="D165" i="16"/>
  <c r="B166" i="16"/>
  <c r="C166" i="16"/>
  <c r="D166" i="16"/>
  <c r="B167" i="16"/>
  <c r="C167" i="16"/>
  <c r="D167" i="16"/>
  <c r="B168" i="16"/>
  <c r="C168" i="16"/>
  <c r="D168" i="16"/>
  <c r="F168" i="16"/>
  <c r="B169" i="16"/>
  <c r="C169" i="16"/>
  <c r="D169" i="16"/>
  <c r="B170" i="16"/>
  <c r="C170" i="16"/>
  <c r="D170" i="16"/>
  <c r="B171" i="16"/>
  <c r="C171" i="16"/>
  <c r="B172" i="16"/>
  <c r="C172" i="16"/>
  <c r="D172" i="16"/>
  <c r="B173" i="16"/>
  <c r="C173" i="16"/>
  <c r="D173" i="16"/>
  <c r="F173" i="16"/>
  <c r="B174" i="16"/>
  <c r="C174" i="16"/>
  <c r="D174" i="16"/>
  <c r="E174" i="16"/>
  <c r="F174" i="16"/>
  <c r="B175" i="16"/>
  <c r="C175" i="16"/>
  <c r="F175" i="16"/>
  <c r="B176" i="16"/>
  <c r="C176" i="16"/>
  <c r="D176" i="16"/>
  <c r="F176" i="16"/>
  <c r="B177" i="16"/>
  <c r="C177" i="16"/>
  <c r="D177" i="16"/>
  <c r="A178" i="16"/>
  <c r="B178" i="16"/>
  <c r="C178" i="16"/>
  <c r="D178" i="16"/>
  <c r="F178" i="16"/>
  <c r="K178" i="16"/>
  <c r="A179" i="16"/>
  <c r="B179" i="16"/>
  <c r="C179" i="16"/>
  <c r="D179" i="16"/>
  <c r="F179" i="16"/>
  <c r="B180" i="16"/>
  <c r="C180" i="16"/>
  <c r="D180" i="16"/>
  <c r="E180" i="16"/>
  <c r="F180" i="16"/>
  <c r="B181" i="16"/>
  <c r="C181" i="16"/>
  <c r="D181" i="16"/>
  <c r="E181" i="16"/>
  <c r="F181" i="16"/>
  <c r="B182" i="16"/>
  <c r="C182" i="16"/>
  <c r="D182" i="16"/>
  <c r="F182" i="16"/>
  <c r="B183" i="16"/>
  <c r="C183" i="16"/>
  <c r="D183" i="16"/>
  <c r="F183" i="16"/>
  <c r="B184" i="16"/>
  <c r="C184" i="16"/>
  <c r="D184" i="16"/>
  <c r="F184" i="16"/>
  <c r="B185" i="16"/>
  <c r="C185" i="16"/>
  <c r="D185" i="16"/>
  <c r="F185" i="16"/>
  <c r="A186" i="16"/>
  <c r="B186" i="16"/>
  <c r="C186" i="16"/>
  <c r="D186" i="16"/>
  <c r="E186" i="16"/>
  <c r="F186" i="16"/>
  <c r="K186" i="16"/>
  <c r="A187" i="16"/>
  <c r="B187" i="16"/>
  <c r="C187" i="16"/>
  <c r="D187" i="16"/>
  <c r="F187" i="16"/>
  <c r="K187" i="16"/>
  <c r="A188" i="16"/>
  <c r="B188" i="16"/>
  <c r="C188" i="16"/>
  <c r="D188" i="16"/>
  <c r="F188" i="16"/>
  <c r="B189" i="16"/>
  <c r="C189" i="16"/>
  <c r="D189" i="16"/>
  <c r="F189" i="16"/>
  <c r="B190" i="16"/>
  <c r="C190" i="16"/>
  <c r="D190" i="16"/>
  <c r="F190" i="16"/>
  <c r="B191" i="16"/>
  <c r="C191" i="16"/>
  <c r="D191" i="16"/>
  <c r="F191" i="16"/>
  <c r="B192" i="16"/>
  <c r="C192" i="16"/>
  <c r="D192" i="16"/>
  <c r="E192" i="16"/>
  <c r="F192" i="16"/>
  <c r="B193" i="16"/>
  <c r="C193" i="16"/>
  <c r="B194" i="16"/>
  <c r="C194" i="16"/>
  <c r="D194" i="16"/>
  <c r="B195" i="16"/>
  <c r="C195" i="16"/>
  <c r="D195" i="16"/>
  <c r="B196" i="16"/>
  <c r="C196" i="16"/>
  <c r="F196" i="16"/>
  <c r="B197" i="16"/>
  <c r="C197" i="16"/>
  <c r="B198" i="16"/>
  <c r="C198" i="16"/>
  <c r="B199" i="16"/>
  <c r="C199" i="16"/>
  <c r="D199" i="16"/>
  <c r="B200" i="16"/>
  <c r="C200" i="16"/>
  <c r="D200" i="16"/>
  <c r="B201" i="16"/>
  <c r="C201" i="16"/>
  <c r="D201" i="16"/>
  <c r="F201" i="16"/>
  <c r="B202" i="16"/>
  <c r="C202" i="16"/>
  <c r="D202" i="16"/>
  <c r="F202" i="16"/>
  <c r="B203" i="16"/>
  <c r="C203" i="16"/>
  <c r="D203" i="16"/>
  <c r="B204" i="16"/>
  <c r="C204" i="16"/>
  <c r="B205" i="16"/>
  <c r="C205" i="16"/>
  <c r="D205" i="16"/>
  <c r="B206" i="16"/>
  <c r="C206" i="16"/>
  <c r="B207" i="16"/>
  <c r="C207" i="16"/>
  <c r="B208" i="16"/>
  <c r="C208" i="16"/>
  <c r="F208" i="16"/>
  <c r="B209" i="16"/>
  <c r="C209" i="16"/>
  <c r="D209" i="16"/>
  <c r="B210" i="16"/>
  <c r="C210" i="16"/>
  <c r="D210" i="16"/>
  <c r="F4" i="16"/>
  <c r="C4" i="16"/>
  <c r="B4" i="16"/>
  <c r="A178" i="4"/>
  <c r="A179" i="4"/>
  <c r="A186" i="4"/>
  <c r="A187" i="4"/>
  <c r="A188" i="4"/>
  <c r="A211" i="4"/>
  <c r="C168" i="3"/>
  <c r="G168" i="3" s="1"/>
  <c r="C22" i="3"/>
  <c r="C99" i="3"/>
  <c r="F99" i="3" s="1"/>
  <c r="M99" i="6" s="1"/>
  <c r="C131" i="3"/>
  <c r="C155" i="3"/>
  <c r="H211" i="3"/>
  <c r="I211" i="3"/>
  <c r="B5" i="3"/>
  <c r="C5" i="3"/>
  <c r="D5" i="3" s="1"/>
  <c r="G5" i="16" s="1"/>
  <c r="B6" i="3"/>
  <c r="C6" i="3"/>
  <c r="B7" i="3"/>
  <c r="B8" i="3"/>
  <c r="B9" i="3"/>
  <c r="B10" i="3"/>
  <c r="C10" i="3"/>
  <c r="B11" i="3"/>
  <c r="C11" i="3"/>
  <c r="D11" i="3" s="1"/>
  <c r="K11" i="6" s="1"/>
  <c r="B12" i="3"/>
  <c r="B13" i="3"/>
  <c r="B14" i="3"/>
  <c r="B15" i="3"/>
  <c r="C15" i="3"/>
  <c r="G15" i="3" s="1"/>
  <c r="R15" i="6" s="1"/>
  <c r="B16" i="3"/>
  <c r="B17" i="3"/>
  <c r="C17" i="3"/>
  <c r="B18" i="3"/>
  <c r="B19" i="3"/>
  <c r="C19" i="3"/>
  <c r="D19" i="3" s="1"/>
  <c r="G19" i="3"/>
  <c r="R19" i="6" s="1"/>
  <c r="B20" i="3"/>
  <c r="B21" i="3"/>
  <c r="B22" i="3"/>
  <c r="B23" i="3"/>
  <c r="B24" i="3"/>
  <c r="B25" i="3"/>
  <c r="A26" i="3"/>
  <c r="B26" i="3"/>
  <c r="C26" i="3"/>
  <c r="D26" i="3" s="1"/>
  <c r="F26" i="3"/>
  <c r="M26" i="6" s="1"/>
  <c r="A27" i="3"/>
  <c r="B27" i="3"/>
  <c r="C27" i="3"/>
  <c r="D27" i="3"/>
  <c r="A28" i="3"/>
  <c r="B28" i="3"/>
  <c r="C28" i="3"/>
  <c r="A29" i="3"/>
  <c r="B29" i="3"/>
  <c r="C29" i="3"/>
  <c r="E29" i="3" s="1"/>
  <c r="B30" i="3"/>
  <c r="C30" i="3"/>
  <c r="G30" i="3" s="1"/>
  <c r="R30" i="6" s="1"/>
  <c r="B31" i="3"/>
  <c r="C31" i="3"/>
  <c r="E31" i="3" s="1"/>
  <c r="B32" i="3"/>
  <c r="C32" i="3"/>
  <c r="B33" i="3"/>
  <c r="C33" i="3"/>
  <c r="E33" i="3" s="1"/>
  <c r="D33" i="3"/>
  <c r="B34" i="3"/>
  <c r="C34" i="3"/>
  <c r="B35" i="3"/>
  <c r="C35" i="3"/>
  <c r="E35" i="3" s="1"/>
  <c r="B36" i="3"/>
  <c r="C36" i="3"/>
  <c r="G36" i="3" s="1"/>
  <c r="R36" i="6" s="1"/>
  <c r="B37" i="3"/>
  <c r="C37" i="3"/>
  <c r="F37" i="3" s="1"/>
  <c r="M37" i="6" s="1"/>
  <c r="D37" i="3"/>
  <c r="B38" i="3"/>
  <c r="B39" i="3"/>
  <c r="C39" i="3"/>
  <c r="E39" i="3" s="1"/>
  <c r="D39" i="3"/>
  <c r="B40" i="3"/>
  <c r="C40" i="3"/>
  <c r="D40" i="3" s="1"/>
  <c r="B41" i="3"/>
  <c r="C41" i="3"/>
  <c r="G41" i="3" s="1"/>
  <c r="R41" i="6" s="1"/>
  <c r="B42" i="3"/>
  <c r="B43" i="3"/>
  <c r="C43" i="3"/>
  <c r="E43" i="3"/>
  <c r="B44" i="3"/>
  <c r="C44" i="3"/>
  <c r="D44" i="3" s="1"/>
  <c r="B45" i="3"/>
  <c r="B46" i="3"/>
  <c r="C46" i="3"/>
  <c r="D46" i="3" s="1"/>
  <c r="B47" i="3"/>
  <c r="C47" i="3"/>
  <c r="B48" i="3"/>
  <c r="B49" i="3"/>
  <c r="C49" i="3"/>
  <c r="B50" i="3"/>
  <c r="C50" i="3"/>
  <c r="D50" i="3" s="1"/>
  <c r="B51" i="3"/>
  <c r="C51" i="3"/>
  <c r="F51" i="3" s="1"/>
  <c r="M51" i="6" s="1"/>
  <c r="B52" i="3"/>
  <c r="C52" i="3"/>
  <c r="D52" i="3" s="1"/>
  <c r="B53" i="3"/>
  <c r="C53" i="3"/>
  <c r="B54" i="3"/>
  <c r="C54" i="3"/>
  <c r="D54" i="3" s="1"/>
  <c r="B55" i="3"/>
  <c r="C55" i="3"/>
  <c r="D55" i="3" s="1"/>
  <c r="K55" i="6" s="1"/>
  <c r="B56" i="3"/>
  <c r="C56" i="3"/>
  <c r="D56" i="3" s="1"/>
  <c r="F56" i="3"/>
  <c r="M56" i="6" s="1"/>
  <c r="B57" i="3"/>
  <c r="C57" i="3"/>
  <c r="G57" i="3" s="1"/>
  <c r="R57" i="6" s="1"/>
  <c r="B58" i="3"/>
  <c r="C58" i="3"/>
  <c r="G58" i="3"/>
  <c r="R58" i="6" s="1"/>
  <c r="B59" i="3"/>
  <c r="C59" i="3"/>
  <c r="B60" i="3"/>
  <c r="C60" i="3"/>
  <c r="G60" i="3" s="1"/>
  <c r="R60" i="6" s="1"/>
  <c r="B61" i="3"/>
  <c r="B62" i="3"/>
  <c r="C62" i="3"/>
  <c r="D62" i="3" s="1"/>
  <c r="F62" i="3"/>
  <c r="M62" i="6" s="1"/>
  <c r="G62" i="3"/>
  <c r="R62" i="6" s="1"/>
  <c r="B63" i="3"/>
  <c r="C63" i="3"/>
  <c r="B64" i="3"/>
  <c r="C64" i="3"/>
  <c r="B65" i="3"/>
  <c r="C65" i="3"/>
  <c r="D65" i="3" s="1"/>
  <c r="K65" i="6" s="1"/>
  <c r="B66" i="3"/>
  <c r="B67" i="3"/>
  <c r="C67" i="3"/>
  <c r="B68" i="3"/>
  <c r="C68" i="3"/>
  <c r="E68" i="3"/>
  <c r="F68" i="3"/>
  <c r="M68" i="6" s="1"/>
  <c r="B69" i="3"/>
  <c r="C69" i="3"/>
  <c r="B70" i="3"/>
  <c r="B71" i="3"/>
  <c r="C71" i="3"/>
  <c r="D71" i="3" s="1"/>
  <c r="K71" i="6" s="1"/>
  <c r="A72" i="3"/>
  <c r="B72" i="3"/>
  <c r="C72" i="3"/>
  <c r="E72" i="3" s="1"/>
  <c r="A73" i="3"/>
  <c r="B73" i="3"/>
  <c r="C73" i="3"/>
  <c r="F73" i="3" s="1"/>
  <c r="M73" i="6" s="1"/>
  <c r="B74" i="3"/>
  <c r="C74" i="3"/>
  <c r="E74" i="3" s="1"/>
  <c r="B75" i="3"/>
  <c r="C75" i="3"/>
  <c r="G75" i="3" s="1"/>
  <c r="R75" i="6" s="1"/>
  <c r="B76" i="3"/>
  <c r="C76" i="3"/>
  <c r="B77" i="3"/>
  <c r="C77" i="3"/>
  <c r="D77" i="3" s="1"/>
  <c r="B78" i="3"/>
  <c r="C78" i="3"/>
  <c r="B79" i="3"/>
  <c r="B80" i="3"/>
  <c r="B81" i="3"/>
  <c r="C81" i="3"/>
  <c r="G81" i="3" s="1"/>
  <c r="R81" i="6" s="1"/>
  <c r="B82" i="3"/>
  <c r="B83" i="3"/>
  <c r="B84" i="3"/>
  <c r="C84" i="3"/>
  <c r="B85" i="3"/>
  <c r="C85" i="3"/>
  <c r="F85" i="3" s="1"/>
  <c r="M85" i="6" s="1"/>
  <c r="B86" i="3"/>
  <c r="C86" i="3"/>
  <c r="B87" i="3"/>
  <c r="C87" i="3"/>
  <c r="G87" i="3" s="1"/>
  <c r="R87" i="6" s="1"/>
  <c r="B88" i="3"/>
  <c r="C88" i="3"/>
  <c r="G88" i="3" s="1"/>
  <c r="R88" i="6" s="1"/>
  <c r="B89" i="3"/>
  <c r="C89" i="3"/>
  <c r="D89" i="3" s="1"/>
  <c r="F89" i="3"/>
  <c r="M89" i="6" s="1"/>
  <c r="G89" i="3"/>
  <c r="R89" i="6" s="1"/>
  <c r="B90" i="3"/>
  <c r="B91" i="3"/>
  <c r="C91" i="3"/>
  <c r="D91" i="3" s="1"/>
  <c r="K91" i="6" s="1"/>
  <c r="B92" i="3"/>
  <c r="C92" i="3"/>
  <c r="E92" i="3"/>
  <c r="B93" i="3"/>
  <c r="B94" i="3"/>
  <c r="C94" i="3"/>
  <c r="D94" i="3" s="1"/>
  <c r="K94" i="6" s="1"/>
  <c r="B95" i="3"/>
  <c r="C95" i="3"/>
  <c r="D95" i="3" s="1"/>
  <c r="K95" i="6" s="1"/>
  <c r="B96" i="3"/>
  <c r="C96" i="3"/>
  <c r="B97" i="3"/>
  <c r="C97" i="3"/>
  <c r="F97" i="3" s="1"/>
  <c r="M97" i="6" s="1"/>
  <c r="B98" i="3"/>
  <c r="C98" i="3"/>
  <c r="E98" i="3" s="1"/>
  <c r="B99" i="3"/>
  <c r="A100" i="3"/>
  <c r="B100" i="3"/>
  <c r="C100" i="3"/>
  <c r="F100" i="3" s="1"/>
  <c r="M100" i="6" s="1"/>
  <c r="A101" i="3"/>
  <c r="B101" i="3"/>
  <c r="C101" i="3"/>
  <c r="D101" i="3" s="1"/>
  <c r="G101" i="16" s="1"/>
  <c r="A102" i="3"/>
  <c r="B102" i="3"/>
  <c r="C102" i="3"/>
  <c r="G102" i="3" s="1"/>
  <c r="B103" i="3"/>
  <c r="C103" i="3"/>
  <c r="B104" i="3"/>
  <c r="B105" i="3"/>
  <c r="C105" i="3"/>
  <c r="B106" i="3"/>
  <c r="B107" i="3"/>
  <c r="C107" i="3"/>
  <c r="D107" i="3" s="1"/>
  <c r="K107" i="6" s="1"/>
  <c r="G107" i="3"/>
  <c r="R107" i="6" s="1"/>
  <c r="B108" i="3"/>
  <c r="C108" i="3"/>
  <c r="E108" i="3" s="1"/>
  <c r="B109" i="3"/>
  <c r="C109" i="3"/>
  <c r="F109" i="3" s="1"/>
  <c r="M109" i="6" s="1"/>
  <c r="B110" i="3"/>
  <c r="C110" i="3"/>
  <c r="F110" i="3" s="1"/>
  <c r="M110" i="6" s="1"/>
  <c r="B111" i="3"/>
  <c r="C111" i="3"/>
  <c r="B112" i="3"/>
  <c r="C112" i="3"/>
  <c r="F112" i="3" s="1"/>
  <c r="M112" i="6" s="1"/>
  <c r="D112" i="3"/>
  <c r="G112" i="16" s="1"/>
  <c r="E112" i="3"/>
  <c r="B113" i="3"/>
  <c r="B114" i="3"/>
  <c r="C114" i="3"/>
  <c r="B115" i="3"/>
  <c r="C115" i="3"/>
  <c r="D115" i="3" s="1"/>
  <c r="K115" i="6" s="1"/>
  <c r="G115" i="3"/>
  <c r="R115" i="6" s="1"/>
  <c r="B116" i="3"/>
  <c r="C116" i="3"/>
  <c r="B117" i="3"/>
  <c r="C117" i="3"/>
  <c r="G117" i="3" s="1"/>
  <c r="R117" i="6" s="1"/>
  <c r="E117" i="3"/>
  <c r="F117" i="3"/>
  <c r="M117" i="6" s="1"/>
  <c r="B118" i="3"/>
  <c r="C118" i="3"/>
  <c r="F118" i="3" s="1"/>
  <c r="M118" i="6" s="1"/>
  <c r="B119" i="3"/>
  <c r="B120" i="3"/>
  <c r="C120" i="3"/>
  <c r="B121" i="3"/>
  <c r="B122" i="3"/>
  <c r="C122" i="3"/>
  <c r="F122" i="3" s="1"/>
  <c r="M122" i="6" s="1"/>
  <c r="D122" i="3"/>
  <c r="E122" i="3"/>
  <c r="B123" i="3"/>
  <c r="C123" i="3"/>
  <c r="G123" i="3" s="1"/>
  <c r="R123" i="6" s="1"/>
  <c r="B124" i="3"/>
  <c r="C124" i="3"/>
  <c r="F124" i="3" s="1"/>
  <c r="M124" i="6" s="1"/>
  <c r="B125" i="3"/>
  <c r="F125" i="3"/>
  <c r="M125" i="6" s="1"/>
  <c r="G125" i="3"/>
  <c r="R125" i="6" s="1"/>
  <c r="B126" i="3"/>
  <c r="C126" i="3"/>
  <c r="G126" i="3" s="1"/>
  <c r="R126" i="6" s="1"/>
  <c r="B127" i="3"/>
  <c r="C127" i="3"/>
  <c r="D127" i="3" s="1"/>
  <c r="K127" i="6" s="1"/>
  <c r="B128" i="3"/>
  <c r="C128" i="3"/>
  <c r="E128" i="3" s="1"/>
  <c r="B129" i="3"/>
  <c r="C129" i="3"/>
  <c r="G129" i="3" s="1"/>
  <c r="R129" i="6" s="1"/>
  <c r="B130" i="3"/>
  <c r="C130" i="3"/>
  <c r="G130" i="3" s="1"/>
  <c r="R130" i="6" s="1"/>
  <c r="B131" i="3"/>
  <c r="B132" i="3"/>
  <c r="C132" i="3"/>
  <c r="F132" i="3" s="1"/>
  <c r="M132" i="6" s="1"/>
  <c r="E132" i="3"/>
  <c r="B133" i="3"/>
  <c r="C133" i="3"/>
  <c r="D133" i="3" s="1"/>
  <c r="B134" i="3"/>
  <c r="C134" i="3"/>
  <c r="B135" i="3"/>
  <c r="C135" i="3"/>
  <c r="G135" i="3" s="1"/>
  <c r="R135" i="6" s="1"/>
  <c r="B136" i="3"/>
  <c r="C136" i="3"/>
  <c r="D136" i="3" s="1"/>
  <c r="K136" i="6" s="1"/>
  <c r="B137" i="3"/>
  <c r="C137" i="3"/>
  <c r="E137" i="3" s="1"/>
  <c r="A138" i="3"/>
  <c r="B138" i="3"/>
  <c r="C138" i="3"/>
  <c r="G138" i="3" s="1"/>
  <c r="R138" i="6" s="1"/>
  <c r="A139" i="3"/>
  <c r="B139" i="3"/>
  <c r="C139" i="3"/>
  <c r="E139" i="3" s="1"/>
  <c r="A140" i="3"/>
  <c r="B140" i="3"/>
  <c r="C140" i="3"/>
  <c r="D140" i="3" s="1"/>
  <c r="G140" i="16" s="1"/>
  <c r="A141" i="3"/>
  <c r="B141" i="3"/>
  <c r="C141" i="3"/>
  <c r="G141" i="3" s="1"/>
  <c r="R141" i="6" s="1"/>
  <c r="B142" i="3"/>
  <c r="C142" i="3"/>
  <c r="D142" i="3" s="1"/>
  <c r="K142" i="6" s="1"/>
  <c r="B143" i="3"/>
  <c r="C143" i="3"/>
  <c r="E143" i="3" s="1"/>
  <c r="L143" i="6" s="1"/>
  <c r="F143" i="3"/>
  <c r="M143" i="6" s="1"/>
  <c r="G143" i="3"/>
  <c r="R143" i="6" s="1"/>
  <c r="B144" i="3"/>
  <c r="C144" i="3"/>
  <c r="G144" i="3" s="1"/>
  <c r="R144" i="6" s="1"/>
  <c r="B145" i="3"/>
  <c r="C145" i="3"/>
  <c r="F145" i="3" s="1"/>
  <c r="M145" i="6" s="1"/>
  <c r="B146" i="3"/>
  <c r="C146" i="3"/>
  <c r="B147" i="3"/>
  <c r="C147" i="3"/>
  <c r="G147" i="3" s="1"/>
  <c r="R147" i="6" s="1"/>
  <c r="B148" i="3"/>
  <c r="C148" i="3"/>
  <c r="D148" i="3" s="1"/>
  <c r="B149" i="3"/>
  <c r="C149" i="3"/>
  <c r="B150" i="3"/>
  <c r="B151" i="3"/>
  <c r="C151" i="3"/>
  <c r="F151" i="3" s="1"/>
  <c r="M151" i="6" s="1"/>
  <c r="B152" i="3"/>
  <c r="C152" i="3"/>
  <c r="D152" i="3" s="1"/>
  <c r="G152" i="3"/>
  <c r="R152" i="6" s="1"/>
  <c r="B153" i="3"/>
  <c r="C153" i="3"/>
  <c r="D153" i="3"/>
  <c r="K153" i="6" s="1"/>
  <c r="B154" i="3"/>
  <c r="C154" i="3"/>
  <c r="E154" i="3"/>
  <c r="B155" i="3"/>
  <c r="D155" i="3"/>
  <c r="K155" i="6" s="1"/>
  <c r="B156" i="3"/>
  <c r="C156" i="3"/>
  <c r="D156" i="3"/>
  <c r="K156" i="6" s="1"/>
  <c r="E156" i="3"/>
  <c r="H156" i="16" s="1"/>
  <c r="B157" i="3"/>
  <c r="B158" i="3"/>
  <c r="C158" i="3"/>
  <c r="D158" i="3" s="1"/>
  <c r="B159" i="3"/>
  <c r="C159" i="3"/>
  <c r="B160" i="3"/>
  <c r="C160" i="3"/>
  <c r="D160" i="3" s="1"/>
  <c r="K160" i="6" s="1"/>
  <c r="B161" i="3"/>
  <c r="B162" i="3"/>
  <c r="C162" i="3"/>
  <c r="G162" i="3" s="1"/>
  <c r="R162" i="6" s="1"/>
  <c r="B163" i="3"/>
  <c r="C163" i="3"/>
  <c r="F163" i="3" s="1"/>
  <c r="M163" i="6" s="1"/>
  <c r="E163" i="3"/>
  <c r="B164" i="3"/>
  <c r="C164" i="3"/>
  <c r="E164" i="3" s="1"/>
  <c r="D164" i="3"/>
  <c r="B165" i="3"/>
  <c r="C165" i="3"/>
  <c r="G165" i="3" s="1"/>
  <c r="R165" i="6" s="1"/>
  <c r="B166" i="3"/>
  <c r="C166" i="3"/>
  <c r="D166" i="3" s="1"/>
  <c r="K166" i="6" s="1"/>
  <c r="B167" i="3"/>
  <c r="C167" i="3"/>
  <c r="D167" i="3" s="1"/>
  <c r="B168" i="3"/>
  <c r="B169" i="3"/>
  <c r="C169" i="3"/>
  <c r="B170" i="3"/>
  <c r="C170" i="3"/>
  <c r="F170" i="3"/>
  <c r="M170" i="6" s="1"/>
  <c r="B171" i="3"/>
  <c r="B172" i="3"/>
  <c r="C172" i="3"/>
  <c r="F172" i="3" s="1"/>
  <c r="M172" i="6" s="1"/>
  <c r="B173" i="3"/>
  <c r="C173" i="3"/>
  <c r="D173" i="3" s="1"/>
  <c r="B174" i="3"/>
  <c r="C174" i="3"/>
  <c r="G174" i="3" s="1"/>
  <c r="R174" i="6" s="1"/>
  <c r="B175" i="3"/>
  <c r="C175" i="3"/>
  <c r="B176" i="3"/>
  <c r="C176" i="3"/>
  <c r="D176" i="3" s="1"/>
  <c r="K176" i="6" s="1"/>
  <c r="B177" i="3"/>
  <c r="C177" i="3"/>
  <c r="F177" i="3" s="1"/>
  <c r="M177" i="6" s="1"/>
  <c r="E177" i="3"/>
  <c r="L177" i="6" s="1"/>
  <c r="A178" i="3"/>
  <c r="B178" i="3"/>
  <c r="C178" i="3"/>
  <c r="D178" i="3" s="1"/>
  <c r="F178" i="3"/>
  <c r="M178" i="6" s="1"/>
  <c r="A179" i="3"/>
  <c r="B179" i="3"/>
  <c r="B180" i="3"/>
  <c r="C180" i="3"/>
  <c r="G180" i="3" s="1"/>
  <c r="R180" i="6" s="1"/>
  <c r="B181" i="3"/>
  <c r="C181" i="3"/>
  <c r="E181" i="3" s="1"/>
  <c r="B182" i="3"/>
  <c r="C182" i="3"/>
  <c r="B183" i="3"/>
  <c r="C183" i="3"/>
  <c r="B184" i="3"/>
  <c r="C184" i="3"/>
  <c r="D184" i="3" s="1"/>
  <c r="B185" i="3"/>
  <c r="C185" i="3"/>
  <c r="E185" i="3" s="1"/>
  <c r="L185" i="6" s="1"/>
  <c r="A186" i="3"/>
  <c r="B186" i="3"/>
  <c r="C186" i="3"/>
  <c r="G186" i="3" s="1"/>
  <c r="R186" i="6" s="1"/>
  <c r="E186" i="3"/>
  <c r="A187" i="3"/>
  <c r="B187" i="3"/>
  <c r="C187" i="3"/>
  <c r="A188" i="3"/>
  <c r="B188" i="3"/>
  <c r="C188" i="3"/>
  <c r="D188" i="3" s="1"/>
  <c r="G188" i="16" s="1"/>
  <c r="B189" i="3"/>
  <c r="C189" i="3"/>
  <c r="G189" i="3" s="1"/>
  <c r="R189" i="6" s="1"/>
  <c r="B190" i="3"/>
  <c r="C190" i="3"/>
  <c r="E190" i="3" s="1"/>
  <c r="L190" i="6" s="1"/>
  <c r="F190" i="3"/>
  <c r="M190" i="6" s="1"/>
  <c r="B191" i="3"/>
  <c r="C191" i="3"/>
  <c r="D191" i="3" s="1"/>
  <c r="B192" i="3"/>
  <c r="C192" i="3"/>
  <c r="D192" i="3" s="1"/>
  <c r="K192" i="6" s="1"/>
  <c r="B193" i="3"/>
  <c r="B194" i="3"/>
  <c r="C194" i="3"/>
  <c r="E194" i="3" s="1"/>
  <c r="L194" i="6" s="1"/>
  <c r="D194" i="3"/>
  <c r="F194" i="3"/>
  <c r="M194" i="6" s="1"/>
  <c r="G194" i="3"/>
  <c r="R194" i="6" s="1"/>
  <c r="B195" i="3"/>
  <c r="C195" i="3"/>
  <c r="G195" i="3" s="1"/>
  <c r="R195" i="6" s="1"/>
  <c r="F195" i="3"/>
  <c r="M195" i="6" s="1"/>
  <c r="B196" i="3"/>
  <c r="B197" i="3"/>
  <c r="C197" i="3"/>
  <c r="D197" i="3" s="1"/>
  <c r="K197" i="6" s="1"/>
  <c r="B198" i="3"/>
  <c r="B199" i="3"/>
  <c r="C199" i="3"/>
  <c r="D199" i="3" s="1"/>
  <c r="K199" i="6" s="1"/>
  <c r="B200" i="3"/>
  <c r="B201" i="3"/>
  <c r="C201" i="3"/>
  <c r="E201" i="3" s="1"/>
  <c r="B202" i="3"/>
  <c r="C202" i="3"/>
  <c r="D202" i="3" s="1"/>
  <c r="B203" i="3"/>
  <c r="B204" i="3"/>
  <c r="B205" i="3"/>
  <c r="C205" i="3"/>
  <c r="E205" i="3" s="1"/>
  <c r="L205" i="6" s="1"/>
  <c r="B206" i="3"/>
  <c r="B207" i="3"/>
  <c r="B208" i="3"/>
  <c r="C208" i="3"/>
  <c r="F208" i="3" s="1"/>
  <c r="M208" i="6" s="1"/>
  <c r="B209" i="3"/>
  <c r="C209" i="3"/>
  <c r="D209" i="3"/>
  <c r="K209" i="6" s="1"/>
  <c r="B210" i="3"/>
  <c r="C210" i="3"/>
  <c r="G210" i="3" s="1"/>
  <c r="R210" i="6" s="1"/>
  <c r="C4" i="3"/>
  <c r="G4" i="3" s="1"/>
  <c r="R4" i="6" s="1"/>
  <c r="B4" i="3"/>
  <c r="R24" i="2" l="1"/>
  <c r="G18" i="6"/>
  <c r="Y21" i="2"/>
  <c r="T24" i="2"/>
  <c r="C18" i="3"/>
  <c r="F18" i="3" s="1"/>
  <c r="M18" i="6" s="1"/>
  <c r="F5" i="16"/>
  <c r="G16" i="6"/>
  <c r="R16" i="2"/>
  <c r="Y16" i="2" s="1"/>
  <c r="M16" i="2" s="1"/>
  <c r="C25" i="3"/>
  <c r="D17" i="16"/>
  <c r="G11" i="6"/>
  <c r="I8" i="6"/>
  <c r="I21" i="6"/>
  <c r="Y4" i="2"/>
  <c r="M4" i="2" s="1"/>
  <c r="R19" i="2"/>
  <c r="D118" i="3"/>
  <c r="C20" i="3"/>
  <c r="D14" i="16"/>
  <c r="D11" i="16"/>
  <c r="G25" i="6"/>
  <c r="Y15" i="2"/>
  <c r="M15" i="2" s="1"/>
  <c r="T11" i="2"/>
  <c r="Y19" i="2"/>
  <c r="M19" i="2" s="1"/>
  <c r="C14" i="3"/>
  <c r="E14" i="3" s="1"/>
  <c r="L14" i="6" s="1"/>
  <c r="I7" i="6"/>
  <c r="Y18" i="2"/>
  <c r="M18" i="2" s="1"/>
  <c r="G4" i="6"/>
  <c r="I19" i="6"/>
  <c r="Y14" i="2"/>
  <c r="M14" i="2" s="1"/>
  <c r="C16" i="3"/>
  <c r="F16" i="3" s="1"/>
  <c r="M16" i="6" s="1"/>
  <c r="J186" i="6"/>
  <c r="I20" i="6"/>
  <c r="G14" i="6"/>
  <c r="E55" i="3"/>
  <c r="L55" i="6" s="1"/>
  <c r="C24" i="3"/>
  <c r="E24" i="3" s="1"/>
  <c r="F119" i="3"/>
  <c r="M119" i="6" s="1"/>
  <c r="G160" i="16"/>
  <c r="G95" i="16"/>
  <c r="G188" i="3"/>
  <c r="R188" i="6" s="1"/>
  <c r="F188" i="3"/>
  <c r="M188" i="6" s="1"/>
  <c r="G197" i="3"/>
  <c r="R197" i="6" s="1"/>
  <c r="E188" i="3"/>
  <c r="H188" i="16" s="1"/>
  <c r="F185" i="3"/>
  <c r="M185" i="6" s="1"/>
  <c r="G199" i="16"/>
  <c r="J101" i="6"/>
  <c r="K5" i="6"/>
  <c r="F162" i="3"/>
  <c r="M162" i="6" s="1"/>
  <c r="G158" i="3"/>
  <c r="R158" i="6" s="1"/>
  <c r="D102" i="3"/>
  <c r="K102" i="6" s="1"/>
  <c r="E26" i="3"/>
  <c r="H26" i="16" s="1"/>
  <c r="F19" i="3"/>
  <c r="M19" i="6" s="1"/>
  <c r="G192" i="16"/>
  <c r="H190" i="16"/>
  <c r="H143" i="16"/>
  <c r="G184" i="3"/>
  <c r="R184" i="6" s="1"/>
  <c r="F158" i="3"/>
  <c r="M158" i="6" s="1"/>
  <c r="R102" i="6"/>
  <c r="G95" i="3"/>
  <c r="R95" i="6" s="1"/>
  <c r="F15" i="3"/>
  <c r="M15" i="6" s="1"/>
  <c r="F11" i="3"/>
  <c r="M11" i="6" s="1"/>
  <c r="H177" i="16"/>
  <c r="F184" i="3"/>
  <c r="M184" i="6" s="1"/>
  <c r="E158" i="3"/>
  <c r="H158" i="16" s="1"/>
  <c r="E130" i="3"/>
  <c r="L130" i="6" s="1"/>
  <c r="F95" i="3"/>
  <c r="M95" i="6" s="1"/>
  <c r="G52" i="3"/>
  <c r="R52" i="6" s="1"/>
  <c r="E109" i="3"/>
  <c r="H109" i="16" s="1"/>
  <c r="F52" i="3"/>
  <c r="M52" i="6" s="1"/>
  <c r="G101" i="3"/>
  <c r="R101" i="6" s="1"/>
  <c r="R168" i="6"/>
  <c r="E208" i="3"/>
  <c r="L208" i="6" s="1"/>
  <c r="E151" i="3"/>
  <c r="F101" i="3"/>
  <c r="M101" i="6" s="1"/>
  <c r="H185" i="16"/>
  <c r="D208" i="3"/>
  <c r="G208" i="16" s="1"/>
  <c r="D151" i="3"/>
  <c r="K151" i="6" s="1"/>
  <c r="D147" i="3"/>
  <c r="K147" i="6" s="1"/>
  <c r="G140" i="3"/>
  <c r="R140" i="6" s="1"/>
  <c r="E118" i="3"/>
  <c r="J118" i="3" s="1"/>
  <c r="E101" i="3"/>
  <c r="G77" i="3"/>
  <c r="R77" i="6" s="1"/>
  <c r="F20" i="3"/>
  <c r="M20" i="6" s="1"/>
  <c r="G5" i="3"/>
  <c r="R5" i="6" s="1"/>
  <c r="K112" i="6"/>
  <c r="K101" i="6"/>
  <c r="I195" i="6"/>
  <c r="F205" i="16"/>
  <c r="F194" i="16"/>
  <c r="F207" i="16"/>
  <c r="I209" i="6"/>
  <c r="F177" i="16"/>
  <c r="F170" i="16"/>
  <c r="F169" i="16"/>
  <c r="I149" i="6"/>
  <c r="F151" i="16"/>
  <c r="I150" i="6"/>
  <c r="F132" i="16"/>
  <c r="F113" i="16"/>
  <c r="F123" i="16"/>
  <c r="I114" i="6"/>
  <c r="F111" i="16"/>
  <c r="H112" i="6"/>
  <c r="J112" i="6" s="1"/>
  <c r="I86" i="6"/>
  <c r="F88" i="16"/>
  <c r="I73" i="6"/>
  <c r="I74" i="6"/>
  <c r="F85" i="16"/>
  <c r="I87" i="6"/>
  <c r="I41" i="6"/>
  <c r="F64" i="16"/>
  <c r="F51" i="16"/>
  <c r="F48" i="16"/>
  <c r="I63" i="6"/>
  <c r="F61" i="16"/>
  <c r="F53" i="16"/>
  <c r="I71" i="6"/>
  <c r="I36" i="6"/>
  <c r="Y17" i="2"/>
  <c r="M17" i="2" s="1"/>
  <c r="H18" i="6" s="1"/>
  <c r="J18" i="6" s="1"/>
  <c r="Y11" i="2"/>
  <c r="M11" i="2" s="1"/>
  <c r="I13" i="6"/>
  <c r="F15" i="16"/>
  <c r="I9" i="6"/>
  <c r="I12" i="6"/>
  <c r="I6" i="6"/>
  <c r="L137" i="6"/>
  <c r="H137" i="16"/>
  <c r="H63" i="6"/>
  <c r="J63" i="6" s="1"/>
  <c r="E63" i="16"/>
  <c r="E43" i="16"/>
  <c r="H43" i="6"/>
  <c r="R22" i="2"/>
  <c r="T22" i="2"/>
  <c r="G23" i="6"/>
  <c r="C23" i="3"/>
  <c r="E23" i="3" s="1"/>
  <c r="H23" i="16" s="1"/>
  <c r="D23" i="16"/>
  <c r="R20" i="2"/>
  <c r="T20" i="2"/>
  <c r="C21" i="3"/>
  <c r="D21" i="3" s="1"/>
  <c r="D21" i="16"/>
  <c r="L201" i="6"/>
  <c r="H201" i="16"/>
  <c r="F134" i="3"/>
  <c r="M134" i="6" s="1"/>
  <c r="G134" i="3"/>
  <c r="R134" i="6" s="1"/>
  <c r="E134" i="3"/>
  <c r="L134" i="6" s="1"/>
  <c r="G46" i="3"/>
  <c r="R46" i="6" s="1"/>
  <c r="C179" i="3"/>
  <c r="F179" i="6"/>
  <c r="L154" i="6"/>
  <c r="H154" i="16"/>
  <c r="D80" i="16"/>
  <c r="C80" i="3"/>
  <c r="D80" i="3" s="1"/>
  <c r="G80" i="6"/>
  <c r="I34" i="6"/>
  <c r="F34" i="16"/>
  <c r="D204" i="16"/>
  <c r="C204" i="3"/>
  <c r="F204" i="3" s="1"/>
  <c r="M204" i="6" s="1"/>
  <c r="G204" i="6"/>
  <c r="F193" i="16"/>
  <c r="I193" i="6"/>
  <c r="I172" i="6"/>
  <c r="F172" i="16"/>
  <c r="D66" i="16"/>
  <c r="C66" i="3"/>
  <c r="F66" i="3" s="1"/>
  <c r="G18" i="3"/>
  <c r="R18" i="6" s="1"/>
  <c r="D18" i="3"/>
  <c r="K18" i="6" s="1"/>
  <c r="H194" i="6"/>
  <c r="J194" i="6" s="1"/>
  <c r="E194" i="16"/>
  <c r="G175" i="6"/>
  <c r="D175" i="16"/>
  <c r="E187" i="3"/>
  <c r="L187" i="6" s="1"/>
  <c r="F187" i="3"/>
  <c r="M187" i="6" s="1"/>
  <c r="C198" i="3"/>
  <c r="E198" i="3" s="1"/>
  <c r="D198" i="16"/>
  <c r="C90" i="3"/>
  <c r="G90" i="6"/>
  <c r="F161" i="16"/>
  <c r="I161" i="6"/>
  <c r="K133" i="6"/>
  <c r="G133" i="16"/>
  <c r="D154" i="3"/>
  <c r="F154" i="3"/>
  <c r="M154" i="6" s="1"/>
  <c r="G154" i="3"/>
  <c r="R154" i="6" s="1"/>
  <c r="E5" i="6"/>
  <c r="E5" i="2"/>
  <c r="D175" i="3"/>
  <c r="K175" i="6" s="1"/>
  <c r="E175" i="3"/>
  <c r="H175" i="16" s="1"/>
  <c r="E86" i="3"/>
  <c r="H86" i="16" s="1"/>
  <c r="F86" i="3"/>
  <c r="M86" i="6" s="1"/>
  <c r="C38" i="3"/>
  <c r="E38" i="3" s="1"/>
  <c r="D38" i="16"/>
  <c r="G121" i="6"/>
  <c r="C121" i="3"/>
  <c r="F121" i="3" s="1"/>
  <c r="M121" i="6" s="1"/>
  <c r="I119" i="6"/>
  <c r="F119" i="16"/>
  <c r="L117" i="6"/>
  <c r="H117" i="16"/>
  <c r="L31" i="6"/>
  <c r="H31" i="16"/>
  <c r="G50" i="16"/>
  <c r="K50" i="6"/>
  <c r="F137" i="3"/>
  <c r="M137" i="6" s="1"/>
  <c r="G56" i="3"/>
  <c r="R56" i="6" s="1"/>
  <c r="G151" i="6"/>
  <c r="C48" i="3"/>
  <c r="D48" i="3" s="1"/>
  <c r="D48" i="16"/>
  <c r="I23" i="6"/>
  <c r="F23" i="16"/>
  <c r="D196" i="3"/>
  <c r="K196" i="6" s="1"/>
  <c r="G196" i="3"/>
  <c r="R196" i="6" s="1"/>
  <c r="C193" i="3"/>
  <c r="D193" i="3" s="1"/>
  <c r="K193" i="6" s="1"/>
  <c r="D193" i="16"/>
  <c r="I163" i="6"/>
  <c r="J163" i="6" s="1"/>
  <c r="F163" i="16"/>
  <c r="E112" i="16"/>
  <c r="G42" i="6"/>
  <c r="C42" i="3"/>
  <c r="G42" i="3" s="1"/>
  <c r="R42" i="6" s="1"/>
  <c r="D196" i="16"/>
  <c r="J180" i="6"/>
  <c r="I210" i="6"/>
  <c r="F210" i="16"/>
  <c r="I152" i="6"/>
  <c r="F152" i="16"/>
  <c r="C93" i="3"/>
  <c r="G93" i="3" s="1"/>
  <c r="R93" i="6" s="1"/>
  <c r="D93" i="16"/>
  <c r="G59" i="6"/>
  <c r="R8" i="2"/>
  <c r="T8" i="2"/>
  <c r="C9" i="3"/>
  <c r="G9" i="3" s="1"/>
  <c r="R9" i="6" s="1"/>
  <c r="T6" i="2"/>
  <c r="Y6" i="2" s="1"/>
  <c r="M6" i="2" s="1"/>
  <c r="H7" i="6" s="1"/>
  <c r="G7" i="6"/>
  <c r="D7" i="16"/>
  <c r="H79" i="6"/>
  <c r="G79" i="6"/>
  <c r="Y23" i="2"/>
  <c r="M23" i="2" s="1"/>
  <c r="G203" i="6"/>
  <c r="C203" i="3"/>
  <c r="F203" i="3" s="1"/>
  <c r="M203" i="6" s="1"/>
  <c r="K202" i="6"/>
  <c r="G202" i="16"/>
  <c r="E124" i="3"/>
  <c r="H124" i="16" s="1"/>
  <c r="E115" i="3"/>
  <c r="L115" i="6" s="1"/>
  <c r="C61" i="3"/>
  <c r="E61" i="3" s="1"/>
  <c r="G11" i="3"/>
  <c r="R11" i="6" s="1"/>
  <c r="G102" i="16"/>
  <c r="D79" i="16"/>
  <c r="E72" i="16"/>
  <c r="D125" i="3"/>
  <c r="K125" i="6" s="1"/>
  <c r="E125" i="3"/>
  <c r="D115" i="16"/>
  <c r="I17" i="6"/>
  <c r="F17" i="16"/>
  <c r="I14" i="6"/>
  <c r="F14" i="16"/>
  <c r="G154" i="6"/>
  <c r="F77" i="16"/>
  <c r="G157" i="6"/>
  <c r="C157" i="3"/>
  <c r="D157" i="3" s="1"/>
  <c r="K157" i="6" s="1"/>
  <c r="H41" i="6"/>
  <c r="E41" i="16"/>
  <c r="E33" i="6"/>
  <c r="F79" i="16"/>
  <c r="D42" i="16"/>
  <c r="C171" i="3"/>
  <c r="G171" i="3" s="1"/>
  <c r="R171" i="6" s="1"/>
  <c r="C7" i="3"/>
  <c r="D7" i="3" s="1"/>
  <c r="D154" i="16"/>
  <c r="F39" i="16"/>
  <c r="G193" i="6"/>
  <c r="G61" i="6"/>
  <c r="I37" i="6"/>
  <c r="I206" i="6"/>
  <c r="F206" i="16"/>
  <c r="G200" i="6"/>
  <c r="C200" i="3"/>
  <c r="E200" i="3" s="1"/>
  <c r="L200" i="6" s="1"/>
  <c r="G162" i="6"/>
  <c r="H158" i="6"/>
  <c r="J158" i="6" s="1"/>
  <c r="E158" i="16"/>
  <c r="I143" i="6"/>
  <c r="J143" i="6" s="1"/>
  <c r="F143" i="16"/>
  <c r="G118" i="6"/>
  <c r="I80" i="6"/>
  <c r="F80" i="16"/>
  <c r="D50" i="16"/>
  <c r="E103" i="6"/>
  <c r="K140" i="6"/>
  <c r="G161" i="6"/>
  <c r="D119" i="3"/>
  <c r="K119" i="6" s="1"/>
  <c r="E119" i="3"/>
  <c r="L119" i="6" s="1"/>
  <c r="H105" i="6"/>
  <c r="J105" i="6" s="1"/>
  <c r="E105" i="16"/>
  <c r="K184" i="6"/>
  <c r="G184" i="16"/>
  <c r="D56" i="16"/>
  <c r="G196" i="6"/>
  <c r="E169" i="3"/>
  <c r="D169" i="3"/>
  <c r="C150" i="3"/>
  <c r="G150" i="3" s="1"/>
  <c r="R150" i="6" s="1"/>
  <c r="K62" i="6"/>
  <c r="G62" i="16"/>
  <c r="G150" i="6"/>
  <c r="F171" i="16"/>
  <c r="I171" i="6"/>
  <c r="G109" i="6"/>
  <c r="D109" i="16"/>
  <c r="C79" i="3"/>
  <c r="D79" i="3" s="1"/>
  <c r="K79" i="6" s="1"/>
  <c r="L8" i="6"/>
  <c r="H8" i="16"/>
  <c r="D150" i="16"/>
  <c r="G91" i="16"/>
  <c r="D9" i="16"/>
  <c r="E132" i="16"/>
  <c r="H132" i="6"/>
  <c r="J132" i="6" s="1"/>
  <c r="F47" i="16"/>
  <c r="E32" i="6"/>
  <c r="I115" i="6"/>
  <c r="F115" i="16"/>
  <c r="I50" i="6"/>
  <c r="F50" i="16"/>
  <c r="G45" i="6"/>
  <c r="D45" i="16"/>
  <c r="C45" i="3"/>
  <c r="D45" i="3" s="1"/>
  <c r="G45" i="16" s="1"/>
  <c r="D182" i="3"/>
  <c r="K182" i="6" s="1"/>
  <c r="E182" i="3"/>
  <c r="L182" i="6" s="1"/>
  <c r="F182" i="3"/>
  <c r="M182" i="6" s="1"/>
  <c r="G182" i="3"/>
  <c r="R182" i="6" s="1"/>
  <c r="C161" i="3"/>
  <c r="D161" i="3" s="1"/>
  <c r="C82" i="3"/>
  <c r="D82" i="3" s="1"/>
  <c r="G54" i="3"/>
  <c r="R54" i="6" s="1"/>
  <c r="E54" i="3"/>
  <c r="H54" i="16" s="1"/>
  <c r="F199" i="16"/>
  <c r="F131" i="16"/>
  <c r="G127" i="16"/>
  <c r="G115" i="16"/>
  <c r="C206" i="3"/>
  <c r="G206" i="6"/>
  <c r="D206" i="16"/>
  <c r="I204" i="6"/>
  <c r="F204" i="16"/>
  <c r="D143" i="16"/>
  <c r="G70" i="6"/>
  <c r="C70" i="3"/>
  <c r="D62" i="16"/>
  <c r="G62" i="6"/>
  <c r="G12" i="6"/>
  <c r="C12" i="3"/>
  <c r="D12" i="3" s="1"/>
  <c r="D12" i="16"/>
  <c r="J103" i="6"/>
  <c r="E76" i="6"/>
  <c r="D197" i="16"/>
  <c r="D163" i="3"/>
  <c r="K163" i="6" s="1"/>
  <c r="G160" i="3"/>
  <c r="R160" i="6" s="1"/>
  <c r="F152" i="3"/>
  <c r="M152" i="6" s="1"/>
  <c r="F107" i="3"/>
  <c r="M107" i="6" s="1"/>
  <c r="F60" i="3"/>
  <c r="M60" i="6" s="1"/>
  <c r="E57" i="3"/>
  <c r="L57" i="6" s="1"/>
  <c r="D89" i="16"/>
  <c r="D24" i="16"/>
  <c r="E151" i="6"/>
  <c r="G208" i="6"/>
  <c r="G205" i="6"/>
  <c r="G107" i="6"/>
  <c r="R12" i="2"/>
  <c r="T12" i="2"/>
  <c r="R7" i="2"/>
  <c r="Y7" i="2" s="1"/>
  <c r="M7" i="2" s="1"/>
  <c r="G8" i="6"/>
  <c r="D8" i="16"/>
  <c r="G119" i="6"/>
  <c r="G113" i="6"/>
  <c r="E35" i="16"/>
  <c r="R9" i="2"/>
  <c r="T9" i="2"/>
  <c r="G43" i="6"/>
  <c r="G125" i="6"/>
  <c r="J125" i="6" s="1"/>
  <c r="C113" i="3"/>
  <c r="G113" i="3" s="1"/>
  <c r="E107" i="3"/>
  <c r="L107" i="6" s="1"/>
  <c r="E60" i="3"/>
  <c r="L60" i="6" s="1"/>
  <c r="D57" i="3"/>
  <c r="K57" i="6" s="1"/>
  <c r="D113" i="16"/>
  <c r="G94" i="16"/>
  <c r="D43" i="16"/>
  <c r="G172" i="6"/>
  <c r="G191" i="6"/>
  <c r="F181" i="6"/>
  <c r="J181" i="6" s="1"/>
  <c r="E141" i="16"/>
  <c r="G141" i="6"/>
  <c r="D69" i="16"/>
  <c r="G55" i="16"/>
  <c r="E145" i="6"/>
  <c r="G55" i="6"/>
  <c r="C83" i="3"/>
  <c r="F83" i="3" s="1"/>
  <c r="D208" i="16"/>
  <c r="G176" i="16"/>
  <c r="F107" i="16"/>
  <c r="G69" i="6"/>
  <c r="Y13" i="2"/>
  <c r="M13" i="2" s="1"/>
  <c r="T10" i="2"/>
  <c r="Y10" i="2" s="1"/>
  <c r="M10" i="2" s="1"/>
  <c r="G33" i="6"/>
  <c r="Y27" i="2"/>
  <c r="J27" i="6"/>
  <c r="L39" i="6"/>
  <c r="H39" i="16"/>
  <c r="L181" i="6"/>
  <c r="H181" i="16"/>
  <c r="L33" i="6"/>
  <c r="H33" i="16"/>
  <c r="D10" i="3"/>
  <c r="G10" i="3"/>
  <c r="R10" i="6" s="1"/>
  <c r="F22" i="3"/>
  <c r="M22" i="6" s="1"/>
  <c r="D22" i="3"/>
  <c r="E22" i="3"/>
  <c r="G164" i="16"/>
  <c r="K164" i="6"/>
  <c r="K167" i="6"/>
  <c r="G167" i="16"/>
  <c r="G197" i="16"/>
  <c r="G156" i="16"/>
  <c r="L156" i="6"/>
  <c r="H16" i="6"/>
  <c r="J16" i="6" s="1"/>
  <c r="E16" i="16"/>
  <c r="H6" i="6"/>
  <c r="E6" i="16"/>
  <c r="K158" i="6"/>
  <c r="G158" i="16"/>
  <c r="G105" i="3"/>
  <c r="R105" i="6" s="1"/>
  <c r="F105" i="3"/>
  <c r="M105" i="6" s="1"/>
  <c r="G27" i="3"/>
  <c r="R27" i="6" s="1"/>
  <c r="E27" i="3"/>
  <c r="F27" i="3"/>
  <c r="M27" i="6" s="1"/>
  <c r="H141" i="6"/>
  <c r="H71" i="6"/>
  <c r="E71" i="16"/>
  <c r="D170" i="3"/>
  <c r="G170" i="3"/>
  <c r="R170" i="6" s="1"/>
  <c r="D146" i="3"/>
  <c r="F146" i="3"/>
  <c r="M146" i="6" s="1"/>
  <c r="G146" i="3"/>
  <c r="R146" i="6" s="1"/>
  <c r="L139" i="6"/>
  <c r="H139" i="16"/>
  <c r="K89" i="6"/>
  <c r="G89" i="16"/>
  <c r="G104" i="6"/>
  <c r="D104" i="16"/>
  <c r="K118" i="6"/>
  <c r="G118" i="16"/>
  <c r="G156" i="3"/>
  <c r="R156" i="6" s="1"/>
  <c r="F156" i="3"/>
  <c r="M156" i="6" s="1"/>
  <c r="G96" i="3"/>
  <c r="R96" i="6" s="1"/>
  <c r="E96" i="3"/>
  <c r="F96" i="3"/>
  <c r="M96" i="6" s="1"/>
  <c r="G209" i="16"/>
  <c r="G207" i="6"/>
  <c r="H5" i="6"/>
  <c r="J5" i="6" s="1"/>
  <c r="E5" i="16"/>
  <c r="G164" i="3"/>
  <c r="R164" i="6" s="1"/>
  <c r="F164" i="3"/>
  <c r="G19" i="16"/>
  <c r="K19" i="6"/>
  <c r="G153" i="16"/>
  <c r="G99" i="3"/>
  <c r="R99" i="6" s="1"/>
  <c r="L92" i="6"/>
  <c r="H92" i="16"/>
  <c r="K27" i="6"/>
  <c r="G27" i="16"/>
  <c r="G111" i="3"/>
  <c r="R111" i="6" s="1"/>
  <c r="E111" i="3"/>
  <c r="F111" i="3"/>
  <c r="M111" i="6" s="1"/>
  <c r="H98" i="16"/>
  <c r="L98" i="6"/>
  <c r="D53" i="3"/>
  <c r="E53" i="3"/>
  <c r="G33" i="16"/>
  <c r="K33" i="6"/>
  <c r="H113" i="6"/>
  <c r="E113" i="16"/>
  <c r="D106" i="16"/>
  <c r="C106" i="3"/>
  <c r="G106" i="3" s="1"/>
  <c r="R106" i="6" s="1"/>
  <c r="G106" i="6"/>
  <c r="G173" i="16"/>
  <c r="K173" i="6"/>
  <c r="F149" i="3"/>
  <c r="M149" i="6" s="1"/>
  <c r="D149" i="3"/>
  <c r="E149" i="3"/>
  <c r="G149" i="3"/>
  <c r="L132" i="6"/>
  <c r="H132" i="16"/>
  <c r="D58" i="3"/>
  <c r="E58" i="3"/>
  <c r="F58" i="3"/>
  <c r="M58" i="6" s="1"/>
  <c r="G33" i="3"/>
  <c r="R33" i="6" s="1"/>
  <c r="F33" i="3"/>
  <c r="M33" i="6" s="1"/>
  <c r="D207" i="16"/>
  <c r="K188" i="6"/>
  <c r="E173" i="3"/>
  <c r="F173" i="3"/>
  <c r="M173" i="6" s="1"/>
  <c r="G173" i="3"/>
  <c r="R173" i="6" s="1"/>
  <c r="F138" i="3"/>
  <c r="M138" i="6" s="1"/>
  <c r="D64" i="3"/>
  <c r="E64" i="3"/>
  <c r="F64" i="3"/>
  <c r="M64" i="6" s="1"/>
  <c r="G64" i="3"/>
  <c r="R64" i="6" s="1"/>
  <c r="F55" i="3"/>
  <c r="M55" i="6" s="1"/>
  <c r="K46" i="6"/>
  <c r="G46" i="16"/>
  <c r="F29" i="3"/>
  <c r="M29" i="6" s="1"/>
  <c r="K191" i="6"/>
  <c r="G191" i="16"/>
  <c r="L151" i="6"/>
  <c r="H151" i="16"/>
  <c r="K178" i="6"/>
  <c r="G178" i="16"/>
  <c r="L164" i="6"/>
  <c r="H164" i="16"/>
  <c r="L72" i="6"/>
  <c r="H72" i="16"/>
  <c r="K194" i="6"/>
  <c r="G194" i="16"/>
  <c r="L43" i="6"/>
  <c r="H43" i="16"/>
  <c r="D116" i="3"/>
  <c r="E116" i="3"/>
  <c r="F116" i="3"/>
  <c r="M116" i="6" s="1"/>
  <c r="K39" i="6"/>
  <c r="G39" i="16"/>
  <c r="L29" i="6"/>
  <c r="H29" i="16"/>
  <c r="D17" i="3"/>
  <c r="E17" i="3"/>
  <c r="F17" i="3"/>
  <c r="M17" i="6" s="1"/>
  <c r="G17" i="3"/>
  <c r="H156" i="6"/>
  <c r="J156" i="6" s="1"/>
  <c r="E156" i="16"/>
  <c r="H123" i="6"/>
  <c r="J123" i="6" s="1"/>
  <c r="E123" i="16"/>
  <c r="L118" i="6"/>
  <c r="H118" i="16"/>
  <c r="G63" i="3"/>
  <c r="R63" i="6" s="1"/>
  <c r="D63" i="3"/>
  <c r="L186" i="6"/>
  <c r="H186" i="16"/>
  <c r="F181" i="3"/>
  <c r="M181" i="6" s="1"/>
  <c r="C207" i="3"/>
  <c r="G201" i="3"/>
  <c r="R201" i="6" s="1"/>
  <c r="F201" i="3"/>
  <c r="M201" i="6" s="1"/>
  <c r="G178" i="3"/>
  <c r="R178" i="6" s="1"/>
  <c r="G151" i="3"/>
  <c r="R151" i="6" s="1"/>
  <c r="K148" i="6"/>
  <c r="G148" i="16"/>
  <c r="D131" i="3"/>
  <c r="E131" i="3"/>
  <c r="G131" i="3"/>
  <c r="R131" i="6" s="1"/>
  <c r="G142" i="16"/>
  <c r="K122" i="6"/>
  <c r="G122" i="16"/>
  <c r="E28" i="3"/>
  <c r="D28" i="3"/>
  <c r="K152" i="6"/>
  <c r="G152" i="16"/>
  <c r="K77" i="6"/>
  <c r="G77" i="16"/>
  <c r="K54" i="6"/>
  <c r="G54" i="16"/>
  <c r="H205" i="16"/>
  <c r="H194" i="16"/>
  <c r="G155" i="16"/>
  <c r="L122" i="6"/>
  <c r="H122" i="16"/>
  <c r="L112" i="6"/>
  <c r="H112" i="16"/>
  <c r="H68" i="16"/>
  <c r="L68" i="6"/>
  <c r="G65" i="16"/>
  <c r="G46" i="6"/>
  <c r="E168" i="3"/>
  <c r="D31" i="3"/>
  <c r="F31" i="3"/>
  <c r="M31" i="6" s="1"/>
  <c r="G31" i="3"/>
  <c r="R31" i="6" s="1"/>
  <c r="E163" i="16"/>
  <c r="G107" i="16"/>
  <c r="G11" i="16"/>
  <c r="G10" i="6"/>
  <c r="L163" i="6"/>
  <c r="H163" i="16"/>
  <c r="L74" i="6"/>
  <c r="H74" i="16"/>
  <c r="L35" i="6"/>
  <c r="H35" i="16"/>
  <c r="D10" i="16"/>
  <c r="J102" i="6"/>
  <c r="L128" i="6"/>
  <c r="H128" i="16"/>
  <c r="J125" i="3"/>
  <c r="F168" i="3"/>
  <c r="M168" i="6" s="1"/>
  <c r="L108" i="6"/>
  <c r="H108" i="16"/>
  <c r="D47" i="3"/>
  <c r="E47" i="3"/>
  <c r="F47" i="3"/>
  <c r="M47" i="6" s="1"/>
  <c r="K37" i="6"/>
  <c r="G37" i="16"/>
  <c r="H14" i="16"/>
  <c r="F167" i="16"/>
  <c r="K52" i="6"/>
  <c r="G52" i="16"/>
  <c r="D74" i="3"/>
  <c r="F74" i="3"/>
  <c r="M74" i="6" s="1"/>
  <c r="G74" i="3"/>
  <c r="R74" i="6" s="1"/>
  <c r="D68" i="3"/>
  <c r="G68" i="3"/>
  <c r="R68" i="6" s="1"/>
  <c r="G166" i="16"/>
  <c r="G171" i="6"/>
  <c r="D171" i="16"/>
  <c r="D103" i="3"/>
  <c r="G103" i="3"/>
  <c r="R103" i="6" s="1"/>
  <c r="K40" i="6"/>
  <c r="G40" i="16"/>
  <c r="G136" i="16"/>
  <c r="D46" i="16"/>
  <c r="G209" i="6"/>
  <c r="G202" i="6"/>
  <c r="J126" i="6"/>
  <c r="G56" i="16"/>
  <c r="K56" i="6"/>
  <c r="L26" i="6"/>
  <c r="G71" i="16"/>
  <c r="H67" i="6"/>
  <c r="J67" i="6" s="1"/>
  <c r="E67" i="16"/>
  <c r="G49" i="6"/>
  <c r="K44" i="6"/>
  <c r="G44" i="16"/>
  <c r="K26" i="6"/>
  <c r="G26" i="16"/>
  <c r="G51" i="6"/>
  <c r="D51" i="16"/>
  <c r="G147" i="6"/>
  <c r="G129" i="6"/>
  <c r="G82" i="6"/>
  <c r="D82" i="16"/>
  <c r="J130" i="6"/>
  <c r="G97" i="6"/>
  <c r="I56" i="6"/>
  <c r="F56" i="16"/>
  <c r="G189" i="6"/>
  <c r="G32" i="6"/>
  <c r="G37" i="6"/>
  <c r="G56" i="6"/>
  <c r="G58" i="6"/>
  <c r="G34" i="6"/>
  <c r="G21" i="6"/>
  <c r="G38" i="6"/>
  <c r="G20" i="6"/>
  <c r="G201" i="6"/>
  <c r="G15" i="6"/>
  <c r="G13" i="6"/>
  <c r="J185" i="6"/>
  <c r="J138" i="6"/>
  <c r="J6" i="6"/>
  <c r="J192" i="6"/>
  <c r="J72" i="6"/>
  <c r="J174" i="6"/>
  <c r="J145" i="6"/>
  <c r="J140" i="6"/>
  <c r="D130" i="3"/>
  <c r="F130" i="3"/>
  <c r="M130" i="6" s="1"/>
  <c r="D59" i="3"/>
  <c r="E59" i="3"/>
  <c r="F59" i="3"/>
  <c r="M59" i="6" s="1"/>
  <c r="G59" i="3"/>
  <c r="R59" i="6" s="1"/>
  <c r="G181" i="3"/>
  <c r="R181" i="6" s="1"/>
  <c r="D181" i="3"/>
  <c r="G132" i="3"/>
  <c r="R132" i="6" s="1"/>
  <c r="D132" i="3"/>
  <c r="G69" i="3"/>
  <c r="R69" i="6" s="1"/>
  <c r="D69" i="3"/>
  <c r="E69" i="3"/>
  <c r="F69" i="3"/>
  <c r="M69" i="6" s="1"/>
  <c r="G175" i="3"/>
  <c r="F175" i="3"/>
  <c r="M175" i="6" s="1"/>
  <c r="G124" i="3"/>
  <c r="R124" i="6" s="1"/>
  <c r="D124" i="3"/>
  <c r="D98" i="3"/>
  <c r="F98" i="3"/>
  <c r="M98" i="6" s="1"/>
  <c r="G98" i="3"/>
  <c r="R98" i="6" s="1"/>
  <c r="G39" i="3"/>
  <c r="R39" i="6" s="1"/>
  <c r="F39" i="3"/>
  <c r="G6" i="3"/>
  <c r="R6" i="6" s="1"/>
  <c r="D6" i="3"/>
  <c r="E6" i="3"/>
  <c r="G159" i="3"/>
  <c r="R159" i="6" s="1"/>
  <c r="D159" i="3"/>
  <c r="E159" i="3"/>
  <c r="F159" i="3"/>
  <c r="M159" i="6" s="1"/>
  <c r="F82" i="3"/>
  <c r="M82" i="6" s="1"/>
  <c r="G82" i="3"/>
  <c r="R82" i="6" s="1"/>
  <c r="J194" i="3"/>
  <c r="F49" i="3"/>
  <c r="M49" i="6" s="1"/>
  <c r="D49" i="3"/>
  <c r="E49" i="3"/>
  <c r="G16" i="3"/>
  <c r="R16" i="6" s="1"/>
  <c r="D16" i="3"/>
  <c r="E16" i="3"/>
  <c r="G114" i="3"/>
  <c r="R114" i="6" s="1"/>
  <c r="D114" i="3"/>
  <c r="E114" i="3"/>
  <c r="G78" i="3"/>
  <c r="R78" i="6" s="1"/>
  <c r="D78" i="3"/>
  <c r="E78" i="3"/>
  <c r="D43" i="3"/>
  <c r="F43" i="3"/>
  <c r="M43" i="6" s="1"/>
  <c r="G43" i="3"/>
  <c r="R43" i="6" s="1"/>
  <c r="E10" i="3"/>
  <c r="F10" i="3"/>
  <c r="M10" i="6" s="1"/>
  <c r="G161" i="3"/>
  <c r="R161" i="6" s="1"/>
  <c r="F198" i="3"/>
  <c r="M198" i="6" s="1"/>
  <c r="D190" i="3"/>
  <c r="G190" i="3"/>
  <c r="R190" i="6" s="1"/>
  <c r="G185" i="3"/>
  <c r="R185" i="6" s="1"/>
  <c r="D185" i="3"/>
  <c r="D143" i="3"/>
  <c r="D134" i="3"/>
  <c r="G108" i="3"/>
  <c r="R108" i="6" s="1"/>
  <c r="F108" i="3"/>
  <c r="M108" i="6" s="1"/>
  <c r="G51" i="3"/>
  <c r="R51" i="6" s="1"/>
  <c r="D51" i="3"/>
  <c r="E51" i="3"/>
  <c r="D67" i="3"/>
  <c r="E67" i="3"/>
  <c r="F67" i="3"/>
  <c r="M67" i="6" s="1"/>
  <c r="G67" i="3"/>
  <c r="R67" i="6" s="1"/>
  <c r="G153" i="3"/>
  <c r="R153" i="6" s="1"/>
  <c r="E153" i="3"/>
  <c r="F153" i="3"/>
  <c r="M153" i="6" s="1"/>
  <c r="D92" i="3"/>
  <c r="F92" i="3"/>
  <c r="M92" i="6" s="1"/>
  <c r="G92" i="3"/>
  <c r="R92" i="6" s="1"/>
  <c r="E155" i="3"/>
  <c r="F155" i="3"/>
  <c r="M155" i="6" s="1"/>
  <c r="G155" i="3"/>
  <c r="R155" i="6" s="1"/>
  <c r="G145" i="3"/>
  <c r="R145" i="6" s="1"/>
  <c r="G137" i="3"/>
  <c r="R137" i="6" s="1"/>
  <c r="D137" i="3"/>
  <c r="G128" i="3"/>
  <c r="R128" i="6" s="1"/>
  <c r="G100" i="3"/>
  <c r="R100" i="6" s="1"/>
  <c r="D100" i="3"/>
  <c r="E100" i="3"/>
  <c r="D86" i="3"/>
  <c r="G86" i="3"/>
  <c r="R86" i="6" s="1"/>
  <c r="D35" i="3"/>
  <c r="F35" i="3"/>
  <c r="M35" i="6" s="1"/>
  <c r="G35" i="3"/>
  <c r="R35" i="6" s="1"/>
  <c r="D32" i="3"/>
  <c r="E32" i="3"/>
  <c r="F32" i="3"/>
  <c r="M32" i="6" s="1"/>
  <c r="G32" i="3"/>
  <c r="R32" i="6" s="1"/>
  <c r="F76" i="3"/>
  <c r="M76" i="6" s="1"/>
  <c r="G76" i="3"/>
  <c r="R76" i="6" s="1"/>
  <c r="E167" i="3"/>
  <c r="F167" i="3"/>
  <c r="M167" i="6" s="1"/>
  <c r="G167" i="3"/>
  <c r="R167" i="6" s="1"/>
  <c r="G72" i="3"/>
  <c r="R72" i="6" s="1"/>
  <c r="F72" i="3"/>
  <c r="M72" i="6" s="1"/>
  <c r="E209" i="3"/>
  <c r="F209" i="3"/>
  <c r="M209" i="6" s="1"/>
  <c r="G209" i="3"/>
  <c r="R209" i="6" s="1"/>
  <c r="F192" i="3"/>
  <c r="G177" i="3"/>
  <c r="R177" i="6" s="1"/>
  <c r="D177" i="3"/>
  <c r="E145" i="3"/>
  <c r="F128" i="3"/>
  <c r="M128" i="6" s="1"/>
  <c r="G120" i="3"/>
  <c r="R120" i="6" s="1"/>
  <c r="E120" i="3"/>
  <c r="F120" i="3"/>
  <c r="M120" i="6" s="1"/>
  <c r="G110" i="3"/>
  <c r="R110" i="6" s="1"/>
  <c r="G94" i="3"/>
  <c r="R94" i="6" s="1"/>
  <c r="D41" i="3"/>
  <c r="E41" i="3"/>
  <c r="F41" i="3"/>
  <c r="M41" i="6" s="1"/>
  <c r="D104" i="3"/>
  <c r="E104" i="3"/>
  <c r="F104" i="3"/>
  <c r="M104" i="6" s="1"/>
  <c r="G84" i="3"/>
  <c r="R84" i="6" s="1"/>
  <c r="E84" i="3"/>
  <c r="F84" i="3"/>
  <c r="M84" i="6" s="1"/>
  <c r="G183" i="3"/>
  <c r="R183" i="6" s="1"/>
  <c r="D183" i="3"/>
  <c r="G187" i="3"/>
  <c r="R187" i="6" s="1"/>
  <c r="D187" i="3"/>
  <c r="D145" i="3"/>
  <c r="D128" i="3"/>
  <c r="E76" i="3"/>
  <c r="D29" i="3"/>
  <c r="G29" i="3"/>
  <c r="R29" i="6" s="1"/>
  <c r="G14" i="3"/>
  <c r="R14" i="6" s="1"/>
  <c r="E88" i="3"/>
  <c r="F88" i="3"/>
  <c r="M88" i="6" s="1"/>
  <c r="G192" i="3"/>
  <c r="R192" i="6" s="1"/>
  <c r="E192" i="3"/>
  <c r="F139" i="3"/>
  <c r="M139" i="6" s="1"/>
  <c r="D139" i="3"/>
  <c r="D110" i="3"/>
  <c r="E110" i="3"/>
  <c r="E94" i="3"/>
  <c r="F94" i="3"/>
  <c r="M94" i="6" s="1"/>
  <c r="D88" i="3"/>
  <c r="D76" i="3"/>
  <c r="E37" i="3"/>
  <c r="D34" i="3"/>
  <c r="E34" i="3"/>
  <c r="F34" i="3"/>
  <c r="M34" i="6" s="1"/>
  <c r="G34" i="3"/>
  <c r="R34" i="6" s="1"/>
  <c r="D8" i="3"/>
  <c r="F8" i="3"/>
  <c r="M8" i="6" s="1"/>
  <c r="G8" i="3"/>
  <c r="R8" i="6" s="1"/>
  <c r="D201" i="3"/>
  <c r="G199" i="3"/>
  <c r="R199" i="6" s="1"/>
  <c r="F197" i="3"/>
  <c r="E195" i="3"/>
  <c r="G191" i="3"/>
  <c r="R191" i="6" s="1"/>
  <c r="D186" i="3"/>
  <c r="E178" i="3"/>
  <c r="G176" i="3"/>
  <c r="R176" i="6" s="1"/>
  <c r="E172" i="3"/>
  <c r="E170" i="3"/>
  <c r="E152" i="3"/>
  <c r="E146" i="3"/>
  <c r="G142" i="3"/>
  <c r="R142" i="6" s="1"/>
  <c r="F140" i="3"/>
  <c r="M140" i="6" s="1"/>
  <c r="E138" i="3"/>
  <c r="F131" i="3"/>
  <c r="E129" i="3"/>
  <c r="G127" i="3"/>
  <c r="R127" i="6" s="1"/>
  <c r="D117" i="3"/>
  <c r="D111" i="3"/>
  <c r="D109" i="3"/>
  <c r="E105" i="3"/>
  <c r="E103" i="3"/>
  <c r="E99" i="3"/>
  <c r="E97" i="3"/>
  <c r="E95" i="3"/>
  <c r="G91" i="3"/>
  <c r="R91" i="6" s="1"/>
  <c r="E89" i="3"/>
  <c r="J89" i="3" s="1"/>
  <c r="F87" i="3"/>
  <c r="M87" i="6" s="1"/>
  <c r="F77" i="3"/>
  <c r="M77" i="6" s="1"/>
  <c r="G71" i="3"/>
  <c r="R71" i="6" s="1"/>
  <c r="E62" i="3"/>
  <c r="E56" i="3"/>
  <c r="E52" i="3"/>
  <c r="G50" i="3"/>
  <c r="R50" i="6" s="1"/>
  <c r="E48" i="3"/>
  <c r="F46" i="3"/>
  <c r="M46" i="6" s="1"/>
  <c r="G44" i="3"/>
  <c r="R44" i="6" s="1"/>
  <c r="E42" i="3"/>
  <c r="G40" i="3"/>
  <c r="R40" i="6" s="1"/>
  <c r="E19" i="3"/>
  <c r="E15" i="3"/>
  <c r="E13" i="3"/>
  <c r="E11" i="3"/>
  <c r="F5" i="3"/>
  <c r="M5" i="6" s="1"/>
  <c r="F199" i="3"/>
  <c r="M199" i="6" s="1"/>
  <c r="E197" i="3"/>
  <c r="D195" i="3"/>
  <c r="F191" i="3"/>
  <c r="M191" i="6" s="1"/>
  <c r="F189" i="3"/>
  <c r="M189" i="6" s="1"/>
  <c r="F176" i="3"/>
  <c r="M176" i="6" s="1"/>
  <c r="D172" i="3"/>
  <c r="F165" i="3"/>
  <c r="M165" i="6" s="1"/>
  <c r="G148" i="3"/>
  <c r="R148" i="6" s="1"/>
  <c r="F142" i="3"/>
  <c r="M142" i="6" s="1"/>
  <c r="E140" i="3"/>
  <c r="G133" i="3"/>
  <c r="R133" i="6" s="1"/>
  <c r="D129" i="3"/>
  <c r="F127" i="3"/>
  <c r="M127" i="6" s="1"/>
  <c r="D105" i="3"/>
  <c r="D99" i="3"/>
  <c r="D97" i="3"/>
  <c r="E91" i="3"/>
  <c r="E87" i="3"/>
  <c r="E85" i="3"/>
  <c r="F81" i="3"/>
  <c r="M81" i="6" s="1"/>
  <c r="G79" i="3"/>
  <c r="R79" i="6" s="1"/>
  <c r="E77" i="3"/>
  <c r="F75" i="3"/>
  <c r="M75" i="6" s="1"/>
  <c r="F71" i="3"/>
  <c r="M71" i="6" s="1"/>
  <c r="G65" i="3"/>
  <c r="R65" i="6" s="1"/>
  <c r="F50" i="3"/>
  <c r="M50" i="6" s="1"/>
  <c r="E46" i="3"/>
  <c r="F44" i="3"/>
  <c r="M44" i="6" s="1"/>
  <c r="D42" i="3"/>
  <c r="F40" i="3"/>
  <c r="M40" i="6" s="1"/>
  <c r="F36" i="3"/>
  <c r="M36" i="6" s="1"/>
  <c r="D15" i="3"/>
  <c r="D13" i="3"/>
  <c r="E9" i="3"/>
  <c r="E5" i="3"/>
  <c r="D205" i="3"/>
  <c r="E199" i="3"/>
  <c r="E191" i="3"/>
  <c r="E189" i="3"/>
  <c r="E176" i="3"/>
  <c r="E165" i="3"/>
  <c r="F148" i="3"/>
  <c r="M148" i="6" s="1"/>
  <c r="E142" i="3"/>
  <c r="F135" i="3"/>
  <c r="M135" i="6" s="1"/>
  <c r="D87" i="3"/>
  <c r="D85" i="3"/>
  <c r="E81" i="3"/>
  <c r="E75" i="3"/>
  <c r="E73" i="3"/>
  <c r="E71" i="3"/>
  <c r="F65" i="3"/>
  <c r="M65" i="6" s="1"/>
  <c r="E50" i="3"/>
  <c r="E44" i="3"/>
  <c r="E40" i="3"/>
  <c r="E36" i="3"/>
  <c r="E30" i="3"/>
  <c r="G28" i="3"/>
  <c r="R28" i="6" s="1"/>
  <c r="D9" i="3"/>
  <c r="D189" i="3"/>
  <c r="D165" i="3"/>
  <c r="G163" i="3"/>
  <c r="R163" i="6" s="1"/>
  <c r="F157" i="3"/>
  <c r="M157" i="6" s="1"/>
  <c r="G122" i="3"/>
  <c r="G118" i="3"/>
  <c r="R118" i="6" s="1"/>
  <c r="G112" i="3"/>
  <c r="R112" i="6" s="1"/>
  <c r="D81" i="3"/>
  <c r="D75" i="3"/>
  <c r="D73" i="3"/>
  <c r="E65" i="3"/>
  <c r="F63" i="3"/>
  <c r="M63" i="6" s="1"/>
  <c r="G53" i="3"/>
  <c r="D30" i="3"/>
  <c r="F28" i="3"/>
  <c r="G22" i="3"/>
  <c r="R22" i="6" s="1"/>
  <c r="G116" i="3"/>
  <c r="R116" i="6" s="1"/>
  <c r="E102" i="3"/>
  <c r="E63" i="3"/>
  <c r="F57" i="3"/>
  <c r="G55" i="3"/>
  <c r="F53" i="3"/>
  <c r="M53" i="6" s="1"/>
  <c r="G47" i="3"/>
  <c r="R47" i="6" s="1"/>
  <c r="G26" i="3"/>
  <c r="G20" i="3"/>
  <c r="E18" i="3"/>
  <c r="E184" i="3"/>
  <c r="E148" i="3"/>
  <c r="E135" i="3"/>
  <c r="E127" i="3"/>
  <c r="J117" i="3"/>
  <c r="E162" i="3"/>
  <c r="D162" i="3"/>
  <c r="D135" i="3"/>
  <c r="F115" i="3"/>
  <c r="F103" i="3"/>
  <c r="M103" i="6" s="1"/>
  <c r="F91" i="3"/>
  <c r="M91" i="6" s="1"/>
  <c r="F210" i="3"/>
  <c r="M210" i="6" s="1"/>
  <c r="F196" i="3"/>
  <c r="M196" i="6" s="1"/>
  <c r="F174" i="3"/>
  <c r="M174" i="6" s="1"/>
  <c r="D168" i="3"/>
  <c r="F160" i="3"/>
  <c r="M160" i="6" s="1"/>
  <c r="F141" i="3"/>
  <c r="M141" i="6" s="1"/>
  <c r="D138" i="3"/>
  <c r="F133" i="3"/>
  <c r="F123" i="3"/>
  <c r="M123" i="6" s="1"/>
  <c r="D120" i="3"/>
  <c r="D108" i="3"/>
  <c r="D96" i="3"/>
  <c r="D84" i="3"/>
  <c r="D72" i="3"/>
  <c r="D60" i="3"/>
  <c r="D36" i="3"/>
  <c r="E210" i="3"/>
  <c r="G202" i="3"/>
  <c r="R202" i="6" s="1"/>
  <c r="E196" i="3"/>
  <c r="E174" i="3"/>
  <c r="G166" i="3"/>
  <c r="R166" i="6" s="1"/>
  <c r="E160" i="3"/>
  <c r="E141" i="3"/>
  <c r="G136" i="3"/>
  <c r="R136" i="6" s="1"/>
  <c r="E133" i="3"/>
  <c r="E123" i="3"/>
  <c r="D210" i="3"/>
  <c r="G205" i="3"/>
  <c r="R205" i="6" s="1"/>
  <c r="F202" i="3"/>
  <c r="M202" i="6" s="1"/>
  <c r="F180" i="3"/>
  <c r="M180" i="6" s="1"/>
  <c r="D174" i="3"/>
  <c r="G169" i="3"/>
  <c r="R169" i="6" s="1"/>
  <c r="F166" i="3"/>
  <c r="M166" i="6" s="1"/>
  <c r="F144" i="3"/>
  <c r="M144" i="6" s="1"/>
  <c r="D141" i="3"/>
  <c r="F136" i="3"/>
  <c r="M136" i="6" s="1"/>
  <c r="F126" i="3"/>
  <c r="M126" i="6" s="1"/>
  <c r="D123" i="3"/>
  <c r="G208" i="3"/>
  <c r="F205" i="3"/>
  <c r="E202" i="3"/>
  <c r="F183" i="3"/>
  <c r="M183" i="6" s="1"/>
  <c r="E180" i="3"/>
  <c r="G172" i="3"/>
  <c r="R172" i="6" s="1"/>
  <c r="F169" i="3"/>
  <c r="E166" i="3"/>
  <c r="F147" i="3"/>
  <c r="M147" i="6" s="1"/>
  <c r="E144" i="3"/>
  <c r="G139" i="3"/>
  <c r="E136" i="3"/>
  <c r="E126" i="3"/>
  <c r="G121" i="3"/>
  <c r="G109" i="3"/>
  <c r="G97" i="3"/>
  <c r="R97" i="6" s="1"/>
  <c r="G85" i="3"/>
  <c r="G73" i="3"/>
  <c r="R73" i="6" s="1"/>
  <c r="G49" i="3"/>
  <c r="R49" i="6" s="1"/>
  <c r="G37" i="3"/>
  <c r="G25" i="3"/>
  <c r="G13" i="3"/>
  <c r="F186" i="3"/>
  <c r="M186" i="6" s="1"/>
  <c r="E183" i="3"/>
  <c r="D180" i="3"/>
  <c r="E147" i="3"/>
  <c r="D144" i="3"/>
  <c r="F129" i="3"/>
  <c r="M129" i="6" s="1"/>
  <c r="D126" i="3"/>
  <c r="F114" i="3"/>
  <c r="F102" i="3"/>
  <c r="F90" i="3"/>
  <c r="F78" i="3"/>
  <c r="F54" i="3"/>
  <c r="F42" i="3"/>
  <c r="F30" i="3"/>
  <c r="M30" i="6" s="1"/>
  <c r="F6" i="3"/>
  <c r="M6" i="6" s="1"/>
  <c r="E4" i="3"/>
  <c r="F4" i="3"/>
  <c r="M4" i="6" s="1"/>
  <c r="D4" i="3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C22" i="4"/>
  <c r="E22" i="4" s="1"/>
  <c r="T22" i="6" s="1"/>
  <c r="B23" i="4"/>
  <c r="B24" i="4"/>
  <c r="B25" i="4"/>
  <c r="A26" i="4"/>
  <c r="B26" i="4"/>
  <c r="C26" i="4"/>
  <c r="E26" i="4" s="1"/>
  <c r="T26" i="6" s="1"/>
  <c r="A27" i="4"/>
  <c r="B27" i="4"/>
  <c r="C27" i="4"/>
  <c r="D27" i="4" s="1"/>
  <c r="E27" i="4"/>
  <c r="T27" i="6" s="1"/>
  <c r="A28" i="4"/>
  <c r="B28" i="4"/>
  <c r="C28" i="4"/>
  <c r="E28" i="4" s="1"/>
  <c r="T28" i="6" s="1"/>
  <c r="A29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C72" i="4"/>
  <c r="E72" i="4" s="1"/>
  <c r="T72" i="6" s="1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C99" i="4"/>
  <c r="D99" i="4" s="1"/>
  <c r="A100" i="4"/>
  <c r="B100" i="4"/>
  <c r="C100" i="4"/>
  <c r="E100" i="4" s="1"/>
  <c r="T100" i="6" s="1"/>
  <c r="A101" i="4"/>
  <c r="B101" i="4"/>
  <c r="C101" i="4"/>
  <c r="E101" i="4" s="1"/>
  <c r="T101" i="6" s="1"/>
  <c r="D101" i="4"/>
  <c r="A102" i="4"/>
  <c r="B102" i="4"/>
  <c r="B103" i="4"/>
  <c r="B104" i="4"/>
  <c r="B105" i="4"/>
  <c r="B106" i="4"/>
  <c r="B107" i="4"/>
  <c r="C107" i="4"/>
  <c r="D107" i="4" s="1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C131" i="4"/>
  <c r="D131" i="4" s="1"/>
  <c r="E131" i="4"/>
  <c r="T131" i="6" s="1"/>
  <c r="B132" i="4"/>
  <c r="B133" i="4"/>
  <c r="B134" i="4"/>
  <c r="B135" i="4"/>
  <c r="B136" i="4"/>
  <c r="B137" i="4"/>
  <c r="A138" i="4"/>
  <c r="B138" i="4"/>
  <c r="C138" i="4"/>
  <c r="E138" i="4" s="1"/>
  <c r="T138" i="6" s="1"/>
  <c r="A139" i="4"/>
  <c r="B139" i="4"/>
  <c r="C139" i="4"/>
  <c r="E139" i="4" s="1"/>
  <c r="T139" i="6" s="1"/>
  <c r="A140" i="4"/>
  <c r="B140" i="4"/>
  <c r="C140" i="4"/>
  <c r="E140" i="4" s="1"/>
  <c r="A141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C155" i="4"/>
  <c r="E155" i="4" s="1"/>
  <c r="T155" i="6" s="1"/>
  <c r="D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D168" i="4"/>
  <c r="E168" i="4"/>
  <c r="B169" i="4"/>
  <c r="B170" i="4"/>
  <c r="B171" i="4"/>
  <c r="B172" i="4"/>
  <c r="B173" i="4"/>
  <c r="B174" i="4"/>
  <c r="B175" i="4"/>
  <c r="B176" i="4"/>
  <c r="B177" i="4"/>
  <c r="B178" i="4"/>
  <c r="C178" i="4"/>
  <c r="D178" i="4" s="1"/>
  <c r="B179" i="4"/>
  <c r="B180" i="4"/>
  <c r="C180" i="4"/>
  <c r="D180" i="4"/>
  <c r="E180" i="4"/>
  <c r="T180" i="6" s="1"/>
  <c r="B181" i="4"/>
  <c r="C181" i="4"/>
  <c r="E181" i="4" s="1"/>
  <c r="T181" i="6" s="1"/>
  <c r="D181" i="4"/>
  <c r="B182" i="4"/>
  <c r="C182" i="4"/>
  <c r="E182" i="4" s="1"/>
  <c r="T182" i="6" s="1"/>
  <c r="B183" i="4"/>
  <c r="C183" i="4"/>
  <c r="E183" i="4" s="1"/>
  <c r="T183" i="6" s="1"/>
  <c r="B184" i="4"/>
  <c r="C184" i="4"/>
  <c r="E184" i="4" s="1"/>
  <c r="T184" i="6" s="1"/>
  <c r="B185" i="4"/>
  <c r="C185" i="4"/>
  <c r="E185" i="4" s="1"/>
  <c r="T185" i="6" s="1"/>
  <c r="B186" i="4"/>
  <c r="C186" i="4"/>
  <c r="E186" i="4" s="1"/>
  <c r="T186" i="6" s="1"/>
  <c r="B187" i="4"/>
  <c r="C187" i="4"/>
  <c r="E187" i="4" s="1"/>
  <c r="T187" i="6" s="1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C211" i="4"/>
  <c r="E211" i="4" s="1"/>
  <c r="H17" i="6" l="1"/>
  <c r="J17" i="6" s="1"/>
  <c r="E17" i="16"/>
  <c r="J95" i="3"/>
  <c r="G24" i="3"/>
  <c r="R24" i="6" s="1"/>
  <c r="G79" i="16"/>
  <c r="L158" i="6"/>
  <c r="M21" i="2"/>
  <c r="E22" i="16" s="1"/>
  <c r="D24" i="3"/>
  <c r="J24" i="3" s="1"/>
  <c r="J19" i="3"/>
  <c r="J188" i="3"/>
  <c r="F14" i="3"/>
  <c r="M14" i="6" s="1"/>
  <c r="D14" i="3"/>
  <c r="J14" i="3" s="1"/>
  <c r="J101" i="3"/>
  <c r="F25" i="3"/>
  <c r="M25" i="6" s="1"/>
  <c r="D25" i="3"/>
  <c r="E25" i="3"/>
  <c r="E7" i="3"/>
  <c r="L7" i="6" s="1"/>
  <c r="E203" i="3"/>
  <c r="L203" i="6" s="1"/>
  <c r="H55" i="16"/>
  <c r="J77" i="3"/>
  <c r="J158" i="3"/>
  <c r="F24" i="3"/>
  <c r="M24" i="6" s="1"/>
  <c r="E18" i="16"/>
  <c r="D20" i="3"/>
  <c r="J20" i="3" s="1"/>
  <c r="E20" i="3"/>
  <c r="D184" i="4"/>
  <c r="F184" i="4" s="1"/>
  <c r="L124" i="6"/>
  <c r="E171" i="3"/>
  <c r="H171" i="16" s="1"/>
  <c r="K45" i="6"/>
  <c r="G83" i="3"/>
  <c r="R83" i="6" s="1"/>
  <c r="D171" i="3"/>
  <c r="E83" i="3"/>
  <c r="H83" i="16" s="1"/>
  <c r="J146" i="3"/>
  <c r="J68" i="3"/>
  <c r="H200" i="16"/>
  <c r="D83" i="3"/>
  <c r="D150" i="3"/>
  <c r="K150" i="6" s="1"/>
  <c r="F79" i="3"/>
  <c r="J79" i="3" s="1"/>
  <c r="J107" i="3"/>
  <c r="L109" i="6"/>
  <c r="H119" i="16"/>
  <c r="F150" i="3"/>
  <c r="M150" i="6" s="1"/>
  <c r="E82" i="3"/>
  <c r="G157" i="16"/>
  <c r="H107" i="16"/>
  <c r="G175" i="16"/>
  <c r="F101" i="4"/>
  <c r="J119" i="3"/>
  <c r="J31" i="3"/>
  <c r="L188" i="6"/>
  <c r="H60" i="16"/>
  <c r="F171" i="3"/>
  <c r="M171" i="6" s="1"/>
  <c r="J71" i="6"/>
  <c r="E79" i="3"/>
  <c r="L79" i="6" s="1"/>
  <c r="D200" i="3"/>
  <c r="D113" i="3"/>
  <c r="G113" i="16" s="1"/>
  <c r="J141" i="6"/>
  <c r="K208" i="6"/>
  <c r="E157" i="3"/>
  <c r="J157" i="3" s="1"/>
  <c r="G157" i="3"/>
  <c r="R157" i="6" s="1"/>
  <c r="F200" i="3"/>
  <c r="M200" i="6" s="1"/>
  <c r="G200" i="3"/>
  <c r="R200" i="6" s="1"/>
  <c r="G57" i="16"/>
  <c r="H187" i="16"/>
  <c r="L54" i="6"/>
  <c r="H130" i="16"/>
  <c r="G196" i="16"/>
  <c r="H208" i="16"/>
  <c r="G198" i="3"/>
  <c r="R198" i="6" s="1"/>
  <c r="G182" i="16"/>
  <c r="D211" i="4"/>
  <c r="F211" i="4" s="1"/>
  <c r="H182" i="16"/>
  <c r="G119" i="16"/>
  <c r="J154" i="3"/>
  <c r="D183" i="4"/>
  <c r="F183" i="4" s="1"/>
  <c r="T140" i="6"/>
  <c r="E178" i="4"/>
  <c r="T178" i="6" s="1"/>
  <c r="E204" i="3"/>
  <c r="L204" i="6" s="1"/>
  <c r="G18" i="16"/>
  <c r="D182" i="4"/>
  <c r="O182" i="6" s="1"/>
  <c r="P182" i="6" s="1"/>
  <c r="D139" i="4"/>
  <c r="I139" i="16" s="1"/>
  <c r="D204" i="3"/>
  <c r="J178" i="3"/>
  <c r="G204" i="3"/>
  <c r="R204" i="6" s="1"/>
  <c r="J43" i="6"/>
  <c r="G151" i="16"/>
  <c r="J79" i="6"/>
  <c r="G125" i="16"/>
  <c r="H101" i="16"/>
  <c r="L101" i="6"/>
  <c r="K138" i="3"/>
  <c r="J182" i="3"/>
  <c r="G147" i="16"/>
  <c r="D138" i="4"/>
  <c r="F138" i="4" s="1"/>
  <c r="E107" i="4"/>
  <c r="T107" i="6" s="1"/>
  <c r="E150" i="3"/>
  <c r="L150" i="6" s="1"/>
  <c r="L175" i="6"/>
  <c r="T168" i="6"/>
  <c r="H198" i="6"/>
  <c r="J198" i="6" s="1"/>
  <c r="J113" i="6"/>
  <c r="L86" i="6"/>
  <c r="J41" i="6"/>
  <c r="Y20" i="2"/>
  <c r="M20" i="2" s="1"/>
  <c r="J7" i="6"/>
  <c r="H55" i="6"/>
  <c r="J55" i="6" s="1"/>
  <c r="J81" i="3"/>
  <c r="H11" i="6"/>
  <c r="J11" i="6" s="1"/>
  <c r="E11" i="16"/>
  <c r="G38" i="3"/>
  <c r="R38" i="6" s="1"/>
  <c r="L23" i="6"/>
  <c r="E69" i="16"/>
  <c r="E7" i="16"/>
  <c r="Y24" i="2"/>
  <c r="M24" i="2" s="1"/>
  <c r="Y12" i="2"/>
  <c r="M12" i="2" s="1"/>
  <c r="E13" i="16" s="1"/>
  <c r="G70" i="3"/>
  <c r="R70" i="6" s="1"/>
  <c r="D70" i="3"/>
  <c r="E70" i="3"/>
  <c r="F70" i="3"/>
  <c r="M70" i="6" s="1"/>
  <c r="H50" i="6"/>
  <c r="J50" i="6" s="1"/>
  <c r="D93" i="3"/>
  <c r="F93" i="3"/>
  <c r="M93" i="6" s="1"/>
  <c r="G7" i="16"/>
  <c r="K7" i="6"/>
  <c r="F7" i="3"/>
  <c r="D38" i="3"/>
  <c r="D61" i="3"/>
  <c r="G61" i="16" s="1"/>
  <c r="E96" i="16"/>
  <c r="H96" i="6"/>
  <c r="J96" i="6" s="1"/>
  <c r="E77" i="6"/>
  <c r="H167" i="6"/>
  <c r="J167" i="6" s="1"/>
  <c r="E167" i="16"/>
  <c r="D203" i="3"/>
  <c r="G203" i="3"/>
  <c r="R203" i="6" s="1"/>
  <c r="E161" i="3"/>
  <c r="J161" i="3" s="1"/>
  <c r="D23" i="3"/>
  <c r="K23" i="6" s="1"/>
  <c r="F61" i="3"/>
  <c r="M61" i="6" s="1"/>
  <c r="G206" i="3"/>
  <c r="R206" i="6" s="1"/>
  <c r="D206" i="3"/>
  <c r="E206" i="3"/>
  <c r="F206" i="3"/>
  <c r="M206" i="6" s="1"/>
  <c r="E6" i="6"/>
  <c r="E6" i="2"/>
  <c r="G61" i="3"/>
  <c r="R61" i="6" s="1"/>
  <c r="D198" i="3"/>
  <c r="G198" i="16" s="1"/>
  <c r="J11" i="3"/>
  <c r="F9" i="3"/>
  <c r="M9" i="6" s="1"/>
  <c r="E45" i="3"/>
  <c r="H35" i="6"/>
  <c r="J35" i="6" s="1"/>
  <c r="G163" i="16"/>
  <c r="H134" i="16"/>
  <c r="H57" i="16"/>
  <c r="H115" i="16"/>
  <c r="E121" i="3"/>
  <c r="H121" i="16" s="1"/>
  <c r="H94" i="6"/>
  <c r="J94" i="6" s="1"/>
  <c r="E94" i="16"/>
  <c r="F179" i="3"/>
  <c r="M179" i="6" s="1"/>
  <c r="D179" i="3"/>
  <c r="E179" i="3"/>
  <c r="E104" i="6"/>
  <c r="H120" i="6"/>
  <c r="J120" i="6" s="1"/>
  <c r="E120" i="16"/>
  <c r="H169" i="16"/>
  <c r="L169" i="6"/>
  <c r="E80" i="3"/>
  <c r="F80" i="3"/>
  <c r="M80" i="6" s="1"/>
  <c r="E153" i="6"/>
  <c r="E84" i="16"/>
  <c r="H84" i="6"/>
  <c r="J84" i="6" s="1"/>
  <c r="H125" i="16"/>
  <c r="L125" i="6"/>
  <c r="D106" i="3"/>
  <c r="G106" i="16" s="1"/>
  <c r="F38" i="3"/>
  <c r="M38" i="6" s="1"/>
  <c r="H210" i="6"/>
  <c r="J210" i="6" s="1"/>
  <c r="E210" i="16"/>
  <c r="E42" i="16"/>
  <c r="H42" i="6"/>
  <c r="J42" i="6" s="1"/>
  <c r="E53" i="16"/>
  <c r="H53" i="6"/>
  <c r="J53" i="6" s="1"/>
  <c r="K161" i="6"/>
  <c r="G161" i="16"/>
  <c r="J56" i="3"/>
  <c r="F23" i="3"/>
  <c r="M23" i="6" s="1"/>
  <c r="G7" i="3"/>
  <c r="R7" i="6" s="1"/>
  <c r="G80" i="3"/>
  <c r="R80" i="6" s="1"/>
  <c r="E193" i="3"/>
  <c r="G179" i="3"/>
  <c r="R179" i="6" s="1"/>
  <c r="G45" i="3"/>
  <c r="R45" i="6" s="1"/>
  <c r="E79" i="16"/>
  <c r="G193" i="16"/>
  <c r="D121" i="3"/>
  <c r="K121" i="6" s="1"/>
  <c r="Y9" i="2"/>
  <c r="M9" i="2" s="1"/>
  <c r="E137" i="16"/>
  <c r="H137" i="6"/>
  <c r="J137" i="6" s="1"/>
  <c r="E118" i="16"/>
  <c r="H203" i="6"/>
  <c r="J203" i="6" s="1"/>
  <c r="Y8" i="2"/>
  <c r="M8" i="2" s="1"/>
  <c r="G48" i="3"/>
  <c r="R48" i="6" s="1"/>
  <c r="F48" i="3"/>
  <c r="M48" i="6" s="1"/>
  <c r="H90" i="6"/>
  <c r="J90" i="6" s="1"/>
  <c r="G21" i="3"/>
  <c r="R21" i="6" s="1"/>
  <c r="E21" i="3"/>
  <c r="F21" i="3"/>
  <c r="M21" i="6" s="1"/>
  <c r="E89" i="16"/>
  <c r="H89" i="6"/>
  <c r="J89" i="6" s="1"/>
  <c r="K169" i="6"/>
  <c r="G169" i="16"/>
  <c r="H81" i="6"/>
  <c r="J81" i="6" s="1"/>
  <c r="E81" i="16"/>
  <c r="K154" i="6"/>
  <c r="G154" i="16"/>
  <c r="H148" i="6"/>
  <c r="J148" i="6" s="1"/>
  <c r="H114" i="6"/>
  <c r="J114" i="6" s="1"/>
  <c r="E114" i="16"/>
  <c r="H36" i="6"/>
  <c r="J36" i="6" s="1"/>
  <c r="H161" i="6"/>
  <c r="J161" i="6" s="1"/>
  <c r="E161" i="16"/>
  <c r="E34" i="6"/>
  <c r="H99" i="6"/>
  <c r="J99" i="6" s="1"/>
  <c r="E99" i="16"/>
  <c r="E173" i="16"/>
  <c r="H173" i="6"/>
  <c r="J173" i="6" s="1"/>
  <c r="E200" i="16"/>
  <c r="H200" i="6"/>
  <c r="J200" i="6" s="1"/>
  <c r="Y22" i="2"/>
  <c r="E93" i="3"/>
  <c r="L93" i="6" s="1"/>
  <c r="G23" i="3"/>
  <c r="R23" i="6" s="1"/>
  <c r="H70" i="6"/>
  <c r="J70" i="6" s="1"/>
  <c r="E70" i="16"/>
  <c r="H162" i="6"/>
  <c r="J162" i="6" s="1"/>
  <c r="G66" i="3"/>
  <c r="R66" i="6" s="1"/>
  <c r="E66" i="3"/>
  <c r="D66" i="3"/>
  <c r="G193" i="3"/>
  <c r="R193" i="6" s="1"/>
  <c r="F161" i="3"/>
  <c r="M161" i="6" s="1"/>
  <c r="F45" i="3"/>
  <c r="M45" i="6" s="1"/>
  <c r="H39" i="6"/>
  <c r="J39" i="6" s="1"/>
  <c r="E39" i="16"/>
  <c r="H75" i="6"/>
  <c r="J75" i="6" s="1"/>
  <c r="E75" i="16"/>
  <c r="G90" i="3"/>
  <c r="R90" i="6" s="1"/>
  <c r="D90" i="3"/>
  <c r="E90" i="3"/>
  <c r="F193" i="3"/>
  <c r="M193" i="6" s="1"/>
  <c r="E147" i="6"/>
  <c r="E148" i="6"/>
  <c r="E190" i="6"/>
  <c r="F113" i="3"/>
  <c r="M113" i="6" s="1"/>
  <c r="E113" i="3"/>
  <c r="H108" i="6"/>
  <c r="J108" i="6" s="1"/>
  <c r="E108" i="16"/>
  <c r="G12" i="3"/>
  <c r="R12" i="6" s="1"/>
  <c r="F12" i="3"/>
  <c r="M12" i="6" s="1"/>
  <c r="E12" i="3"/>
  <c r="J12" i="3" s="1"/>
  <c r="H24" i="6"/>
  <c r="J24" i="6" s="1"/>
  <c r="E24" i="16"/>
  <c r="E106" i="16"/>
  <c r="L91" i="6"/>
  <c r="H91" i="16"/>
  <c r="J129" i="3"/>
  <c r="H129" i="16"/>
  <c r="L129" i="6"/>
  <c r="J186" i="3"/>
  <c r="K186" i="6"/>
  <c r="G186" i="16"/>
  <c r="J131" i="3"/>
  <c r="M131" i="6"/>
  <c r="L34" i="6"/>
  <c r="H34" i="16"/>
  <c r="L192" i="6"/>
  <c r="H192" i="16"/>
  <c r="K128" i="6"/>
  <c r="G128" i="16"/>
  <c r="H204" i="16"/>
  <c r="L78" i="6"/>
  <c r="H78" i="16"/>
  <c r="K132" i="6"/>
  <c r="G132" i="16"/>
  <c r="J132" i="3"/>
  <c r="J17" i="3"/>
  <c r="R17" i="6"/>
  <c r="R20" i="6"/>
  <c r="G30" i="16"/>
  <c r="K30" i="6"/>
  <c r="L40" i="6"/>
  <c r="H40" i="16"/>
  <c r="M7" i="6"/>
  <c r="H111" i="6"/>
  <c r="J111" i="6" s="1"/>
  <c r="E111" i="16"/>
  <c r="H139" i="6"/>
  <c r="J139" i="6" s="1"/>
  <c r="E139" i="16"/>
  <c r="O181" i="6"/>
  <c r="I181" i="16"/>
  <c r="J26" i="3"/>
  <c r="R26" i="6"/>
  <c r="J53" i="3"/>
  <c r="R53" i="6"/>
  <c r="J165" i="3"/>
  <c r="K165" i="6"/>
  <c r="G165" i="16"/>
  <c r="J44" i="3"/>
  <c r="L44" i="6"/>
  <c r="H44" i="16"/>
  <c r="J142" i="3"/>
  <c r="L142" i="6"/>
  <c r="H142" i="16"/>
  <c r="K97" i="6"/>
  <c r="G97" i="16"/>
  <c r="L67" i="6"/>
  <c r="H67" i="16"/>
  <c r="J181" i="3"/>
  <c r="K181" i="6"/>
  <c r="G181" i="16"/>
  <c r="L50" i="6"/>
  <c r="H50" i="16"/>
  <c r="L99" i="6"/>
  <c r="H99" i="16"/>
  <c r="H61" i="6"/>
  <c r="J61" i="6" s="1"/>
  <c r="E61" i="16"/>
  <c r="H144" i="6"/>
  <c r="J144" i="6" s="1"/>
  <c r="E144" i="16"/>
  <c r="G64" i="16"/>
  <c r="K64" i="6"/>
  <c r="J64" i="3"/>
  <c r="J55" i="3"/>
  <c r="R55" i="6"/>
  <c r="E76" i="16"/>
  <c r="H76" i="6"/>
  <c r="J76" i="6" s="1"/>
  <c r="E122" i="16"/>
  <c r="H122" i="6"/>
  <c r="J122" i="6" s="1"/>
  <c r="H117" i="6"/>
  <c r="J117" i="6" s="1"/>
  <c r="E117" i="16"/>
  <c r="H204" i="6"/>
  <c r="J204" i="6" s="1"/>
  <c r="E204" i="16"/>
  <c r="H166" i="6"/>
  <c r="J166" i="6" s="1"/>
  <c r="E166" i="16"/>
  <c r="H184" i="6"/>
  <c r="J184" i="6" s="1"/>
  <c r="E184" i="16"/>
  <c r="K12" i="6"/>
  <c r="G12" i="16"/>
  <c r="E131" i="16"/>
  <c r="H131" i="6"/>
  <c r="J131" i="6" s="1"/>
  <c r="J78" i="3"/>
  <c r="M78" i="6"/>
  <c r="J13" i="3"/>
  <c r="R13" i="6"/>
  <c r="J139" i="3"/>
  <c r="R139" i="6"/>
  <c r="L123" i="6"/>
  <c r="H123" i="16"/>
  <c r="K14" i="6"/>
  <c r="G14" i="16"/>
  <c r="J74" i="3"/>
  <c r="K32" i="6"/>
  <c r="G32" i="16"/>
  <c r="H100" i="16"/>
  <c r="L100" i="6"/>
  <c r="H12" i="6"/>
  <c r="J12" i="6" s="1"/>
  <c r="E12" i="16"/>
  <c r="E59" i="16"/>
  <c r="H59" i="6"/>
  <c r="J59" i="6" s="1"/>
  <c r="E52" i="16"/>
  <c r="H52" i="6"/>
  <c r="J52" i="6" s="1"/>
  <c r="H152" i="6"/>
  <c r="J152" i="6" s="1"/>
  <c r="E152" i="16"/>
  <c r="G22" i="16"/>
  <c r="K22" i="6"/>
  <c r="L4" i="6"/>
  <c r="H4" i="16"/>
  <c r="L36" i="6"/>
  <c r="H36" i="16"/>
  <c r="H46" i="6"/>
  <c r="J46" i="6" s="1"/>
  <c r="E46" i="16"/>
  <c r="K131" i="6"/>
  <c r="G131" i="16"/>
  <c r="L48" i="6"/>
  <c r="H48" i="16"/>
  <c r="L95" i="6"/>
  <c r="H95" i="16"/>
  <c r="K34" i="6"/>
  <c r="G34" i="16"/>
  <c r="K78" i="6"/>
  <c r="G78" i="16"/>
  <c r="K63" i="6"/>
  <c r="G63" i="16"/>
  <c r="J63" i="3"/>
  <c r="J99" i="3"/>
  <c r="K99" i="6"/>
  <c r="G99" i="16"/>
  <c r="J52" i="3"/>
  <c r="L52" i="6"/>
  <c r="H52" i="16"/>
  <c r="J197" i="3"/>
  <c r="M197" i="6"/>
  <c r="G98" i="16"/>
  <c r="K98" i="6"/>
  <c r="H69" i="6"/>
  <c r="J69" i="6" s="1"/>
  <c r="L65" i="6"/>
  <c r="H65" i="16"/>
  <c r="K80" i="6"/>
  <c r="G80" i="16"/>
  <c r="J40" i="3"/>
  <c r="J143" i="3"/>
  <c r="K143" i="6"/>
  <c r="G143" i="16"/>
  <c r="H65" i="6"/>
  <c r="J65" i="6" s="1"/>
  <c r="E65" i="16"/>
  <c r="O27" i="6"/>
  <c r="I27" i="16"/>
  <c r="F27" i="4"/>
  <c r="L210" i="6"/>
  <c r="H210" i="16"/>
  <c r="M79" i="6"/>
  <c r="J71" i="3"/>
  <c r="L165" i="6"/>
  <c r="H165" i="16"/>
  <c r="K183" i="6"/>
  <c r="G183" i="16"/>
  <c r="H95" i="6"/>
  <c r="J95" i="6" s="1"/>
  <c r="E95" i="16"/>
  <c r="H49" i="6"/>
  <c r="J49" i="6" s="1"/>
  <c r="E49" i="16"/>
  <c r="H80" i="6"/>
  <c r="J80" i="6" s="1"/>
  <c r="E80" i="16"/>
  <c r="M90" i="6"/>
  <c r="J25" i="3"/>
  <c r="R25" i="6"/>
  <c r="L144" i="6"/>
  <c r="H144" i="16"/>
  <c r="L133" i="6"/>
  <c r="H133" i="16"/>
  <c r="K36" i="6"/>
  <c r="G36" i="16"/>
  <c r="J115" i="3"/>
  <c r="M115" i="6"/>
  <c r="J127" i="3"/>
  <c r="L127" i="6"/>
  <c r="H127" i="16"/>
  <c r="L110" i="6"/>
  <c r="H110" i="16"/>
  <c r="H84" i="16"/>
  <c r="L84" i="6"/>
  <c r="J209" i="3"/>
  <c r="L209" i="6"/>
  <c r="H209" i="16"/>
  <c r="E119" i="16"/>
  <c r="H119" i="6"/>
  <c r="J119" i="6" s="1"/>
  <c r="K74" i="6"/>
  <c r="G74" i="16"/>
  <c r="L28" i="6"/>
  <c r="H28" i="16"/>
  <c r="M169" i="6"/>
  <c r="J169" i="3"/>
  <c r="O178" i="6"/>
  <c r="I178" i="16"/>
  <c r="L18" i="6"/>
  <c r="H18" i="16"/>
  <c r="J18" i="3"/>
  <c r="J28" i="3"/>
  <c r="M28" i="6"/>
  <c r="L138" i="6"/>
  <c r="H138" i="16"/>
  <c r="H54" i="6"/>
  <c r="J54" i="6" s="1"/>
  <c r="E54" i="16"/>
  <c r="G146" i="16"/>
  <c r="K146" i="6"/>
  <c r="J189" i="3"/>
  <c r="K189" i="6"/>
  <c r="G189" i="16"/>
  <c r="J133" i="3"/>
  <c r="M133" i="6"/>
  <c r="J27" i="3"/>
  <c r="L41" i="6"/>
  <c r="H41" i="16"/>
  <c r="J163" i="3"/>
  <c r="J30" i="3"/>
  <c r="H32" i="16"/>
  <c r="L32" i="6"/>
  <c r="J102" i="3"/>
  <c r="M102" i="6"/>
  <c r="J37" i="3"/>
  <c r="R37" i="6"/>
  <c r="J141" i="3"/>
  <c r="K141" i="6"/>
  <c r="G141" i="16"/>
  <c r="K48" i="6"/>
  <c r="G48" i="16"/>
  <c r="K135" i="6"/>
  <c r="G135" i="16"/>
  <c r="K8" i="6"/>
  <c r="G8" i="16"/>
  <c r="K110" i="6"/>
  <c r="G110" i="16"/>
  <c r="K29" i="6"/>
  <c r="G29" i="16"/>
  <c r="H155" i="6"/>
  <c r="J155" i="6" s="1"/>
  <c r="E155" i="16"/>
  <c r="H175" i="6"/>
  <c r="J175" i="6" s="1"/>
  <c r="E175" i="16"/>
  <c r="H189" i="6"/>
  <c r="J189" i="6" s="1"/>
  <c r="E189" i="16"/>
  <c r="K103" i="6"/>
  <c r="G103" i="16"/>
  <c r="J103" i="3"/>
  <c r="E10" i="16"/>
  <c r="H10" i="6"/>
  <c r="J10" i="6" s="1"/>
  <c r="L149" i="6"/>
  <c r="H149" i="16"/>
  <c r="H111" i="16"/>
  <c r="L111" i="6"/>
  <c r="M164" i="6"/>
  <c r="J164" i="3"/>
  <c r="O99" i="6"/>
  <c r="I99" i="16"/>
  <c r="K126" i="6"/>
  <c r="G126" i="16"/>
  <c r="J160" i="3"/>
  <c r="H160" i="16"/>
  <c r="L160" i="6"/>
  <c r="H46" i="16"/>
  <c r="L46" i="6"/>
  <c r="H82" i="16"/>
  <c r="L82" i="6"/>
  <c r="G43" i="16"/>
  <c r="K43" i="6"/>
  <c r="L131" i="6"/>
  <c r="H131" i="16"/>
  <c r="J5" i="3"/>
  <c r="H5" i="16"/>
  <c r="L5" i="6"/>
  <c r="O168" i="6"/>
  <c r="I168" i="16"/>
  <c r="K172" i="6"/>
  <c r="G172" i="16"/>
  <c r="J172" i="3"/>
  <c r="H205" i="6"/>
  <c r="J205" i="6" s="1"/>
  <c r="E205" i="16"/>
  <c r="H124" i="6"/>
  <c r="J124" i="6" s="1"/>
  <c r="E124" i="16"/>
  <c r="G207" i="3"/>
  <c r="R207" i="6" s="1"/>
  <c r="F207" i="3"/>
  <c r="M207" i="6" s="1"/>
  <c r="E207" i="3"/>
  <c r="D207" i="3"/>
  <c r="J9" i="3"/>
  <c r="L9" i="6"/>
  <c r="H9" i="16"/>
  <c r="L97" i="6"/>
  <c r="H97" i="16"/>
  <c r="H195" i="16"/>
  <c r="L195" i="6"/>
  <c r="K38" i="6"/>
  <c r="G38" i="16"/>
  <c r="H110" i="6"/>
  <c r="J110" i="6" s="1"/>
  <c r="E110" i="16"/>
  <c r="K67" i="6"/>
  <c r="G67" i="16"/>
  <c r="K134" i="6"/>
  <c r="G134" i="16"/>
  <c r="J134" i="3"/>
  <c r="H114" i="16"/>
  <c r="L114" i="6"/>
  <c r="H64" i="16"/>
  <c r="L64" i="6"/>
  <c r="J33" i="3"/>
  <c r="K13" i="6"/>
  <c r="G13" i="16"/>
  <c r="J105" i="3"/>
  <c r="K105" i="6"/>
  <c r="G105" i="16"/>
  <c r="H11" i="16"/>
  <c r="L11" i="6"/>
  <c r="H56" i="16"/>
  <c r="L56" i="6"/>
  <c r="L103" i="6"/>
  <c r="H103" i="16"/>
  <c r="H146" i="16"/>
  <c r="L146" i="6"/>
  <c r="L155" i="6"/>
  <c r="H155" i="16"/>
  <c r="H190" i="6"/>
  <c r="J190" i="6" s="1"/>
  <c r="E190" i="16"/>
  <c r="L71" i="6"/>
  <c r="H71" i="16"/>
  <c r="J192" i="3"/>
  <c r="M192" i="6"/>
  <c r="J22" i="3"/>
  <c r="K138" i="6"/>
  <c r="G138" i="16"/>
  <c r="J41" i="3"/>
  <c r="K41" i="6"/>
  <c r="G41" i="16"/>
  <c r="K86" i="6"/>
  <c r="G86" i="16"/>
  <c r="D185" i="4"/>
  <c r="F185" i="4" s="1"/>
  <c r="F178" i="4"/>
  <c r="K4" i="6"/>
  <c r="G4" i="16"/>
  <c r="J114" i="3"/>
  <c r="M114" i="6"/>
  <c r="L166" i="6"/>
  <c r="H166" i="16"/>
  <c r="L141" i="6"/>
  <c r="H141" i="16"/>
  <c r="J60" i="3"/>
  <c r="K60" i="6"/>
  <c r="G60" i="16"/>
  <c r="J168" i="3"/>
  <c r="K168" i="6"/>
  <c r="G168" i="16"/>
  <c r="K139" i="6"/>
  <c r="G139" i="16"/>
  <c r="L76" i="6"/>
  <c r="H76" i="16"/>
  <c r="J49" i="3"/>
  <c r="K49" i="6"/>
  <c r="G49" i="16"/>
  <c r="J39" i="3"/>
  <c r="M39" i="6"/>
  <c r="J69" i="3"/>
  <c r="K69" i="6"/>
  <c r="G69" i="16"/>
  <c r="K200" i="6"/>
  <c r="G200" i="16"/>
  <c r="K149" i="6"/>
  <c r="G149" i="16"/>
  <c r="E150" i="16"/>
  <c r="H150" i="6"/>
  <c r="J150" i="6" s="1"/>
  <c r="G144" i="16"/>
  <c r="K144" i="6"/>
  <c r="K174" i="6"/>
  <c r="G174" i="16"/>
  <c r="L135" i="6"/>
  <c r="H135" i="16"/>
  <c r="J15" i="3"/>
  <c r="K15" i="6"/>
  <c r="G15" i="16"/>
  <c r="L37" i="6"/>
  <c r="H37" i="16"/>
  <c r="K185" i="6"/>
  <c r="G185" i="16"/>
  <c r="E177" i="16"/>
  <c r="H177" i="6"/>
  <c r="J177" i="6" s="1"/>
  <c r="R113" i="6"/>
  <c r="K116" i="6"/>
  <c r="G116" i="16"/>
  <c r="O131" i="6"/>
  <c r="I131" i="16"/>
  <c r="H147" i="16"/>
  <c r="L147" i="6"/>
  <c r="J148" i="3"/>
  <c r="H148" i="16"/>
  <c r="L148" i="6"/>
  <c r="H61" i="16"/>
  <c r="L61" i="6"/>
  <c r="L75" i="6"/>
  <c r="H75" i="16"/>
  <c r="L189" i="6"/>
  <c r="H189" i="16"/>
  <c r="K129" i="6"/>
  <c r="G129" i="16"/>
  <c r="L15" i="6"/>
  <c r="H15" i="16"/>
  <c r="J76" i="3"/>
  <c r="K76" i="6"/>
  <c r="G76" i="16"/>
  <c r="J187" i="3"/>
  <c r="K187" i="6"/>
  <c r="G187" i="16"/>
  <c r="H179" i="6"/>
  <c r="J179" i="6" s="1"/>
  <c r="E179" i="16"/>
  <c r="H136" i="6"/>
  <c r="J136" i="6" s="1"/>
  <c r="E136" i="16"/>
  <c r="H206" i="6"/>
  <c r="J206" i="6" s="1"/>
  <c r="E206" i="16"/>
  <c r="H208" i="6"/>
  <c r="J208" i="6" s="1"/>
  <c r="E208" i="16"/>
  <c r="E51" i="16"/>
  <c r="H51" i="6"/>
  <c r="J51" i="6" s="1"/>
  <c r="L47" i="6"/>
  <c r="H47" i="16"/>
  <c r="K113" i="6"/>
  <c r="L53" i="6"/>
  <c r="H53" i="16"/>
  <c r="H207" i="6"/>
  <c r="J207" i="6" s="1"/>
  <c r="E207" i="16"/>
  <c r="J109" i="3"/>
  <c r="R109" i="6"/>
  <c r="L202" i="6"/>
  <c r="H202" i="16"/>
  <c r="H174" i="16"/>
  <c r="L174" i="6"/>
  <c r="J96" i="3"/>
  <c r="K96" i="6"/>
  <c r="G96" i="16"/>
  <c r="J184" i="3"/>
  <c r="L184" i="6"/>
  <c r="H184" i="16"/>
  <c r="L63" i="6"/>
  <c r="H63" i="16"/>
  <c r="G81" i="16"/>
  <c r="K81" i="6"/>
  <c r="H79" i="16"/>
  <c r="L191" i="6"/>
  <c r="H191" i="16"/>
  <c r="L197" i="6"/>
  <c r="H197" i="16"/>
  <c r="H19" i="16"/>
  <c r="L19" i="6"/>
  <c r="G109" i="16"/>
  <c r="K109" i="6"/>
  <c r="J170" i="3"/>
  <c r="L170" i="6"/>
  <c r="H170" i="16"/>
  <c r="K82" i="6"/>
  <c r="G82" i="16"/>
  <c r="H88" i="16"/>
  <c r="L88" i="6"/>
  <c r="J173" i="3"/>
  <c r="K35" i="6"/>
  <c r="G35" i="16"/>
  <c r="L153" i="6"/>
  <c r="H153" i="16"/>
  <c r="L51" i="6"/>
  <c r="H51" i="16"/>
  <c r="J10" i="3"/>
  <c r="L10" i="6"/>
  <c r="H10" i="16"/>
  <c r="L16" i="6"/>
  <c r="H16" i="16"/>
  <c r="H59" i="16"/>
  <c r="L59" i="6"/>
  <c r="E85" i="16"/>
  <c r="H85" i="6"/>
  <c r="J85" i="6" s="1"/>
  <c r="H91" i="6"/>
  <c r="J91" i="6" s="1"/>
  <c r="E91" i="16"/>
  <c r="H34" i="6"/>
  <c r="J34" i="6" s="1"/>
  <c r="E34" i="16"/>
  <c r="K47" i="6"/>
  <c r="G47" i="16"/>
  <c r="E21" i="16"/>
  <c r="H21" i="6"/>
  <c r="J21" i="6" s="1"/>
  <c r="H173" i="16"/>
  <c r="L173" i="6"/>
  <c r="H106" i="6"/>
  <c r="J106" i="6" s="1"/>
  <c r="G53" i="16"/>
  <c r="K53" i="6"/>
  <c r="E127" i="16"/>
  <c r="H127" i="6"/>
  <c r="J127" i="6" s="1"/>
  <c r="E30" i="16"/>
  <c r="H30" i="6"/>
  <c r="J30" i="6" s="1"/>
  <c r="H121" i="6"/>
  <c r="J121" i="6" s="1"/>
  <c r="E121" i="16"/>
  <c r="L17" i="6"/>
  <c r="H17" i="16"/>
  <c r="J85" i="3"/>
  <c r="R85" i="6"/>
  <c r="K72" i="6"/>
  <c r="G72" i="16"/>
  <c r="J57" i="3"/>
  <c r="M57" i="6"/>
  <c r="J73" i="3"/>
  <c r="K73" i="6"/>
  <c r="G73" i="16"/>
  <c r="H73" i="16"/>
  <c r="L73" i="6"/>
  <c r="J176" i="3"/>
  <c r="H176" i="16"/>
  <c r="L176" i="6"/>
  <c r="H77" i="16"/>
  <c r="L77" i="6"/>
  <c r="L13" i="6"/>
  <c r="H13" i="16"/>
  <c r="J62" i="3"/>
  <c r="L62" i="6"/>
  <c r="H62" i="16"/>
  <c r="L105" i="6"/>
  <c r="H105" i="16"/>
  <c r="J152" i="3"/>
  <c r="L152" i="6"/>
  <c r="H152" i="16"/>
  <c r="J201" i="3"/>
  <c r="K201" i="6"/>
  <c r="G201" i="16"/>
  <c r="K145" i="6"/>
  <c r="G145" i="16"/>
  <c r="L104" i="6"/>
  <c r="H104" i="16"/>
  <c r="G100" i="16"/>
  <c r="K100" i="6"/>
  <c r="K92" i="6"/>
  <c r="G92" i="16"/>
  <c r="H161" i="16"/>
  <c r="L159" i="6"/>
  <c r="H159" i="16"/>
  <c r="H45" i="6"/>
  <c r="J45" i="6" s="1"/>
  <c r="E45" i="16"/>
  <c r="H29" i="6"/>
  <c r="J29" i="6" s="1"/>
  <c r="E29" i="16"/>
  <c r="K17" i="6"/>
  <c r="G17" i="16"/>
  <c r="E106" i="3"/>
  <c r="F106" i="3"/>
  <c r="M106" i="6" s="1"/>
  <c r="O101" i="6"/>
  <c r="P101" i="6" s="1"/>
  <c r="Q101" i="6" s="1"/>
  <c r="I101" i="16"/>
  <c r="K162" i="6"/>
  <c r="G162" i="16"/>
  <c r="H120" i="16"/>
  <c r="L120" i="6"/>
  <c r="K159" i="6"/>
  <c r="G159" i="16"/>
  <c r="O180" i="6"/>
  <c r="I180" i="16"/>
  <c r="I107" i="16"/>
  <c r="O107" i="6"/>
  <c r="P107" i="6" s="1"/>
  <c r="J42" i="3"/>
  <c r="M42" i="6"/>
  <c r="J180" i="3"/>
  <c r="K180" i="6"/>
  <c r="G180" i="16"/>
  <c r="R121" i="6"/>
  <c r="J205" i="3"/>
  <c r="M205" i="6"/>
  <c r="J196" i="3"/>
  <c r="L196" i="6"/>
  <c r="H196" i="16"/>
  <c r="J108" i="3"/>
  <c r="K108" i="6"/>
  <c r="G108" i="16"/>
  <c r="L162" i="6"/>
  <c r="H162" i="16"/>
  <c r="L102" i="6"/>
  <c r="H102" i="16"/>
  <c r="K9" i="6"/>
  <c r="G9" i="16"/>
  <c r="H81" i="16"/>
  <c r="L81" i="6"/>
  <c r="J199" i="3"/>
  <c r="L199" i="6"/>
  <c r="H199" i="16"/>
  <c r="L83" i="6"/>
  <c r="H140" i="16"/>
  <c r="L140" i="6"/>
  <c r="K21" i="6"/>
  <c r="G21" i="16"/>
  <c r="M83" i="6"/>
  <c r="J111" i="3"/>
  <c r="G111" i="16"/>
  <c r="K111" i="6"/>
  <c r="L172" i="6"/>
  <c r="H172" i="16"/>
  <c r="J47" i="3"/>
  <c r="G88" i="16"/>
  <c r="K88" i="6"/>
  <c r="J112" i="3"/>
  <c r="J167" i="3"/>
  <c r="L167" i="6"/>
  <c r="H167" i="16"/>
  <c r="J137" i="3"/>
  <c r="K137" i="6"/>
  <c r="G137" i="16"/>
  <c r="J51" i="3"/>
  <c r="K51" i="6"/>
  <c r="G51" i="16"/>
  <c r="J190" i="3"/>
  <c r="G190" i="16"/>
  <c r="K190" i="6"/>
  <c r="J16" i="3"/>
  <c r="K16" i="6"/>
  <c r="G16" i="16"/>
  <c r="L6" i="6"/>
  <c r="H6" i="16"/>
  <c r="J175" i="3"/>
  <c r="R175" i="6"/>
  <c r="G59" i="16"/>
  <c r="K59" i="6"/>
  <c r="H201" i="6"/>
  <c r="J201" i="6" s="1"/>
  <c r="E201" i="16"/>
  <c r="E19" i="16"/>
  <c r="H19" i="6"/>
  <c r="J19" i="6" s="1"/>
  <c r="E115" i="16"/>
  <c r="H115" i="6"/>
  <c r="J115" i="6" s="1"/>
  <c r="H168" i="6"/>
  <c r="J168" i="6" s="1"/>
  <c r="E168" i="16"/>
  <c r="H129" i="6"/>
  <c r="J129" i="6" s="1"/>
  <c r="E129" i="16"/>
  <c r="K31" i="6"/>
  <c r="G31" i="16"/>
  <c r="L116" i="6"/>
  <c r="H116" i="16"/>
  <c r="L96" i="6"/>
  <c r="H96" i="16"/>
  <c r="K170" i="6"/>
  <c r="G170" i="16"/>
  <c r="G10" i="16"/>
  <c r="K10" i="6"/>
  <c r="O155" i="6"/>
  <c r="I155" i="16"/>
  <c r="J124" i="3"/>
  <c r="K124" i="6"/>
  <c r="G124" i="16"/>
  <c r="H15" i="6"/>
  <c r="J15" i="6" s="1"/>
  <c r="E15" i="16"/>
  <c r="H153" i="6"/>
  <c r="J153" i="6" s="1"/>
  <c r="E153" i="16"/>
  <c r="K58" i="6"/>
  <c r="G58" i="16"/>
  <c r="J58" i="3"/>
  <c r="G84" i="16"/>
  <c r="K84" i="6"/>
  <c r="K75" i="6"/>
  <c r="G75" i="16"/>
  <c r="G195" i="16"/>
  <c r="K195" i="6"/>
  <c r="K104" i="6"/>
  <c r="G104" i="16"/>
  <c r="D186" i="4"/>
  <c r="F186" i="4" s="1"/>
  <c r="J54" i="3"/>
  <c r="M54" i="6"/>
  <c r="J183" i="3"/>
  <c r="L183" i="6"/>
  <c r="H183" i="16"/>
  <c r="L126" i="6"/>
  <c r="H126" i="16"/>
  <c r="J208" i="3"/>
  <c r="R208" i="6"/>
  <c r="J210" i="3"/>
  <c r="K210" i="6"/>
  <c r="G210" i="16"/>
  <c r="J120" i="3"/>
  <c r="G120" i="16"/>
  <c r="K120" i="6"/>
  <c r="L198" i="6"/>
  <c r="H198" i="16"/>
  <c r="K85" i="6"/>
  <c r="G85" i="16"/>
  <c r="G205" i="16"/>
  <c r="K205" i="6"/>
  <c r="K42" i="6"/>
  <c r="G42" i="16"/>
  <c r="L85" i="6"/>
  <c r="H85" i="16"/>
  <c r="K117" i="6"/>
  <c r="G117" i="16"/>
  <c r="J116" i="3"/>
  <c r="H24" i="16"/>
  <c r="L24" i="6"/>
  <c r="L145" i="6"/>
  <c r="H145" i="16"/>
  <c r="J153" i="3"/>
  <c r="G6" i="16"/>
  <c r="K6" i="6"/>
  <c r="H4" i="6"/>
  <c r="J4" i="6" s="1"/>
  <c r="E4" i="16"/>
  <c r="H23" i="6"/>
  <c r="J23" i="6" s="1"/>
  <c r="E23" i="16"/>
  <c r="H48" i="6"/>
  <c r="J48" i="6" s="1"/>
  <c r="E48" i="16"/>
  <c r="H191" i="6"/>
  <c r="J191" i="6" s="1"/>
  <c r="E191" i="16"/>
  <c r="H172" i="6"/>
  <c r="J172" i="6" s="1"/>
  <c r="E172" i="16"/>
  <c r="H47" i="6"/>
  <c r="J47" i="6" s="1"/>
  <c r="E47" i="16"/>
  <c r="K83" i="6"/>
  <c r="G83" i="16"/>
  <c r="L58" i="6"/>
  <c r="H58" i="16"/>
  <c r="L27" i="6"/>
  <c r="H27" i="16"/>
  <c r="L180" i="6"/>
  <c r="H180" i="16"/>
  <c r="K114" i="6"/>
  <c r="G114" i="16"/>
  <c r="K171" i="6"/>
  <c r="G171" i="16"/>
  <c r="H147" i="6"/>
  <c r="J147" i="6" s="1"/>
  <c r="E147" i="16"/>
  <c r="M66" i="6"/>
  <c r="J136" i="3"/>
  <c r="H136" i="16"/>
  <c r="L136" i="6"/>
  <c r="J123" i="3"/>
  <c r="K123" i="6"/>
  <c r="G123" i="16"/>
  <c r="J122" i="3"/>
  <c r="R122" i="6"/>
  <c r="H30" i="16"/>
  <c r="L30" i="6"/>
  <c r="J87" i="3"/>
  <c r="G87" i="16"/>
  <c r="K87" i="6"/>
  <c r="L87" i="6"/>
  <c r="H87" i="16"/>
  <c r="L42" i="6"/>
  <c r="H42" i="16"/>
  <c r="L89" i="6"/>
  <c r="H89" i="16"/>
  <c r="L178" i="6"/>
  <c r="H178" i="16"/>
  <c r="J94" i="3"/>
  <c r="L94" i="6"/>
  <c r="H94" i="16"/>
  <c r="K177" i="6"/>
  <c r="G177" i="16"/>
  <c r="J156" i="3"/>
  <c r="L38" i="6"/>
  <c r="H38" i="16"/>
  <c r="H49" i="16"/>
  <c r="L49" i="6"/>
  <c r="L69" i="6"/>
  <c r="H69" i="16"/>
  <c r="K130" i="6"/>
  <c r="G130" i="16"/>
  <c r="H40" i="6"/>
  <c r="J40" i="6" s="1"/>
  <c r="E40" i="16"/>
  <c r="H37" i="6"/>
  <c r="J37" i="6" s="1"/>
  <c r="E37" i="16"/>
  <c r="H109" i="6"/>
  <c r="J109" i="6" s="1"/>
  <c r="E109" i="16"/>
  <c r="H118" i="6"/>
  <c r="J118" i="6" s="1"/>
  <c r="G68" i="16"/>
  <c r="K68" i="6"/>
  <c r="L168" i="6"/>
  <c r="H168" i="16"/>
  <c r="K28" i="6"/>
  <c r="G28" i="16"/>
  <c r="J151" i="3"/>
  <c r="J149" i="3"/>
  <c r="R149" i="6"/>
  <c r="L22" i="6"/>
  <c r="H22" i="16"/>
  <c r="D26" i="4"/>
  <c r="F26" i="4" s="1"/>
  <c r="F180" i="4"/>
  <c r="J43" i="3"/>
  <c r="J110" i="3"/>
  <c r="J130" i="3"/>
  <c r="J147" i="3"/>
  <c r="J91" i="3"/>
  <c r="J75" i="3"/>
  <c r="J100" i="3"/>
  <c r="J50" i="3"/>
  <c r="J86" i="3"/>
  <c r="J67" i="3"/>
  <c r="J4" i="3"/>
  <c r="J166" i="3"/>
  <c r="J36" i="3"/>
  <c r="J195" i="3"/>
  <c r="J29" i="3"/>
  <c r="J35" i="3"/>
  <c r="J92" i="3"/>
  <c r="J65" i="3"/>
  <c r="J32" i="3"/>
  <c r="J138" i="3"/>
  <c r="J191" i="3"/>
  <c r="J34" i="3"/>
  <c r="J128" i="3"/>
  <c r="J104" i="3"/>
  <c r="J135" i="3"/>
  <c r="J140" i="3"/>
  <c r="J177" i="3"/>
  <c r="J185" i="3"/>
  <c r="J98" i="3"/>
  <c r="J6" i="3"/>
  <c r="J72" i="3"/>
  <c r="J97" i="3"/>
  <c r="J84" i="3"/>
  <c r="J162" i="3"/>
  <c r="J82" i="3"/>
  <c r="J159" i="3"/>
  <c r="J155" i="3"/>
  <c r="J59" i="3"/>
  <c r="J8" i="3"/>
  <c r="J202" i="3"/>
  <c r="J46" i="3"/>
  <c r="J88" i="3"/>
  <c r="J145" i="3"/>
  <c r="J126" i="3"/>
  <c r="J144" i="3"/>
  <c r="J174" i="3"/>
  <c r="F155" i="4"/>
  <c r="F131" i="4"/>
  <c r="F168" i="4"/>
  <c r="E99" i="4"/>
  <c r="D187" i="4"/>
  <c r="D140" i="4"/>
  <c r="D22" i="4"/>
  <c r="F181" i="4"/>
  <c r="D72" i="4"/>
  <c r="D100" i="4"/>
  <c r="D28" i="4"/>
  <c r="P27" i="6" l="1"/>
  <c r="Q27" i="6" s="1"/>
  <c r="L171" i="6"/>
  <c r="H203" i="16"/>
  <c r="L25" i="6"/>
  <c r="H25" i="16"/>
  <c r="H157" i="16"/>
  <c r="K25" i="6"/>
  <c r="G25" i="16"/>
  <c r="G150" i="16"/>
  <c r="H20" i="16"/>
  <c r="L20" i="6"/>
  <c r="G23" i="16"/>
  <c r="H7" i="16"/>
  <c r="G24" i="16"/>
  <c r="J200" i="3"/>
  <c r="K24" i="6"/>
  <c r="J171" i="3"/>
  <c r="H22" i="6"/>
  <c r="J22" i="6" s="1"/>
  <c r="L157" i="6"/>
  <c r="K20" i="6"/>
  <c r="G20" i="16"/>
  <c r="I184" i="16"/>
  <c r="J184" i="16" s="1"/>
  <c r="O184" i="6"/>
  <c r="P184" i="6" s="1"/>
  <c r="Q184" i="6" s="1"/>
  <c r="J7" i="3"/>
  <c r="L161" i="6"/>
  <c r="J113" i="3"/>
  <c r="J93" i="3"/>
  <c r="J61" i="3"/>
  <c r="J150" i="3"/>
  <c r="J83" i="3"/>
  <c r="I183" i="16"/>
  <c r="J204" i="3"/>
  <c r="O183" i="6"/>
  <c r="P183" i="6" s="1"/>
  <c r="K106" i="6"/>
  <c r="H150" i="16"/>
  <c r="F107" i="4"/>
  <c r="G93" i="16"/>
  <c r="K93" i="6"/>
  <c r="F139" i="4"/>
  <c r="J198" i="3"/>
  <c r="F182" i="4"/>
  <c r="I182" i="16"/>
  <c r="J101" i="16"/>
  <c r="L101" i="16" s="1"/>
  <c r="U101" i="6" s="1"/>
  <c r="V101" i="6" s="1"/>
  <c r="W101" i="6" s="1"/>
  <c r="O138" i="6"/>
  <c r="P138" i="6" s="1"/>
  <c r="Q138" i="6" s="1"/>
  <c r="J193" i="3"/>
  <c r="L121" i="6"/>
  <c r="G204" i="16"/>
  <c r="J45" i="3"/>
  <c r="K204" i="6"/>
  <c r="O139" i="6"/>
  <c r="J38" i="3"/>
  <c r="H93" i="16"/>
  <c r="K100" i="3"/>
  <c r="I138" i="16"/>
  <c r="J138" i="16" s="1"/>
  <c r="L138" i="16" s="1"/>
  <c r="U138" i="6" s="1"/>
  <c r="V138" i="6" s="1"/>
  <c r="W138" i="6" s="1"/>
  <c r="J23" i="3"/>
  <c r="J27" i="16"/>
  <c r="L27" i="16" s="1"/>
  <c r="U27" i="6" s="1"/>
  <c r="V27" i="6" s="1"/>
  <c r="W27" i="6" s="1"/>
  <c r="O26" i="2" s="1"/>
  <c r="J155" i="16"/>
  <c r="K155" i="16" s="1"/>
  <c r="L155" i="16" s="1"/>
  <c r="U155" i="6" s="1"/>
  <c r="V155" i="6" s="1"/>
  <c r="W155" i="6" s="1"/>
  <c r="E203" i="16"/>
  <c r="E198" i="16"/>
  <c r="E50" i="16"/>
  <c r="E78" i="6"/>
  <c r="E191" i="6"/>
  <c r="H31" i="6"/>
  <c r="J31" i="6" s="1"/>
  <c r="E31" i="16"/>
  <c r="H45" i="16"/>
  <c r="E35" i="6"/>
  <c r="E55" i="16"/>
  <c r="E36" i="16"/>
  <c r="H93" i="6"/>
  <c r="J93" i="6" s="1"/>
  <c r="E93" i="16"/>
  <c r="E90" i="16"/>
  <c r="G121" i="16"/>
  <c r="J203" i="3"/>
  <c r="J121" i="3"/>
  <c r="L193" i="6"/>
  <c r="P99" i="6"/>
  <c r="Q99" i="6" s="1"/>
  <c r="K203" i="6"/>
  <c r="G203" i="16"/>
  <c r="E105" i="6"/>
  <c r="L206" i="6"/>
  <c r="H206" i="16"/>
  <c r="E154" i="6"/>
  <c r="H135" i="6"/>
  <c r="J135" i="6" s="1"/>
  <c r="E135" i="16"/>
  <c r="H107" i="6"/>
  <c r="J107" i="6" s="1"/>
  <c r="E107" i="16"/>
  <c r="J107" i="16" s="1"/>
  <c r="J90" i="3"/>
  <c r="H176" i="6"/>
  <c r="J176" i="6" s="1"/>
  <c r="E176" i="16"/>
  <c r="E162" i="16"/>
  <c r="K61" i="6"/>
  <c r="H60" i="6"/>
  <c r="J60" i="6" s="1"/>
  <c r="E60" i="16"/>
  <c r="H80" i="16"/>
  <c r="L80" i="6"/>
  <c r="E33" i="16"/>
  <c r="H33" i="6"/>
  <c r="J33" i="6" s="1"/>
  <c r="H13" i="6"/>
  <c r="J13" i="6" s="1"/>
  <c r="H88" i="6"/>
  <c r="J88" i="6" s="1"/>
  <c r="E88" i="16"/>
  <c r="K198" i="6"/>
  <c r="J99" i="16"/>
  <c r="H57" i="6"/>
  <c r="J57" i="6" s="1"/>
  <c r="E57" i="16"/>
  <c r="E7" i="6"/>
  <c r="E7" i="2"/>
  <c r="J80" i="3"/>
  <c r="E148" i="16"/>
  <c r="H193" i="16"/>
  <c r="L90" i="6"/>
  <c r="H90" i="16"/>
  <c r="K66" i="6"/>
  <c r="G66" i="16"/>
  <c r="H9" i="6"/>
  <c r="J9" i="6" s="1"/>
  <c r="E9" i="16"/>
  <c r="H157" i="6"/>
  <c r="J157" i="6" s="1"/>
  <c r="E157" i="16"/>
  <c r="H154" i="6"/>
  <c r="J154" i="6" s="1"/>
  <c r="E154" i="16"/>
  <c r="P155" i="6"/>
  <c r="Q155" i="6" s="1"/>
  <c r="H193" i="6"/>
  <c r="J193" i="6" s="1"/>
  <c r="E193" i="16"/>
  <c r="L113" i="6"/>
  <c r="H113" i="16"/>
  <c r="E83" i="16"/>
  <c r="H83" i="6"/>
  <c r="J83" i="6" s="1"/>
  <c r="L179" i="6"/>
  <c r="H179" i="16"/>
  <c r="G206" i="16"/>
  <c r="J206" i="3"/>
  <c r="K206" i="6"/>
  <c r="K179" i="6"/>
  <c r="G179" i="16"/>
  <c r="L70" i="6"/>
  <c r="H70" i="16"/>
  <c r="E197" i="16"/>
  <c r="H197" i="6"/>
  <c r="J197" i="6" s="1"/>
  <c r="G70" i="16"/>
  <c r="J70" i="3"/>
  <c r="K70" i="6"/>
  <c r="L21" i="6"/>
  <c r="H21" i="16"/>
  <c r="J21" i="3"/>
  <c r="H66" i="6"/>
  <c r="J66" i="6" s="1"/>
  <c r="E66" i="16"/>
  <c r="H149" i="6"/>
  <c r="J149" i="6" s="1"/>
  <c r="E149" i="16"/>
  <c r="L45" i="6"/>
  <c r="J106" i="3"/>
  <c r="H77" i="6"/>
  <c r="J77" i="6" s="1"/>
  <c r="E77" i="16"/>
  <c r="H78" i="6"/>
  <c r="J78" i="6" s="1"/>
  <c r="E78" i="16"/>
  <c r="L12" i="6"/>
  <c r="H12" i="16"/>
  <c r="J48" i="3"/>
  <c r="J179" i="3"/>
  <c r="J66" i="3"/>
  <c r="K90" i="6"/>
  <c r="G90" i="16"/>
  <c r="L66" i="6"/>
  <c r="H66" i="16"/>
  <c r="H165" i="6"/>
  <c r="J165" i="6" s="1"/>
  <c r="E165" i="16"/>
  <c r="F99" i="4"/>
  <c r="T99" i="6"/>
  <c r="H171" i="6"/>
  <c r="J171" i="6" s="1"/>
  <c r="E171" i="16"/>
  <c r="H178" i="6"/>
  <c r="J178" i="6" s="1"/>
  <c r="E178" i="16"/>
  <c r="J178" i="16" s="1"/>
  <c r="L178" i="16" s="1"/>
  <c r="U178" i="6" s="1"/>
  <c r="V178" i="6" s="1"/>
  <c r="L207" i="6"/>
  <c r="H207" i="16"/>
  <c r="H159" i="6"/>
  <c r="J159" i="6" s="1"/>
  <c r="E159" i="16"/>
  <c r="P131" i="6"/>
  <c r="Q131" i="6" s="1"/>
  <c r="H196" i="6"/>
  <c r="J196" i="6" s="1"/>
  <c r="E196" i="16"/>
  <c r="H209" i="6"/>
  <c r="J209" i="6" s="1"/>
  <c r="E209" i="16"/>
  <c r="H182" i="6"/>
  <c r="J182" i="6" s="1"/>
  <c r="E182" i="16"/>
  <c r="J181" i="16"/>
  <c r="H97" i="6"/>
  <c r="J97" i="6" s="1"/>
  <c r="E97" i="16"/>
  <c r="O100" i="6"/>
  <c r="P100" i="6" s="1"/>
  <c r="I100" i="16"/>
  <c r="I72" i="16"/>
  <c r="J72" i="16" s="1"/>
  <c r="O72" i="6"/>
  <c r="H8" i="6"/>
  <c r="J8" i="6" s="1"/>
  <c r="E8" i="16"/>
  <c r="H32" i="6"/>
  <c r="J32" i="6" s="1"/>
  <c r="E32" i="16"/>
  <c r="E133" i="16"/>
  <c r="H133" i="6"/>
  <c r="J133" i="6" s="1"/>
  <c r="H82" i="6"/>
  <c r="J82" i="6" s="1"/>
  <c r="E82" i="16"/>
  <c r="H104" i="6"/>
  <c r="J104" i="6" s="1"/>
  <c r="E104" i="16"/>
  <c r="H199" i="6"/>
  <c r="E199" i="16"/>
  <c r="H68" i="6"/>
  <c r="J68" i="6" s="1"/>
  <c r="E68" i="16"/>
  <c r="H160" i="6"/>
  <c r="J160" i="6" s="1"/>
  <c r="E160" i="16"/>
  <c r="H38" i="6"/>
  <c r="J38" i="6" s="1"/>
  <c r="E38" i="16"/>
  <c r="H92" i="6"/>
  <c r="J92" i="6" s="1"/>
  <c r="E92" i="16"/>
  <c r="H58" i="6"/>
  <c r="J58" i="6" s="1"/>
  <c r="E58" i="16"/>
  <c r="H202" i="6"/>
  <c r="J202" i="6" s="1"/>
  <c r="E202" i="16"/>
  <c r="O28" i="6"/>
  <c r="P28" i="6" s="1"/>
  <c r="I28" i="16"/>
  <c r="H44" i="6"/>
  <c r="J44" i="6" s="1"/>
  <c r="E44" i="16"/>
  <c r="I186" i="16"/>
  <c r="J186" i="16" s="1"/>
  <c r="L186" i="16" s="1"/>
  <c r="U186" i="6" s="1"/>
  <c r="V186" i="6" s="1"/>
  <c r="W186" i="6" s="1"/>
  <c r="O186" i="6"/>
  <c r="P186" i="6" s="1"/>
  <c r="Q186" i="6" s="1"/>
  <c r="P168" i="6"/>
  <c r="Q168" i="6" s="1"/>
  <c r="E26" i="16"/>
  <c r="H26" i="6"/>
  <c r="J26" i="6" s="1"/>
  <c r="H20" i="6"/>
  <c r="J20" i="6" s="1"/>
  <c r="E20" i="16"/>
  <c r="E134" i="16"/>
  <c r="H134" i="6"/>
  <c r="J134" i="6" s="1"/>
  <c r="E64" i="16"/>
  <c r="H64" i="6"/>
  <c r="J64" i="6" s="1"/>
  <c r="H188" i="6"/>
  <c r="J188" i="6" s="1"/>
  <c r="E188" i="16"/>
  <c r="O22" i="6"/>
  <c r="P22" i="6" s="1"/>
  <c r="Q22" i="6" s="1"/>
  <c r="I22" i="16"/>
  <c r="J22" i="16" s="1"/>
  <c r="P178" i="6"/>
  <c r="H73" i="6"/>
  <c r="J73" i="6" s="1"/>
  <c r="E73" i="16"/>
  <c r="J168" i="16"/>
  <c r="L106" i="6"/>
  <c r="H106" i="16"/>
  <c r="H170" i="6"/>
  <c r="J170" i="6" s="1"/>
  <c r="E170" i="16"/>
  <c r="H86" i="6"/>
  <c r="J86" i="6" s="1"/>
  <c r="E86" i="16"/>
  <c r="E151" i="16"/>
  <c r="H151" i="6"/>
  <c r="J151" i="6" s="1"/>
  <c r="H116" i="6"/>
  <c r="J116" i="6" s="1"/>
  <c r="E116" i="16"/>
  <c r="J131" i="16"/>
  <c r="E87" i="16"/>
  <c r="H87" i="6"/>
  <c r="J87" i="6" s="1"/>
  <c r="H164" i="6"/>
  <c r="J164" i="6" s="1"/>
  <c r="E164" i="16"/>
  <c r="H187" i="6"/>
  <c r="J187" i="6" s="1"/>
  <c r="E187" i="16"/>
  <c r="P181" i="6"/>
  <c r="Q181" i="6" s="1"/>
  <c r="H28" i="6"/>
  <c r="J28" i="6" s="1"/>
  <c r="E28" i="16"/>
  <c r="H128" i="6"/>
  <c r="J128" i="6" s="1"/>
  <c r="E128" i="16"/>
  <c r="H183" i="6"/>
  <c r="J183" i="6" s="1"/>
  <c r="E183" i="16"/>
  <c r="J183" i="16" s="1"/>
  <c r="J139" i="16"/>
  <c r="L139" i="16" s="1"/>
  <c r="U139" i="6" s="1"/>
  <c r="V139" i="6" s="1"/>
  <c r="W139" i="6" s="1"/>
  <c r="O26" i="6"/>
  <c r="P26" i="6" s="1"/>
  <c r="I26" i="16"/>
  <c r="O140" i="6"/>
  <c r="P140" i="6" s="1"/>
  <c r="Q140" i="6" s="1"/>
  <c r="I140" i="16"/>
  <c r="J140" i="16" s="1"/>
  <c r="L140" i="16" s="1"/>
  <c r="U140" i="6" s="1"/>
  <c r="V140" i="6" s="1"/>
  <c r="W140" i="6" s="1"/>
  <c r="J180" i="16"/>
  <c r="E25" i="16"/>
  <c r="H25" i="6"/>
  <c r="J25" i="6" s="1"/>
  <c r="H14" i="6"/>
  <c r="J14" i="6" s="1"/>
  <c r="E14" i="16"/>
  <c r="H169" i="6"/>
  <c r="J169" i="6" s="1"/>
  <c r="E169" i="16"/>
  <c r="J207" i="3"/>
  <c r="K207" i="6"/>
  <c r="G207" i="16"/>
  <c r="H100" i="6"/>
  <c r="J100" i="6" s="1"/>
  <c r="E100" i="16"/>
  <c r="H74" i="6"/>
  <c r="J74" i="6" s="1"/>
  <c r="E74" i="16"/>
  <c r="H146" i="6"/>
  <c r="J146" i="6" s="1"/>
  <c r="E146" i="16"/>
  <c r="H62" i="6"/>
  <c r="J62" i="6" s="1"/>
  <c r="E62" i="16"/>
  <c r="O185" i="6"/>
  <c r="P185" i="6" s="1"/>
  <c r="Q185" i="6" s="1"/>
  <c r="I185" i="16"/>
  <c r="J185" i="16" s="1"/>
  <c r="I187" i="16"/>
  <c r="O187" i="6"/>
  <c r="P187" i="6" s="1"/>
  <c r="E56" i="16"/>
  <c r="H56" i="6"/>
  <c r="J56" i="6" s="1"/>
  <c r="P180" i="6"/>
  <c r="Q180" i="6" s="1"/>
  <c r="P139" i="6"/>
  <c r="Q139" i="6" s="1"/>
  <c r="H142" i="6"/>
  <c r="J142" i="6" s="1"/>
  <c r="E142" i="16"/>
  <c r="H98" i="6"/>
  <c r="J98" i="6" s="1"/>
  <c r="E98" i="16"/>
  <c r="F140" i="4"/>
  <c r="F72" i="4"/>
  <c r="F22" i="4"/>
  <c r="F100" i="4"/>
  <c r="F187" i="4"/>
  <c r="F28" i="4"/>
  <c r="J182" i="16" l="1"/>
  <c r="W178" i="6"/>
  <c r="Q107" i="6"/>
  <c r="J199" i="6"/>
  <c r="P72" i="6"/>
  <c r="K22" i="16"/>
  <c r="L22" i="16" s="1"/>
  <c r="U22" i="6" s="1"/>
  <c r="V22" i="6" s="1"/>
  <c r="W22" i="6" s="1"/>
  <c r="O21" i="2" s="1"/>
  <c r="K107" i="16"/>
  <c r="L107" i="16" s="1"/>
  <c r="U107" i="6" s="1"/>
  <c r="V107" i="6" s="1"/>
  <c r="W107" i="6" s="1"/>
  <c r="K183" i="16"/>
  <c r="L183" i="16" s="1"/>
  <c r="U183" i="6" s="1"/>
  <c r="V183" i="6" s="1"/>
  <c r="W183" i="6" s="1"/>
  <c r="X137" i="6" s="1"/>
  <c r="E155" i="6"/>
  <c r="K180" i="16"/>
  <c r="L180" i="16" s="1"/>
  <c r="U180" i="6" s="1"/>
  <c r="V180" i="6" s="1"/>
  <c r="W180" i="6" s="1"/>
  <c r="Q187" i="6"/>
  <c r="K168" i="16"/>
  <c r="L168" i="16" s="1"/>
  <c r="U168" i="6" s="1"/>
  <c r="E36" i="6"/>
  <c r="E8" i="2"/>
  <c r="E8" i="6"/>
  <c r="K184" i="16"/>
  <c r="L184" i="16" s="1"/>
  <c r="U184" i="6" s="1"/>
  <c r="V184" i="6" s="1"/>
  <c r="W184" i="6" s="1"/>
  <c r="E192" i="6"/>
  <c r="J28" i="16"/>
  <c r="L28" i="16" s="1"/>
  <c r="U28" i="6" s="1"/>
  <c r="V28" i="6" s="1"/>
  <c r="W28" i="6" s="1"/>
  <c r="O27" i="2" s="1"/>
  <c r="K99" i="16"/>
  <c r="L99" i="16" s="1"/>
  <c r="U99" i="6" s="1"/>
  <c r="E79" i="6"/>
  <c r="K131" i="16"/>
  <c r="L131" i="16" s="1"/>
  <c r="U131" i="6" s="1"/>
  <c r="V131" i="6" s="1"/>
  <c r="W131" i="6" s="1"/>
  <c r="K181" i="16"/>
  <c r="L181" i="16" s="1"/>
  <c r="U181" i="6" s="1"/>
  <c r="V181" i="6" s="1"/>
  <c r="W181" i="6" s="1"/>
  <c r="K182" i="16"/>
  <c r="L182" i="16" s="1"/>
  <c r="U182" i="6" s="1"/>
  <c r="V182" i="6" s="1"/>
  <c r="W182" i="6" s="1"/>
  <c r="E106" i="6"/>
  <c r="K185" i="16"/>
  <c r="L185" i="16" s="1"/>
  <c r="U185" i="6" s="1"/>
  <c r="V185" i="6" s="1"/>
  <c r="W185" i="6" s="1"/>
  <c r="J100" i="16"/>
  <c r="L100" i="16" s="1"/>
  <c r="U100" i="6" s="1"/>
  <c r="V100" i="6" s="1"/>
  <c r="W100" i="6" s="1"/>
  <c r="Q182" i="6"/>
  <c r="Q100" i="6"/>
  <c r="Q183" i="6"/>
  <c r="Q28" i="6"/>
  <c r="K72" i="16"/>
  <c r="L72" i="16" s="1"/>
  <c r="U72" i="6" s="1"/>
  <c r="J26" i="16"/>
  <c r="L26" i="16" s="1"/>
  <c r="U26" i="6" s="1"/>
  <c r="V26" i="6" s="1"/>
  <c r="W26" i="6" s="1"/>
  <c r="O25" i="2" s="1"/>
  <c r="J187" i="16"/>
  <c r="L187" i="16" s="1"/>
  <c r="U187" i="6" s="1"/>
  <c r="V187" i="6" s="1"/>
  <c r="W187" i="6" s="1"/>
  <c r="Q178" i="6"/>
  <c r="Q26" i="6"/>
  <c r="Q72" i="6" l="1"/>
  <c r="V168" i="6"/>
  <c r="W168" i="6" s="1"/>
  <c r="V72" i="6"/>
  <c r="V99" i="6"/>
  <c r="W99" i="6" s="1"/>
  <c r="E193" i="6"/>
  <c r="E37" i="6"/>
  <c r="E107" i="6"/>
  <c r="E156" i="6"/>
  <c r="E9" i="6"/>
  <c r="E9" i="2"/>
  <c r="E80" i="6"/>
  <c r="W72" i="6" l="1"/>
  <c r="E38" i="6"/>
  <c r="E81" i="6"/>
  <c r="E194" i="6"/>
  <c r="E157" i="6"/>
  <c r="E108" i="6"/>
  <c r="E10" i="2"/>
  <c r="E10" i="6"/>
  <c r="E109" i="6" l="1"/>
  <c r="E158" i="6"/>
  <c r="E195" i="6"/>
  <c r="E82" i="6"/>
  <c r="E11" i="6"/>
  <c r="E11" i="2"/>
  <c r="E39" i="6"/>
  <c r="E83" i="6" l="1"/>
  <c r="E196" i="6"/>
  <c r="E159" i="6"/>
  <c r="E12" i="6"/>
  <c r="E12" i="2"/>
  <c r="E40" i="6"/>
  <c r="E110" i="6"/>
  <c r="E197" i="6" l="1"/>
  <c r="E111" i="6"/>
  <c r="E41" i="6"/>
  <c r="E160" i="6"/>
  <c r="E13" i="2"/>
  <c r="E13" i="6"/>
  <c r="E84" i="6"/>
  <c r="E161" i="6" l="1"/>
  <c r="E42" i="6"/>
  <c r="E112" i="6"/>
  <c r="E85" i="6"/>
  <c r="E14" i="2"/>
  <c r="E14" i="6"/>
  <c r="E198" i="6"/>
  <c r="E199" i="6" l="1"/>
  <c r="E113" i="6"/>
  <c r="E43" i="6"/>
  <c r="E15" i="2"/>
  <c r="E15" i="6"/>
  <c r="E86" i="6"/>
  <c r="E162" i="6"/>
  <c r="E163" i="6" l="1"/>
  <c r="E87" i="6"/>
  <c r="E44" i="6"/>
  <c r="E114" i="6"/>
  <c r="E16" i="6"/>
  <c r="E16" i="2"/>
  <c r="E200" i="6"/>
  <c r="E201" i="6" l="1"/>
  <c r="E45" i="6"/>
  <c r="E88" i="6"/>
  <c r="E17" i="6"/>
  <c r="E17" i="2"/>
  <c r="E115" i="6"/>
  <c r="E164" i="6"/>
  <c r="E89" i="6" l="1"/>
  <c r="E116" i="6"/>
  <c r="E18" i="2"/>
  <c r="E18" i="6"/>
  <c r="E165" i="6"/>
  <c r="E46" i="6"/>
  <c r="E202" i="6"/>
  <c r="E203" i="6" l="1"/>
  <c r="E117" i="6"/>
  <c r="E19" i="6"/>
  <c r="E19" i="2"/>
  <c r="E47" i="6"/>
  <c r="E166" i="6"/>
  <c r="E90" i="6"/>
  <c r="E167" i="6" l="1"/>
  <c r="E204" i="6"/>
  <c r="E91" i="6"/>
  <c r="E48" i="6"/>
  <c r="E20" i="6"/>
  <c r="E20" i="2"/>
  <c r="E118" i="6"/>
  <c r="E119" i="6" l="1"/>
  <c r="E21" i="6"/>
  <c r="E21" i="2"/>
  <c r="E49" i="6"/>
  <c r="E92" i="6"/>
  <c r="E205" i="6"/>
  <c r="E168" i="6"/>
  <c r="E206" i="6" l="1"/>
  <c r="E120" i="6"/>
  <c r="E169" i="6"/>
  <c r="E93" i="6"/>
  <c r="E50" i="6"/>
  <c r="E22" i="2"/>
  <c r="E22" i="6"/>
  <c r="E121" i="6" l="1"/>
  <c r="E170" i="6"/>
  <c r="E23" i="2"/>
  <c r="E23" i="6"/>
  <c r="E51" i="6"/>
  <c r="E94" i="6"/>
  <c r="E207" i="6"/>
  <c r="E208" i="6" l="1"/>
  <c r="E52" i="6"/>
  <c r="E24" i="2"/>
  <c r="E25" i="6" s="1"/>
  <c r="E24" i="6"/>
  <c r="E171" i="6"/>
  <c r="E95" i="6"/>
  <c r="E122" i="6"/>
  <c r="E172" i="6" l="1"/>
  <c r="E53" i="6"/>
  <c r="E123" i="6"/>
  <c r="E96" i="6"/>
  <c r="E210" i="6"/>
  <c r="E209" i="6"/>
  <c r="E124" i="6" l="1"/>
  <c r="E54" i="6"/>
  <c r="E97" i="6"/>
  <c r="E173" i="6"/>
  <c r="E55" i="6" l="1"/>
  <c r="E174" i="6"/>
  <c r="E98" i="6"/>
  <c r="E99" i="6"/>
  <c r="E125" i="6"/>
  <c r="E126" i="6" l="1"/>
  <c r="E175" i="6"/>
  <c r="E56" i="6"/>
  <c r="E57" i="6" l="1"/>
  <c r="E177" i="6"/>
  <c r="E176" i="6"/>
  <c r="E127" i="6"/>
  <c r="E128" i="6" l="1"/>
  <c r="E58" i="6"/>
  <c r="E59" i="6" l="1"/>
  <c r="E129" i="6"/>
  <c r="E60" i="6" l="1"/>
  <c r="E130" i="6"/>
  <c r="E61" i="6" l="1"/>
  <c r="E131" i="6"/>
  <c r="E62" i="6" l="1"/>
  <c r="E132" i="6"/>
  <c r="E133" i="6" l="1"/>
  <c r="E63" i="6"/>
  <c r="E64" i="6" l="1"/>
  <c r="E134" i="6"/>
  <c r="E135" i="6" l="1"/>
  <c r="E65" i="6"/>
  <c r="E137" i="6" l="1"/>
  <c r="E136" i="6"/>
  <c r="E66" i="6"/>
  <c r="E67" i="6" l="1"/>
  <c r="E68" i="6" l="1"/>
  <c r="E69" i="6" l="1"/>
  <c r="E70" i="6" l="1"/>
  <c r="E72" i="6" l="1"/>
  <c r="E71" i="6"/>
  <c r="C98" i="4" l="1"/>
  <c r="C137" i="4"/>
  <c r="C136" i="4"/>
  <c r="C135" i="4"/>
  <c r="D135" i="4" l="1"/>
  <c r="E135" i="4"/>
  <c r="E137" i="4"/>
  <c r="T137" i="6" s="1"/>
  <c r="D137" i="4"/>
  <c r="E98" i="4"/>
  <c r="T98" i="6" s="1"/>
  <c r="D98" i="4"/>
  <c r="E136" i="4"/>
  <c r="T136" i="6" s="1"/>
  <c r="D136" i="4"/>
  <c r="O98" i="6" l="1"/>
  <c r="P98" i="6" s="1"/>
  <c r="Q98" i="6" s="1"/>
  <c r="I98" i="16"/>
  <c r="J98" i="16" s="1"/>
  <c r="O137" i="6"/>
  <c r="P137" i="6" s="1"/>
  <c r="Q137" i="6" s="1"/>
  <c r="I137" i="16"/>
  <c r="J137" i="16" s="1"/>
  <c r="O136" i="6"/>
  <c r="P136" i="6" s="1"/>
  <c r="Q136" i="6" s="1"/>
  <c r="I136" i="16"/>
  <c r="J136" i="16" s="1"/>
  <c r="F135" i="4"/>
  <c r="T135" i="6"/>
  <c r="O135" i="6"/>
  <c r="P135" i="6" s="1"/>
  <c r="Q135" i="6" s="1"/>
  <c r="I135" i="16"/>
  <c r="J135" i="16" s="1"/>
  <c r="F137" i="4"/>
  <c r="F98" i="4"/>
  <c r="F136" i="4"/>
  <c r="K137" i="16" l="1"/>
  <c r="L137" i="16" s="1"/>
  <c r="U137" i="6" s="1"/>
  <c r="V137" i="6" s="1"/>
  <c r="W137" i="6" s="1"/>
  <c r="K135" i="16"/>
  <c r="L135" i="16" s="1"/>
  <c r="U135" i="6" s="1"/>
  <c r="V135" i="6" s="1"/>
  <c r="W135" i="6" s="1"/>
  <c r="K136" i="16"/>
  <c r="L136" i="16" s="1"/>
  <c r="U136" i="6" s="1"/>
  <c r="V136" i="6" s="1"/>
  <c r="W136" i="6" s="1"/>
  <c r="K98" i="16"/>
  <c r="L98" i="16" s="1"/>
  <c r="U98" i="6" s="1"/>
  <c r="V98" i="6" l="1"/>
  <c r="W98" i="6" s="1"/>
  <c r="C175" i="4"/>
  <c r="C150" i="4"/>
  <c r="C23" i="4"/>
  <c r="C151" i="4"/>
  <c r="C160" i="4"/>
  <c r="C158" i="4"/>
  <c r="C94" i="4"/>
  <c r="C154" i="4"/>
  <c r="C176" i="4"/>
  <c r="C144" i="4"/>
  <c r="C24" i="4"/>
  <c r="C198" i="4"/>
  <c r="C86" i="4"/>
  <c r="C172" i="4"/>
  <c r="C114" i="4"/>
  <c r="C109" i="4"/>
  <c r="C199" i="4"/>
  <c r="C173" i="4"/>
  <c r="C210" i="4"/>
  <c r="C115" i="4"/>
  <c r="C174" i="4"/>
  <c r="C194" i="4"/>
  <c r="C195" i="4"/>
  <c r="C200" i="4"/>
  <c r="C25" i="4"/>
  <c r="C177" i="4"/>
  <c r="G179" i="4" s="1"/>
  <c r="D210" i="4" l="1"/>
  <c r="E210" i="4"/>
  <c r="T210" i="6" s="1"/>
  <c r="E24" i="4"/>
  <c r="T24" i="6" s="1"/>
  <c r="D24" i="4"/>
  <c r="E173" i="4"/>
  <c r="T173" i="6" s="1"/>
  <c r="D173" i="4"/>
  <c r="E144" i="4"/>
  <c r="T144" i="6" s="1"/>
  <c r="D144" i="4"/>
  <c r="D194" i="4"/>
  <c r="E194" i="4"/>
  <c r="T194" i="6" s="1"/>
  <c r="E151" i="4"/>
  <c r="T151" i="6" s="1"/>
  <c r="D151" i="4"/>
  <c r="E199" i="4"/>
  <c r="T199" i="6" s="1"/>
  <c r="D199" i="4"/>
  <c r="D172" i="4"/>
  <c r="E172" i="4"/>
  <c r="T172" i="6" s="1"/>
  <c r="D154" i="4"/>
  <c r="E154" i="4"/>
  <c r="T154" i="6" s="1"/>
  <c r="D158" i="4"/>
  <c r="E158" i="4"/>
  <c r="T158" i="6" s="1"/>
  <c r="D176" i="4"/>
  <c r="E176" i="4"/>
  <c r="T176" i="6" s="1"/>
  <c r="D174" i="4"/>
  <c r="E174" i="4"/>
  <c r="T174" i="6" s="1"/>
  <c r="E23" i="4"/>
  <c r="T23" i="6" s="1"/>
  <c r="D23" i="4"/>
  <c r="D115" i="4"/>
  <c r="E115" i="4"/>
  <c r="T115" i="6" s="1"/>
  <c r="E86" i="4"/>
  <c r="T86" i="6" s="1"/>
  <c r="D86" i="4"/>
  <c r="D150" i="4"/>
  <c r="E150" i="4"/>
  <c r="T150" i="6" s="1"/>
  <c r="D200" i="4"/>
  <c r="E200" i="4"/>
  <c r="T200" i="6" s="1"/>
  <c r="E114" i="4"/>
  <c r="T114" i="6" s="1"/>
  <c r="D114" i="4"/>
  <c r="E195" i="4"/>
  <c r="T195" i="6" s="1"/>
  <c r="D195" i="4"/>
  <c r="E160" i="4"/>
  <c r="T160" i="6" s="1"/>
  <c r="D160" i="4"/>
  <c r="E177" i="4"/>
  <c r="T177" i="6" s="1"/>
  <c r="D177" i="4"/>
  <c r="D25" i="4"/>
  <c r="E25" i="4"/>
  <c r="T25" i="6" s="1"/>
  <c r="D109" i="4"/>
  <c r="E109" i="4"/>
  <c r="T109" i="6" s="1"/>
  <c r="D198" i="4"/>
  <c r="E198" i="4"/>
  <c r="T198" i="6" s="1"/>
  <c r="E94" i="4"/>
  <c r="T94" i="6" s="1"/>
  <c r="D94" i="4"/>
  <c r="E175" i="4"/>
  <c r="T175" i="6" s="1"/>
  <c r="D175" i="4"/>
  <c r="O114" i="6" l="1"/>
  <c r="P114" i="6" s="1"/>
  <c r="Q114" i="6" s="1"/>
  <c r="I114" i="16"/>
  <c r="J114" i="16" s="1"/>
  <c r="O194" i="6"/>
  <c r="P194" i="6" s="1"/>
  <c r="Q194" i="6" s="1"/>
  <c r="I194" i="16"/>
  <c r="J194" i="16" s="1"/>
  <c r="O144" i="6"/>
  <c r="P144" i="6" s="1"/>
  <c r="Q144" i="6" s="1"/>
  <c r="I144" i="16"/>
  <c r="J144" i="16" s="1"/>
  <c r="O25" i="6"/>
  <c r="P25" i="6" s="1"/>
  <c r="Q25" i="6" s="1"/>
  <c r="I25" i="16"/>
  <c r="J25" i="16" s="1"/>
  <c r="I150" i="16"/>
  <c r="J150" i="16" s="1"/>
  <c r="O150" i="6"/>
  <c r="P150" i="6" s="1"/>
  <c r="Q150" i="6" s="1"/>
  <c r="I158" i="16"/>
  <c r="J158" i="16" s="1"/>
  <c r="O158" i="6"/>
  <c r="P158" i="6" s="1"/>
  <c r="Q158" i="6" s="1"/>
  <c r="O109" i="6"/>
  <c r="P109" i="6" s="1"/>
  <c r="Q109" i="6" s="1"/>
  <c r="I109" i="16"/>
  <c r="J109" i="16" s="1"/>
  <c r="O177" i="6"/>
  <c r="P177" i="6" s="1"/>
  <c r="Q177" i="6" s="1"/>
  <c r="I177" i="16"/>
  <c r="J177" i="16" s="1"/>
  <c r="I86" i="16"/>
  <c r="J86" i="16" s="1"/>
  <c r="O86" i="6"/>
  <c r="P86" i="6" s="1"/>
  <c r="Q86" i="6" s="1"/>
  <c r="O154" i="6"/>
  <c r="P154" i="6" s="1"/>
  <c r="Q154" i="6" s="1"/>
  <c r="I154" i="16"/>
  <c r="J154" i="16" s="1"/>
  <c r="O173" i="6"/>
  <c r="P173" i="6" s="1"/>
  <c r="Q173" i="6" s="1"/>
  <c r="I173" i="16"/>
  <c r="J173" i="16" s="1"/>
  <c r="O175" i="6"/>
  <c r="P175" i="6" s="1"/>
  <c r="Q175" i="6" s="1"/>
  <c r="I175" i="16"/>
  <c r="J175" i="16" s="1"/>
  <c r="I160" i="16"/>
  <c r="J160" i="16" s="1"/>
  <c r="O160" i="6"/>
  <c r="P160" i="6" s="1"/>
  <c r="Q160" i="6" s="1"/>
  <c r="O24" i="6"/>
  <c r="P24" i="6" s="1"/>
  <c r="Q24" i="6" s="1"/>
  <c r="I24" i="16"/>
  <c r="J24" i="16" s="1"/>
  <c r="O200" i="6"/>
  <c r="P200" i="6" s="1"/>
  <c r="Q200" i="6" s="1"/>
  <c r="I200" i="16"/>
  <c r="J200" i="16" s="1"/>
  <c r="O172" i="6"/>
  <c r="P172" i="6" s="1"/>
  <c r="Q172" i="6" s="1"/>
  <c r="I172" i="16"/>
  <c r="J172" i="16" s="1"/>
  <c r="I151" i="16"/>
  <c r="J151" i="16" s="1"/>
  <c r="O151" i="6"/>
  <c r="P151" i="6" s="1"/>
  <c r="Q151" i="6" s="1"/>
  <c r="O198" i="6"/>
  <c r="P198" i="6" s="1"/>
  <c r="Q198" i="6" s="1"/>
  <c r="I198" i="16"/>
  <c r="J198" i="16" s="1"/>
  <c r="I176" i="16"/>
  <c r="J176" i="16" s="1"/>
  <c r="O176" i="6"/>
  <c r="P176" i="6" s="1"/>
  <c r="Q176" i="6" s="1"/>
  <c r="O115" i="6"/>
  <c r="P115" i="6" s="1"/>
  <c r="Q115" i="6" s="1"/>
  <c r="I115" i="16"/>
  <c r="J115" i="16" s="1"/>
  <c r="O94" i="6"/>
  <c r="P94" i="6" s="1"/>
  <c r="Q94" i="6" s="1"/>
  <c r="I94" i="16"/>
  <c r="J94" i="16" s="1"/>
  <c r="O195" i="6"/>
  <c r="P195" i="6" s="1"/>
  <c r="I195" i="16"/>
  <c r="O23" i="6"/>
  <c r="P23" i="6" s="1"/>
  <c r="Q23" i="6" s="1"/>
  <c r="I23" i="16"/>
  <c r="J23" i="16" s="1"/>
  <c r="O199" i="6"/>
  <c r="P199" i="6" s="1"/>
  <c r="Q199" i="6" s="1"/>
  <c r="I199" i="16"/>
  <c r="J199" i="16" s="1"/>
  <c r="O174" i="6"/>
  <c r="P174" i="6" s="1"/>
  <c r="Q174" i="6" s="1"/>
  <c r="I174" i="16"/>
  <c r="J174" i="16" s="1"/>
  <c r="O210" i="6"/>
  <c r="P210" i="6" s="1"/>
  <c r="Q210" i="6" s="1"/>
  <c r="I210" i="16"/>
  <c r="J210" i="16" s="1"/>
  <c r="F150" i="4"/>
  <c r="F173" i="4"/>
  <c r="F199" i="4"/>
  <c r="F24" i="4"/>
  <c r="F198" i="4"/>
  <c r="F200" i="4"/>
  <c r="F174" i="4"/>
  <c r="F154" i="4"/>
  <c r="F25" i="4"/>
  <c r="F172" i="4"/>
  <c r="F175" i="4"/>
  <c r="F94" i="4"/>
  <c r="F23" i="4"/>
  <c r="F151" i="4"/>
  <c r="F177" i="4"/>
  <c r="F194" i="4"/>
  <c r="F210" i="4"/>
  <c r="F160" i="4"/>
  <c r="F86" i="4"/>
  <c r="F195" i="4"/>
  <c r="F115" i="4"/>
  <c r="F158" i="4"/>
  <c r="F114" i="4"/>
  <c r="F109" i="4"/>
  <c r="F144" i="4"/>
  <c r="F176" i="4"/>
  <c r="K174" i="16" l="1"/>
  <c r="L174" i="16" s="1"/>
  <c r="K150" i="16"/>
  <c r="L150" i="16" s="1"/>
  <c r="U150" i="6" s="1"/>
  <c r="V150" i="6" s="1"/>
  <c r="W150" i="6" s="1"/>
  <c r="K154" i="16"/>
  <c r="L154" i="16" s="1"/>
  <c r="U154" i="6" s="1"/>
  <c r="V154" i="6" s="1"/>
  <c r="W154" i="6" s="1"/>
  <c r="K199" i="16"/>
  <c r="L199" i="16" s="1"/>
  <c r="U199" i="6" s="1"/>
  <c r="K160" i="16"/>
  <c r="L160" i="16" s="1"/>
  <c r="U160" i="6" s="1"/>
  <c r="V160" i="6" s="1"/>
  <c r="W160" i="6" s="1"/>
  <c r="K177" i="16"/>
  <c r="L177" i="16" s="1"/>
  <c r="U177" i="6" s="1"/>
  <c r="K151" i="16"/>
  <c r="L151" i="16" s="1"/>
  <c r="U151" i="6" s="1"/>
  <c r="V151" i="6" s="1"/>
  <c r="W151" i="6" s="1"/>
  <c r="K109" i="16"/>
  <c r="L109" i="16" s="1"/>
  <c r="U109" i="6" s="1"/>
  <c r="V109" i="6" s="1"/>
  <c r="W109" i="6" s="1"/>
  <c r="K210" i="16"/>
  <c r="L210" i="16" s="1"/>
  <c r="U210" i="6" s="1"/>
  <c r="V210" i="6" s="1"/>
  <c r="W210" i="6" s="1"/>
  <c r="K94" i="16"/>
  <c r="L94" i="16" s="1"/>
  <c r="U94" i="6" s="1"/>
  <c r="K172" i="16"/>
  <c r="L172" i="16" s="1"/>
  <c r="K25" i="16"/>
  <c r="L25" i="16" s="1"/>
  <c r="U25" i="6" s="1"/>
  <c r="V25" i="6" s="1"/>
  <c r="W25" i="6" s="1"/>
  <c r="O24" i="2" s="1"/>
  <c r="K144" i="16"/>
  <c r="L144" i="16" s="1"/>
  <c r="U144" i="6" s="1"/>
  <c r="V144" i="6" s="1"/>
  <c r="W144" i="6" s="1"/>
  <c r="K198" i="16"/>
  <c r="L198" i="16" s="1"/>
  <c r="U198" i="6" s="1"/>
  <c r="V198" i="6" s="1"/>
  <c r="W198" i="6" s="1"/>
  <c r="K86" i="16"/>
  <c r="L86" i="16" s="1"/>
  <c r="U86" i="6" s="1"/>
  <c r="K175" i="16"/>
  <c r="L175" i="16" s="1"/>
  <c r="U175" i="6" s="1"/>
  <c r="V175" i="6" s="1"/>
  <c r="W175" i="6" s="1"/>
  <c r="K173" i="16"/>
  <c r="L173" i="16" s="1"/>
  <c r="K194" i="16"/>
  <c r="L194" i="16" s="1"/>
  <c r="U194" i="6" s="1"/>
  <c r="V194" i="6" s="1"/>
  <c r="W194" i="6" s="1"/>
  <c r="K114" i="16"/>
  <c r="L114" i="16" s="1"/>
  <c r="U114" i="6" s="1"/>
  <c r="V114" i="6" s="1"/>
  <c r="W114" i="6" s="1"/>
  <c r="K200" i="16"/>
  <c r="L200" i="16" s="1"/>
  <c r="U200" i="6" s="1"/>
  <c r="V200" i="6" s="1"/>
  <c r="W200" i="6" s="1"/>
  <c r="K176" i="16"/>
  <c r="L176" i="16" s="1"/>
  <c r="K115" i="16"/>
  <c r="L115" i="16" s="1"/>
  <c r="U115" i="6" s="1"/>
  <c r="V115" i="6" s="1"/>
  <c r="W115" i="6" s="1"/>
  <c r="K158" i="16"/>
  <c r="L158" i="16" s="1"/>
  <c r="U158" i="6" s="1"/>
  <c r="V158" i="6" s="1"/>
  <c r="W158" i="6" s="1"/>
  <c r="K23" i="16"/>
  <c r="L23" i="16" s="1"/>
  <c r="U23" i="6" s="1"/>
  <c r="V23" i="6" s="1"/>
  <c r="W23" i="6" s="1"/>
  <c r="O22" i="2" s="1"/>
  <c r="K24" i="16"/>
  <c r="L24" i="16" s="1"/>
  <c r="U24" i="6" s="1"/>
  <c r="V24" i="6" s="1"/>
  <c r="W24" i="6" s="1"/>
  <c r="O23" i="2" s="1"/>
  <c r="V199" i="6" l="1"/>
  <c r="V177" i="6"/>
  <c r="W177" i="6" s="1"/>
  <c r="U173" i="6"/>
  <c r="V173" i="6" s="1"/>
  <c r="W173" i="6" s="1"/>
  <c r="U172" i="6"/>
  <c r="V172" i="6" s="1"/>
  <c r="W172" i="6" s="1"/>
  <c r="U176" i="6"/>
  <c r="V176" i="6" s="1"/>
  <c r="W176" i="6" s="1"/>
  <c r="U174" i="6"/>
  <c r="V174" i="6" s="1"/>
  <c r="W174" i="6" s="1"/>
  <c r="V94" i="6"/>
  <c r="W94" i="6" s="1"/>
  <c r="V86" i="6"/>
  <c r="W86" i="6" s="1"/>
  <c r="W199" i="6" l="1"/>
  <c r="X2" i="2" l="1"/>
  <c r="V2" i="2"/>
  <c r="L2" i="2"/>
  <c r="R2" i="2" s="1"/>
  <c r="C42" i="4" l="1"/>
  <c r="C47" i="4"/>
  <c r="C91" i="4"/>
  <c r="C167" i="4"/>
  <c r="C207" i="4"/>
  <c r="C12" i="4"/>
  <c r="C43" i="4"/>
  <c r="C58" i="4"/>
  <c r="C92" i="4"/>
  <c r="C129" i="4"/>
  <c r="C166" i="4"/>
  <c r="C208" i="4"/>
  <c r="C32" i="4"/>
  <c r="C112" i="4"/>
  <c r="C165" i="4"/>
  <c r="C209" i="4"/>
  <c r="C14" i="4"/>
  <c r="C45" i="4"/>
  <c r="C68" i="4"/>
  <c r="C95" i="4"/>
  <c r="C127" i="4"/>
  <c r="C164" i="4"/>
  <c r="C15" i="4"/>
  <c r="C46" i="4"/>
  <c r="C70" i="4"/>
  <c r="C126" i="4"/>
  <c r="C66" i="4"/>
  <c r="C125" i="4"/>
  <c r="C5" i="4"/>
  <c r="C36" i="4"/>
  <c r="C53" i="4"/>
  <c r="C103" i="4"/>
  <c r="C124" i="4"/>
  <c r="C153" i="4"/>
  <c r="C201" i="4"/>
  <c r="C97" i="4"/>
  <c r="C6" i="4"/>
  <c r="C74" i="4"/>
  <c r="C19" i="4"/>
  <c r="C38" i="4"/>
  <c r="C63" i="4"/>
  <c r="C51" i="4"/>
  <c r="C75" i="4"/>
  <c r="C80" i="4"/>
  <c r="C120" i="4"/>
  <c r="C133" i="4"/>
  <c r="C8" i="4"/>
  <c r="C20" i="4"/>
  <c r="C39" i="4"/>
  <c r="C62" i="4"/>
  <c r="C50" i="4"/>
  <c r="C76" i="4"/>
  <c r="C79" i="4"/>
  <c r="C106" i="4"/>
  <c r="C121" i="4"/>
  <c r="C134" i="4"/>
  <c r="C156" i="4"/>
  <c r="C188" i="4"/>
  <c r="C204" i="4"/>
  <c r="C30" i="4"/>
  <c r="C59" i="4"/>
  <c r="C88" i="4"/>
  <c r="C130" i="4"/>
  <c r="C143" i="4"/>
  <c r="C191" i="4"/>
  <c r="C31" i="4"/>
  <c r="C67" i="4"/>
  <c r="C111" i="4"/>
  <c r="C145" i="4"/>
  <c r="C192" i="4"/>
  <c r="C13" i="4"/>
  <c r="C44" i="4"/>
  <c r="C57" i="4"/>
  <c r="C69" i="4"/>
  <c r="C93" i="4"/>
  <c r="C146" i="4"/>
  <c r="C193" i="4"/>
  <c r="C34" i="4"/>
  <c r="C55" i="4"/>
  <c r="C84" i="4"/>
  <c r="C96" i="4"/>
  <c r="C116" i="4"/>
  <c r="C148" i="4"/>
  <c r="C163" i="4"/>
  <c r="C196" i="4"/>
  <c r="C4" i="4"/>
  <c r="C71" i="4"/>
  <c r="C162" i="4"/>
  <c r="C17" i="4"/>
  <c r="C65" i="4"/>
  <c r="C73" i="4"/>
  <c r="C118" i="4"/>
  <c r="C161" i="4"/>
  <c r="C18" i="4"/>
  <c r="C37" i="4"/>
  <c r="C64" i="4"/>
  <c r="C81" i="4"/>
  <c r="C119" i="4"/>
  <c r="C132" i="4"/>
  <c r="C152" i="4"/>
  <c r="C202" i="4"/>
  <c r="C7" i="4"/>
  <c r="C170" i="4"/>
  <c r="C203" i="4"/>
  <c r="C9" i="4"/>
  <c r="C21" i="4"/>
  <c r="C40" i="4"/>
  <c r="C61" i="4"/>
  <c r="C49" i="4"/>
  <c r="C77" i="4"/>
  <c r="C89" i="4"/>
  <c r="C122" i="4"/>
  <c r="C141" i="4"/>
  <c r="C157" i="4"/>
  <c r="C189" i="4"/>
  <c r="C205" i="4"/>
  <c r="C11" i="4"/>
  <c r="C110" i="4"/>
  <c r="C87" i="4"/>
  <c r="C128" i="4"/>
  <c r="C33" i="4"/>
  <c r="C56" i="4"/>
  <c r="C85" i="4"/>
  <c r="C113" i="4"/>
  <c r="C147" i="4"/>
  <c r="C16" i="4"/>
  <c r="C35" i="4"/>
  <c r="C54" i="4"/>
  <c r="C83" i="4"/>
  <c r="C102" i="4"/>
  <c r="C117" i="4"/>
  <c r="C149" i="4"/>
  <c r="C197" i="4"/>
  <c r="C171" i="4"/>
  <c r="C82" i="4"/>
  <c r="C52" i="4"/>
  <c r="C104" i="4"/>
  <c r="C169" i="4"/>
  <c r="C105" i="4"/>
  <c r="C10" i="4"/>
  <c r="C29" i="4"/>
  <c r="C41" i="4"/>
  <c r="C60" i="4"/>
  <c r="C48" i="4"/>
  <c r="C78" i="4"/>
  <c r="C90" i="4"/>
  <c r="C108" i="4"/>
  <c r="C123" i="4"/>
  <c r="C142" i="4"/>
  <c r="C159" i="4"/>
  <c r="C190" i="4"/>
  <c r="C206" i="4"/>
  <c r="T2" i="2"/>
  <c r="E147" i="4" l="1"/>
  <c r="T147" i="6" s="1"/>
  <c r="D147" i="4"/>
  <c r="D7" i="4"/>
  <c r="E7" i="4"/>
  <c r="T7" i="6" s="1"/>
  <c r="E52" i="4"/>
  <c r="T52" i="6" s="1"/>
  <c r="D52" i="4"/>
  <c r="E163" i="4"/>
  <c r="T163" i="6" s="1"/>
  <c r="D163" i="4"/>
  <c r="E34" i="4"/>
  <c r="T34" i="6" s="1"/>
  <c r="D34" i="4"/>
  <c r="E44" i="4"/>
  <c r="T44" i="6" s="1"/>
  <c r="D44" i="4"/>
  <c r="D31" i="4"/>
  <c r="E31" i="4"/>
  <c r="T31" i="6" s="1"/>
  <c r="E30" i="4"/>
  <c r="T30" i="6" s="1"/>
  <c r="D30" i="4"/>
  <c r="E106" i="4"/>
  <c r="T106" i="6" s="1"/>
  <c r="D106" i="4"/>
  <c r="E20" i="4"/>
  <c r="T20" i="6" s="1"/>
  <c r="D20" i="4"/>
  <c r="D51" i="4"/>
  <c r="E51" i="4"/>
  <c r="T51" i="6" s="1"/>
  <c r="D97" i="4"/>
  <c r="E97" i="4"/>
  <c r="T97" i="6" s="1"/>
  <c r="E36" i="4"/>
  <c r="T36" i="6" s="1"/>
  <c r="D36" i="4"/>
  <c r="E46" i="4"/>
  <c r="T46" i="6" s="1"/>
  <c r="D46" i="4"/>
  <c r="D45" i="4"/>
  <c r="E45" i="4"/>
  <c r="T45" i="6" s="1"/>
  <c r="E113" i="4"/>
  <c r="T113" i="6" s="1"/>
  <c r="D113" i="4"/>
  <c r="E40" i="4"/>
  <c r="T40" i="6" s="1"/>
  <c r="D40" i="4"/>
  <c r="D37" i="4"/>
  <c r="E37" i="4"/>
  <c r="T37" i="6" s="1"/>
  <c r="E82" i="4"/>
  <c r="T82" i="6" s="1"/>
  <c r="D82" i="4"/>
  <c r="E13" i="4"/>
  <c r="T13" i="6" s="1"/>
  <c r="D13" i="4"/>
  <c r="E191" i="4"/>
  <c r="T191" i="6" s="1"/>
  <c r="D191" i="4"/>
  <c r="D204" i="4"/>
  <c r="E204" i="4"/>
  <c r="T204" i="6" s="1"/>
  <c r="D63" i="4"/>
  <c r="E63" i="4"/>
  <c r="T63" i="6" s="1"/>
  <c r="E201" i="4"/>
  <c r="T201" i="6" s="1"/>
  <c r="D201" i="4"/>
  <c r="E5" i="4"/>
  <c r="T5" i="6" s="1"/>
  <c r="D5" i="4"/>
  <c r="D15" i="4"/>
  <c r="E15" i="4"/>
  <c r="T15" i="6" s="1"/>
  <c r="E14" i="4"/>
  <c r="T14" i="6" s="1"/>
  <c r="D14" i="4"/>
  <c r="D85" i="4"/>
  <c r="E85" i="4"/>
  <c r="T85" i="6" s="1"/>
  <c r="E152" i="4"/>
  <c r="T152" i="6" s="1"/>
  <c r="D152" i="4"/>
  <c r="E54" i="4"/>
  <c r="T54" i="6" s="1"/>
  <c r="D54" i="4"/>
  <c r="E116" i="4"/>
  <c r="T116" i="6" s="1"/>
  <c r="D116" i="4"/>
  <c r="E76" i="4"/>
  <c r="T76" i="6" s="1"/>
  <c r="D76" i="4"/>
  <c r="E209" i="4"/>
  <c r="T209" i="6" s="1"/>
  <c r="D209" i="4"/>
  <c r="D9" i="4"/>
  <c r="E9" i="4"/>
  <c r="T9" i="6" s="1"/>
  <c r="E78" i="4"/>
  <c r="T78" i="6" s="1"/>
  <c r="D78" i="4"/>
  <c r="E197" i="4"/>
  <c r="T197" i="6" s="1"/>
  <c r="D197" i="4"/>
  <c r="E71" i="4"/>
  <c r="T71" i="6" s="1"/>
  <c r="D71" i="4"/>
  <c r="D93" i="4"/>
  <c r="E93" i="4"/>
  <c r="T93" i="6" s="1"/>
  <c r="E130" i="4"/>
  <c r="T130" i="6" s="1"/>
  <c r="D130" i="4"/>
  <c r="E50" i="4"/>
  <c r="T50" i="6" s="1"/>
  <c r="D50" i="4"/>
  <c r="D19" i="4"/>
  <c r="E19" i="4"/>
  <c r="T19" i="6" s="1"/>
  <c r="E124" i="4"/>
  <c r="T124" i="6" s="1"/>
  <c r="D124" i="4"/>
  <c r="E66" i="4"/>
  <c r="T66" i="6" s="1"/>
  <c r="D66" i="4"/>
  <c r="E127" i="4"/>
  <c r="T127" i="6" s="1"/>
  <c r="D127" i="4"/>
  <c r="E165" i="4"/>
  <c r="T165" i="6" s="1"/>
  <c r="D165" i="4"/>
  <c r="D91" i="4"/>
  <c r="E91" i="4"/>
  <c r="T91" i="6" s="1"/>
  <c r="D33" i="4"/>
  <c r="E33" i="4"/>
  <c r="T33" i="6" s="1"/>
  <c r="E189" i="4"/>
  <c r="T189" i="6" s="1"/>
  <c r="D189" i="4"/>
  <c r="D77" i="4"/>
  <c r="E77" i="4"/>
  <c r="T77" i="6" s="1"/>
  <c r="E203" i="4"/>
  <c r="T203" i="6" s="1"/>
  <c r="D203" i="4"/>
  <c r="E119" i="4"/>
  <c r="T119" i="6" s="1"/>
  <c r="D119" i="4"/>
  <c r="E118" i="4"/>
  <c r="T118" i="6" s="1"/>
  <c r="D118" i="4"/>
  <c r="E159" i="4"/>
  <c r="T159" i="6" s="1"/>
  <c r="D159" i="4"/>
  <c r="E48" i="4"/>
  <c r="T48" i="6" s="1"/>
  <c r="D48" i="4"/>
  <c r="E169" i="4"/>
  <c r="T169" i="6" s="1"/>
  <c r="D169" i="4"/>
  <c r="E149" i="4"/>
  <c r="T149" i="6" s="1"/>
  <c r="D149" i="4"/>
  <c r="E16" i="4"/>
  <c r="T16" i="6" s="1"/>
  <c r="D16" i="4"/>
  <c r="E4" i="4"/>
  <c r="D4" i="4"/>
  <c r="E84" i="4"/>
  <c r="T84" i="6" s="1"/>
  <c r="D84" i="4"/>
  <c r="D69" i="4"/>
  <c r="E69" i="4"/>
  <c r="T69" i="6" s="1"/>
  <c r="D111" i="4"/>
  <c r="E111" i="4"/>
  <c r="E88" i="4"/>
  <c r="T88" i="6" s="1"/>
  <c r="D88" i="4"/>
  <c r="E134" i="4"/>
  <c r="T134" i="6" s="1"/>
  <c r="D134" i="4"/>
  <c r="E62" i="4"/>
  <c r="T62" i="6" s="1"/>
  <c r="D62" i="4"/>
  <c r="E80" i="4"/>
  <c r="T80" i="6" s="1"/>
  <c r="D80" i="4"/>
  <c r="E74" i="4"/>
  <c r="T74" i="6" s="1"/>
  <c r="D74" i="4"/>
  <c r="E103" i="4"/>
  <c r="T103" i="6" s="1"/>
  <c r="D103" i="4"/>
  <c r="E126" i="4"/>
  <c r="T126" i="6" s="1"/>
  <c r="D126" i="4"/>
  <c r="E95" i="4"/>
  <c r="T95" i="6" s="1"/>
  <c r="D95" i="4"/>
  <c r="E112" i="4"/>
  <c r="T112" i="6" s="1"/>
  <c r="D112" i="4"/>
  <c r="E58" i="4"/>
  <c r="T58" i="6" s="1"/>
  <c r="D58" i="4"/>
  <c r="E47" i="4"/>
  <c r="T47" i="6" s="1"/>
  <c r="D47" i="4"/>
  <c r="D87" i="4"/>
  <c r="E87" i="4"/>
  <c r="T87" i="6" s="1"/>
  <c r="E61" i="4"/>
  <c r="T61" i="6" s="1"/>
  <c r="D61" i="4"/>
  <c r="E65" i="4"/>
  <c r="T65" i="6" s="1"/>
  <c r="D65" i="4"/>
  <c r="E41" i="4"/>
  <c r="T41" i="6" s="1"/>
  <c r="D41" i="4"/>
  <c r="E12" i="4"/>
  <c r="T12" i="6" s="1"/>
  <c r="D12" i="4"/>
  <c r="E110" i="4"/>
  <c r="T110" i="6" s="1"/>
  <c r="D110" i="4"/>
  <c r="D202" i="4"/>
  <c r="E202" i="4"/>
  <c r="T202" i="6" s="1"/>
  <c r="E108" i="4"/>
  <c r="T108" i="6" s="1"/>
  <c r="D108" i="4"/>
  <c r="D83" i="4"/>
  <c r="E83" i="4"/>
  <c r="T83" i="6" s="1"/>
  <c r="E148" i="4"/>
  <c r="T148" i="6" s="1"/>
  <c r="D148" i="4"/>
  <c r="D79" i="4"/>
  <c r="E79" i="4"/>
  <c r="T79" i="6" s="1"/>
  <c r="E207" i="4"/>
  <c r="T207" i="6" s="1"/>
  <c r="D207" i="4"/>
  <c r="E18" i="4"/>
  <c r="T18" i="6" s="1"/>
  <c r="D18" i="4"/>
  <c r="E206" i="4"/>
  <c r="T206" i="6" s="1"/>
  <c r="D206" i="4"/>
  <c r="E90" i="4"/>
  <c r="T90" i="6" s="1"/>
  <c r="D90" i="4"/>
  <c r="E171" i="4"/>
  <c r="T171" i="6" s="1"/>
  <c r="D171" i="4"/>
  <c r="E146" i="4"/>
  <c r="T146" i="6" s="1"/>
  <c r="D146" i="4"/>
  <c r="D188" i="4"/>
  <c r="E188" i="4"/>
  <c r="E38" i="4"/>
  <c r="T38" i="6" s="1"/>
  <c r="D38" i="4"/>
  <c r="E153" i="4"/>
  <c r="T153" i="6" s="1"/>
  <c r="D153" i="4"/>
  <c r="D164" i="4"/>
  <c r="E164" i="4"/>
  <c r="E167" i="4"/>
  <c r="T167" i="6" s="1"/>
  <c r="D167" i="4"/>
  <c r="E205" i="4"/>
  <c r="T205" i="6" s="1"/>
  <c r="D205" i="4"/>
  <c r="E161" i="4"/>
  <c r="T161" i="6" s="1"/>
  <c r="D161" i="4"/>
  <c r="D141" i="4"/>
  <c r="E141" i="4"/>
  <c r="E64" i="4"/>
  <c r="T64" i="6" s="1"/>
  <c r="D64" i="4"/>
  <c r="E123" i="4"/>
  <c r="T123" i="6" s="1"/>
  <c r="D123" i="4"/>
  <c r="E102" i="4"/>
  <c r="D102" i="4"/>
  <c r="D208" i="4"/>
  <c r="E208" i="4"/>
  <c r="T208" i="6" s="1"/>
  <c r="E122" i="4"/>
  <c r="T122" i="6" s="1"/>
  <c r="D122" i="4"/>
  <c r="E17" i="4"/>
  <c r="T17" i="6" s="1"/>
  <c r="D17" i="4"/>
  <c r="E29" i="4"/>
  <c r="D29" i="4"/>
  <c r="E193" i="4"/>
  <c r="T193" i="6" s="1"/>
  <c r="D193" i="4"/>
  <c r="E8" i="4"/>
  <c r="T8" i="6" s="1"/>
  <c r="D8" i="4"/>
  <c r="E166" i="4"/>
  <c r="T166" i="6" s="1"/>
  <c r="D166" i="4"/>
  <c r="D11" i="4"/>
  <c r="E11" i="4"/>
  <c r="T11" i="6" s="1"/>
  <c r="D21" i="4"/>
  <c r="E21" i="4"/>
  <c r="T21" i="6" s="1"/>
  <c r="E10" i="4"/>
  <c r="T10" i="6" s="1"/>
  <c r="D10" i="4"/>
  <c r="D162" i="4"/>
  <c r="E162" i="4"/>
  <c r="T162" i="6" s="1"/>
  <c r="D192" i="4"/>
  <c r="E192" i="4"/>
  <c r="T192" i="6" s="1"/>
  <c r="E143" i="4"/>
  <c r="T143" i="6" s="1"/>
  <c r="D143" i="4"/>
  <c r="E133" i="4"/>
  <c r="T133" i="6" s="1"/>
  <c r="D133" i="4"/>
  <c r="D125" i="4"/>
  <c r="E125" i="4"/>
  <c r="T125" i="6" s="1"/>
  <c r="D129" i="4"/>
  <c r="E129" i="4"/>
  <c r="T129" i="6" s="1"/>
  <c r="E56" i="4"/>
  <c r="T56" i="6" s="1"/>
  <c r="D56" i="4"/>
  <c r="E89" i="4"/>
  <c r="T89" i="6" s="1"/>
  <c r="D89" i="4"/>
  <c r="E132" i="4"/>
  <c r="T132" i="6" s="1"/>
  <c r="D132" i="4"/>
  <c r="D190" i="4"/>
  <c r="E190" i="4"/>
  <c r="T190" i="6" s="1"/>
  <c r="E105" i="4"/>
  <c r="T105" i="6" s="1"/>
  <c r="D105" i="4"/>
  <c r="D35" i="4"/>
  <c r="E35" i="4"/>
  <c r="T35" i="6" s="1"/>
  <c r="E96" i="4"/>
  <c r="T96" i="6" s="1"/>
  <c r="D96" i="4"/>
  <c r="E145" i="4"/>
  <c r="T145" i="6" s="1"/>
  <c r="D145" i="4"/>
  <c r="D156" i="4"/>
  <c r="E156" i="4"/>
  <c r="T156" i="6" s="1"/>
  <c r="E120" i="4"/>
  <c r="T120" i="6" s="1"/>
  <c r="D120" i="4"/>
  <c r="E92" i="4"/>
  <c r="T92" i="6" s="1"/>
  <c r="D92" i="4"/>
  <c r="E128" i="4"/>
  <c r="T128" i="6" s="1"/>
  <c r="D128" i="4"/>
  <c r="E157" i="4"/>
  <c r="T157" i="6" s="1"/>
  <c r="D157" i="4"/>
  <c r="D49" i="4"/>
  <c r="E49" i="4"/>
  <c r="T49" i="6" s="1"/>
  <c r="D170" i="4"/>
  <c r="E170" i="4"/>
  <c r="T170" i="6" s="1"/>
  <c r="D81" i="4"/>
  <c r="E81" i="4"/>
  <c r="T81" i="6" s="1"/>
  <c r="D73" i="4"/>
  <c r="E73" i="4"/>
  <c r="T73" i="6" s="1"/>
  <c r="E142" i="4"/>
  <c r="T142" i="6" s="1"/>
  <c r="D142" i="4"/>
  <c r="E60" i="4"/>
  <c r="T60" i="6" s="1"/>
  <c r="D60" i="4"/>
  <c r="E104" i="4"/>
  <c r="T104" i="6" s="1"/>
  <c r="D104" i="4"/>
  <c r="D117" i="4"/>
  <c r="E117" i="4"/>
  <c r="T117" i="6" s="1"/>
  <c r="D196" i="4"/>
  <c r="E196" i="4"/>
  <c r="T196" i="6" s="1"/>
  <c r="D55" i="4"/>
  <c r="E55" i="4"/>
  <c r="T55" i="6" s="1"/>
  <c r="D57" i="4"/>
  <c r="E57" i="4"/>
  <c r="T57" i="6" s="1"/>
  <c r="D67" i="4"/>
  <c r="E67" i="4"/>
  <c r="T67" i="6" s="1"/>
  <c r="D59" i="4"/>
  <c r="E59" i="4"/>
  <c r="T59" i="6" s="1"/>
  <c r="D121" i="4"/>
  <c r="E121" i="4"/>
  <c r="T121" i="6" s="1"/>
  <c r="D39" i="4"/>
  <c r="E39" i="4"/>
  <c r="T39" i="6" s="1"/>
  <c r="E75" i="4"/>
  <c r="T75" i="6" s="1"/>
  <c r="D75" i="4"/>
  <c r="E6" i="4"/>
  <c r="T6" i="6" s="1"/>
  <c r="D6" i="4"/>
  <c r="D53" i="4"/>
  <c r="E53" i="4"/>
  <c r="T53" i="6" s="1"/>
  <c r="E70" i="4"/>
  <c r="T70" i="6" s="1"/>
  <c r="D70" i="4"/>
  <c r="E68" i="4"/>
  <c r="T68" i="6" s="1"/>
  <c r="D68" i="4"/>
  <c r="E32" i="4"/>
  <c r="T32" i="6" s="1"/>
  <c r="D32" i="4"/>
  <c r="D43" i="4"/>
  <c r="E43" i="4"/>
  <c r="T43" i="6" s="1"/>
  <c r="E42" i="4"/>
  <c r="T42" i="6" s="1"/>
  <c r="D42" i="4"/>
  <c r="D214" i="4" l="1"/>
  <c r="T188" i="6"/>
  <c r="E214" i="4"/>
  <c r="T29" i="6"/>
  <c r="H101" i="4"/>
  <c r="T102" i="6"/>
  <c r="G138" i="4"/>
  <c r="T141" i="6"/>
  <c r="H178" i="4"/>
  <c r="O196" i="6"/>
  <c r="P196" i="6" s="1"/>
  <c r="Q196" i="6" s="1"/>
  <c r="I196" i="16"/>
  <c r="J196" i="16" s="1"/>
  <c r="O148" i="6"/>
  <c r="P148" i="6" s="1"/>
  <c r="Q148" i="6" s="1"/>
  <c r="I148" i="16"/>
  <c r="J148" i="16" s="1"/>
  <c r="T4" i="6"/>
  <c r="O91" i="6"/>
  <c r="P91" i="6" s="1"/>
  <c r="Q91" i="6" s="1"/>
  <c r="I91" i="16"/>
  <c r="J91" i="16" s="1"/>
  <c r="O9" i="6"/>
  <c r="P9" i="6" s="1"/>
  <c r="Q9" i="6" s="1"/>
  <c r="I9" i="16"/>
  <c r="J9" i="16" s="1"/>
  <c r="O85" i="6"/>
  <c r="P85" i="6" s="1"/>
  <c r="Q85" i="6" s="1"/>
  <c r="I85" i="16"/>
  <c r="J85" i="16" s="1"/>
  <c r="O204" i="6"/>
  <c r="P204" i="6" s="1"/>
  <c r="Q204" i="6" s="1"/>
  <c r="I204" i="16"/>
  <c r="J204" i="16" s="1"/>
  <c r="O60" i="6"/>
  <c r="P60" i="6" s="1"/>
  <c r="Q60" i="6" s="1"/>
  <c r="I60" i="16"/>
  <c r="J60" i="16" s="1"/>
  <c r="O157" i="6"/>
  <c r="P157" i="6" s="1"/>
  <c r="Q157" i="6" s="1"/>
  <c r="I157" i="16"/>
  <c r="J157" i="16" s="1"/>
  <c r="O96" i="6"/>
  <c r="P96" i="6" s="1"/>
  <c r="Q96" i="6" s="1"/>
  <c r="I96" i="16"/>
  <c r="J96" i="16" s="1"/>
  <c r="O56" i="6"/>
  <c r="P56" i="6" s="1"/>
  <c r="Q56" i="6" s="1"/>
  <c r="I56" i="16"/>
  <c r="J56" i="16" s="1"/>
  <c r="O193" i="6"/>
  <c r="P193" i="6" s="1"/>
  <c r="Q193" i="6" s="1"/>
  <c r="I193" i="16"/>
  <c r="J193" i="16" s="1"/>
  <c r="I123" i="16"/>
  <c r="J123" i="16" s="1"/>
  <c r="O123" i="6"/>
  <c r="P123" i="6" s="1"/>
  <c r="Q123" i="6" s="1"/>
  <c r="F164" i="4"/>
  <c r="T164" i="6"/>
  <c r="O90" i="6"/>
  <c r="P90" i="6" s="1"/>
  <c r="Q90" i="6" s="1"/>
  <c r="I90" i="16"/>
  <c r="J90" i="16" s="1"/>
  <c r="O65" i="6"/>
  <c r="P65" i="6" s="1"/>
  <c r="Q65" i="6" s="1"/>
  <c r="I65" i="16"/>
  <c r="J65" i="16" s="1"/>
  <c r="O95" i="6"/>
  <c r="P95" i="6" s="1"/>
  <c r="Q95" i="6" s="1"/>
  <c r="I95" i="16"/>
  <c r="J95" i="16" s="1"/>
  <c r="O134" i="6"/>
  <c r="P134" i="6" s="1"/>
  <c r="Q134" i="6" s="1"/>
  <c r="I134" i="16"/>
  <c r="J134" i="16" s="1"/>
  <c r="O16" i="6"/>
  <c r="P16" i="6" s="1"/>
  <c r="Q16" i="6" s="1"/>
  <c r="I16" i="16"/>
  <c r="J16" i="16" s="1"/>
  <c r="I119" i="16"/>
  <c r="J119" i="16" s="1"/>
  <c r="O119" i="6"/>
  <c r="P119" i="6" s="1"/>
  <c r="Q119" i="6" s="1"/>
  <c r="O165" i="6"/>
  <c r="P165" i="6" s="1"/>
  <c r="Q165" i="6" s="1"/>
  <c r="I165" i="16"/>
  <c r="J165" i="16" s="1"/>
  <c r="O130" i="6"/>
  <c r="P130" i="6" s="1"/>
  <c r="Q130" i="6" s="1"/>
  <c r="I130" i="16"/>
  <c r="J130" i="16" s="1"/>
  <c r="O209" i="6"/>
  <c r="P209" i="6" s="1"/>
  <c r="Q209" i="6" s="1"/>
  <c r="I209" i="16"/>
  <c r="J209" i="16" s="1"/>
  <c r="O14" i="6"/>
  <c r="P14" i="6" s="1"/>
  <c r="Q14" i="6" s="1"/>
  <c r="I14" i="16"/>
  <c r="J14" i="16" s="1"/>
  <c r="O191" i="6"/>
  <c r="P191" i="6" s="1"/>
  <c r="Q191" i="6" s="1"/>
  <c r="I191" i="16"/>
  <c r="J191" i="16" s="1"/>
  <c r="O106" i="6"/>
  <c r="P106" i="6" s="1"/>
  <c r="Q106" i="6" s="1"/>
  <c r="I106" i="16"/>
  <c r="J106" i="16" s="1"/>
  <c r="I52" i="16"/>
  <c r="J52" i="16" s="1"/>
  <c r="O52" i="6"/>
  <c r="P52" i="6" s="1"/>
  <c r="Q52" i="6" s="1"/>
  <c r="O11" i="6"/>
  <c r="P11" i="6" s="1"/>
  <c r="Q11" i="6" s="1"/>
  <c r="I11" i="16"/>
  <c r="J11" i="16" s="1"/>
  <c r="O166" i="6"/>
  <c r="P166" i="6" s="1"/>
  <c r="Q166" i="6" s="1"/>
  <c r="I166" i="16"/>
  <c r="J166" i="16" s="1"/>
  <c r="O152" i="6"/>
  <c r="P152" i="6" s="1"/>
  <c r="Q152" i="6" s="1"/>
  <c r="I152" i="16"/>
  <c r="J152" i="16" s="1"/>
  <c r="O34" i="6"/>
  <c r="P34" i="6" s="1"/>
  <c r="Q34" i="6" s="1"/>
  <c r="I34" i="16"/>
  <c r="J34" i="16" s="1"/>
  <c r="O208" i="6"/>
  <c r="P208" i="6" s="1"/>
  <c r="Q208" i="6" s="1"/>
  <c r="I208" i="16"/>
  <c r="J208" i="16" s="1"/>
  <c r="I51" i="16"/>
  <c r="J51" i="16" s="1"/>
  <c r="O51" i="6"/>
  <c r="P51" i="6" s="1"/>
  <c r="Q51" i="6" s="1"/>
  <c r="I104" i="16"/>
  <c r="J104" i="16" s="1"/>
  <c r="O104" i="6"/>
  <c r="P104" i="6" s="1"/>
  <c r="Q104" i="6" s="1"/>
  <c r="O8" i="6"/>
  <c r="P8" i="6" s="1"/>
  <c r="Q8" i="6" s="1"/>
  <c r="I8" i="16"/>
  <c r="J8" i="16" s="1"/>
  <c r="O171" i="6"/>
  <c r="P171" i="6" s="1"/>
  <c r="Q171" i="6" s="1"/>
  <c r="I171" i="16"/>
  <c r="J171" i="16" s="1"/>
  <c r="O112" i="6"/>
  <c r="P112" i="6" s="1"/>
  <c r="Q112" i="6" s="1"/>
  <c r="I112" i="16"/>
  <c r="J112" i="16" s="1"/>
  <c r="I118" i="16"/>
  <c r="J118" i="16" s="1"/>
  <c r="O118" i="6"/>
  <c r="P118" i="6" s="1"/>
  <c r="Q118" i="6" s="1"/>
  <c r="O113" i="6"/>
  <c r="P113" i="6" s="1"/>
  <c r="Q113" i="6" s="1"/>
  <c r="I113" i="16"/>
  <c r="J113" i="16" s="1"/>
  <c r="O162" i="6"/>
  <c r="P162" i="6" s="1"/>
  <c r="Q162" i="6" s="1"/>
  <c r="I162" i="16"/>
  <c r="J162" i="16" s="1"/>
  <c r="O45" i="6"/>
  <c r="P45" i="6" s="1"/>
  <c r="Q45" i="6" s="1"/>
  <c r="I45" i="16"/>
  <c r="J45" i="16" s="1"/>
  <c r="I42" i="16"/>
  <c r="J42" i="16" s="1"/>
  <c r="O42" i="6"/>
  <c r="P42" i="6" s="1"/>
  <c r="Q42" i="6" s="1"/>
  <c r="I6" i="16"/>
  <c r="J6" i="16" s="1"/>
  <c r="O6" i="6"/>
  <c r="P6" i="6" s="1"/>
  <c r="Q6" i="6" s="1"/>
  <c r="O142" i="6"/>
  <c r="P142" i="6" s="1"/>
  <c r="Q142" i="6" s="1"/>
  <c r="I142" i="16"/>
  <c r="J142" i="16" s="1"/>
  <c r="O128" i="6"/>
  <c r="P128" i="6" s="1"/>
  <c r="Q128" i="6" s="1"/>
  <c r="I128" i="16"/>
  <c r="J128" i="16" s="1"/>
  <c r="O10" i="6"/>
  <c r="P10" i="6" s="1"/>
  <c r="Q10" i="6" s="1"/>
  <c r="I10" i="16"/>
  <c r="J10" i="16" s="1"/>
  <c r="I29" i="16"/>
  <c r="J29" i="16" s="1"/>
  <c r="O29" i="6"/>
  <c r="P29" i="6" s="1"/>
  <c r="Q29" i="6" s="1"/>
  <c r="I64" i="16"/>
  <c r="J64" i="16" s="1"/>
  <c r="O64" i="6"/>
  <c r="P64" i="6" s="1"/>
  <c r="Q64" i="6" s="1"/>
  <c r="I153" i="16"/>
  <c r="J153" i="16" s="1"/>
  <c r="O153" i="6"/>
  <c r="P153" i="6" s="1"/>
  <c r="Q153" i="6" s="1"/>
  <c r="O206" i="6"/>
  <c r="P206" i="6" s="1"/>
  <c r="Q206" i="6" s="1"/>
  <c r="I206" i="16"/>
  <c r="J206" i="16" s="1"/>
  <c r="I108" i="16"/>
  <c r="J108" i="16" s="1"/>
  <c r="O108" i="6"/>
  <c r="P108" i="6" s="1"/>
  <c r="Q108" i="6" s="1"/>
  <c r="O61" i="6"/>
  <c r="P61" i="6" s="1"/>
  <c r="Q61" i="6" s="1"/>
  <c r="I61" i="16"/>
  <c r="J61" i="16" s="1"/>
  <c r="O126" i="6"/>
  <c r="P126" i="6" s="1"/>
  <c r="Q126" i="6" s="1"/>
  <c r="I126" i="16"/>
  <c r="J126" i="16" s="1"/>
  <c r="O88" i="6"/>
  <c r="P88" i="6" s="1"/>
  <c r="Q88" i="6" s="1"/>
  <c r="I88" i="16"/>
  <c r="J88" i="16" s="1"/>
  <c r="I149" i="16"/>
  <c r="J149" i="16" s="1"/>
  <c r="O149" i="6"/>
  <c r="P149" i="6" s="1"/>
  <c r="Q149" i="6" s="1"/>
  <c r="O203" i="6"/>
  <c r="P203" i="6" s="1"/>
  <c r="Q203" i="6" s="1"/>
  <c r="I203" i="16"/>
  <c r="J203" i="16" s="1"/>
  <c r="O127" i="6"/>
  <c r="P127" i="6" s="1"/>
  <c r="Q127" i="6" s="1"/>
  <c r="I127" i="16"/>
  <c r="J127" i="16" s="1"/>
  <c r="O76" i="6"/>
  <c r="P76" i="6" s="1"/>
  <c r="Q76" i="6" s="1"/>
  <c r="I76" i="16"/>
  <c r="J76" i="16" s="1"/>
  <c r="O13" i="6"/>
  <c r="P13" i="6" s="1"/>
  <c r="Q13" i="6" s="1"/>
  <c r="I13" i="16"/>
  <c r="J13" i="16" s="1"/>
  <c r="O46" i="6"/>
  <c r="P46" i="6" s="1"/>
  <c r="Q46" i="6" s="1"/>
  <c r="I46" i="16"/>
  <c r="J46" i="16" s="1"/>
  <c r="O30" i="6"/>
  <c r="P30" i="6" s="1"/>
  <c r="Q30" i="6" s="1"/>
  <c r="I30" i="16"/>
  <c r="J30" i="16" s="1"/>
  <c r="O39" i="6"/>
  <c r="P39" i="6" s="1"/>
  <c r="Q39" i="6" s="1"/>
  <c r="I39" i="16"/>
  <c r="J39" i="16" s="1"/>
  <c r="O190" i="6"/>
  <c r="P190" i="6" s="1"/>
  <c r="Q190" i="6" s="1"/>
  <c r="I190" i="16"/>
  <c r="J190" i="16" s="1"/>
  <c r="O188" i="6"/>
  <c r="P188" i="6" s="1"/>
  <c r="Q188" i="6" s="1"/>
  <c r="I188" i="16"/>
  <c r="J188" i="16" s="1"/>
  <c r="O69" i="6"/>
  <c r="P69" i="6" s="1"/>
  <c r="Q69" i="6" s="1"/>
  <c r="I69" i="16"/>
  <c r="J69" i="16" s="1"/>
  <c r="O132" i="6"/>
  <c r="P132" i="6" s="1"/>
  <c r="Q132" i="6" s="1"/>
  <c r="I132" i="16"/>
  <c r="J132" i="16" s="1"/>
  <c r="O159" i="6"/>
  <c r="P159" i="6" s="1"/>
  <c r="Q159" i="6" s="1"/>
  <c r="I159" i="16"/>
  <c r="J159" i="16" s="1"/>
  <c r="I19" i="16"/>
  <c r="J19" i="16" s="1"/>
  <c r="O19" i="6"/>
  <c r="P19" i="6" s="1"/>
  <c r="Q19" i="6" s="1"/>
  <c r="O63" i="6"/>
  <c r="P63" i="6" s="1"/>
  <c r="Q63" i="6" s="1"/>
  <c r="I63" i="16"/>
  <c r="J63" i="16" s="1"/>
  <c r="O70" i="6"/>
  <c r="P70" i="6" s="1"/>
  <c r="Q70" i="6" s="1"/>
  <c r="I70" i="16"/>
  <c r="J70" i="16" s="1"/>
  <c r="O145" i="6"/>
  <c r="P145" i="6" s="1"/>
  <c r="Q145" i="6" s="1"/>
  <c r="I145" i="16"/>
  <c r="J145" i="16" s="1"/>
  <c r="O102" i="6"/>
  <c r="P102" i="6" s="1"/>
  <c r="Q102" i="6" s="1"/>
  <c r="I102" i="16"/>
  <c r="J102" i="16" s="1"/>
  <c r="O62" i="6"/>
  <c r="P62" i="6" s="1"/>
  <c r="Q62" i="6" s="1"/>
  <c r="I62" i="16"/>
  <c r="J62" i="16" s="1"/>
  <c r="O35" i="6"/>
  <c r="P35" i="6" s="1"/>
  <c r="Q35" i="6" s="1"/>
  <c r="I35" i="16"/>
  <c r="J35" i="16" s="1"/>
  <c r="O93" i="6"/>
  <c r="P93" i="6" s="1"/>
  <c r="Q93" i="6" s="1"/>
  <c r="I93" i="16"/>
  <c r="J93" i="16" s="1"/>
  <c r="O15" i="6"/>
  <c r="P15" i="6" s="1"/>
  <c r="Q15" i="6" s="1"/>
  <c r="I15" i="16"/>
  <c r="J15" i="16" s="1"/>
  <c r="O7" i="6"/>
  <c r="P7" i="6" s="1"/>
  <c r="Q7" i="6" s="1"/>
  <c r="I7" i="16"/>
  <c r="J7" i="16" s="1"/>
  <c r="O205" i="6"/>
  <c r="P205" i="6" s="1"/>
  <c r="Q205" i="6" s="1"/>
  <c r="I205" i="16"/>
  <c r="J205" i="16" s="1"/>
  <c r="O170" i="6"/>
  <c r="P170" i="6" s="1"/>
  <c r="Q170" i="6" s="1"/>
  <c r="I170" i="16"/>
  <c r="J170" i="16" s="1"/>
  <c r="O89" i="6"/>
  <c r="P89" i="6" s="1"/>
  <c r="Q89" i="6" s="1"/>
  <c r="I89" i="16"/>
  <c r="J89" i="16" s="1"/>
  <c r="I167" i="16"/>
  <c r="J167" i="16" s="1"/>
  <c r="O167" i="6"/>
  <c r="P167" i="6" s="1"/>
  <c r="Q167" i="6" s="1"/>
  <c r="O4" i="6"/>
  <c r="P4" i="6" s="1"/>
  <c r="Q4" i="6" s="1"/>
  <c r="I4" i="16"/>
  <c r="J4" i="16" s="1"/>
  <c r="O50" i="6"/>
  <c r="P50" i="6" s="1"/>
  <c r="Q50" i="6" s="1"/>
  <c r="I50" i="16"/>
  <c r="J50" i="16" s="1"/>
  <c r="O163" i="6"/>
  <c r="P163" i="6" s="1"/>
  <c r="Q163" i="6" s="1"/>
  <c r="I163" i="16"/>
  <c r="J163" i="16" s="1"/>
  <c r="O192" i="6"/>
  <c r="P192" i="6" s="1"/>
  <c r="Q192" i="6" s="1"/>
  <c r="I192" i="16"/>
  <c r="J192" i="16" s="1"/>
  <c r="O53" i="6"/>
  <c r="P53" i="6" s="1"/>
  <c r="Q53" i="6" s="1"/>
  <c r="I53" i="16"/>
  <c r="J53" i="16" s="1"/>
  <c r="O67" i="6"/>
  <c r="P67" i="6" s="1"/>
  <c r="Q67" i="6" s="1"/>
  <c r="I67" i="16"/>
  <c r="J67" i="16" s="1"/>
  <c r="I129" i="16"/>
  <c r="J129" i="16" s="1"/>
  <c r="O129" i="6"/>
  <c r="P129" i="6" s="1"/>
  <c r="Q129" i="6" s="1"/>
  <c r="O75" i="6"/>
  <c r="P75" i="6" s="1"/>
  <c r="Q75" i="6" s="1"/>
  <c r="I75" i="16"/>
  <c r="J75" i="16" s="1"/>
  <c r="I92" i="16"/>
  <c r="J92" i="16" s="1"/>
  <c r="O92" i="6"/>
  <c r="P92" i="6" s="1"/>
  <c r="Q92" i="6" s="1"/>
  <c r="O105" i="6"/>
  <c r="P105" i="6" s="1"/>
  <c r="Q105" i="6" s="1"/>
  <c r="I105" i="16"/>
  <c r="J105" i="16" s="1"/>
  <c r="O17" i="6"/>
  <c r="P17" i="6" s="1"/>
  <c r="Q17" i="6" s="1"/>
  <c r="I17" i="16"/>
  <c r="J17" i="16" s="1"/>
  <c r="I38" i="16"/>
  <c r="J38" i="16" s="1"/>
  <c r="O38" i="6"/>
  <c r="P38" i="6" s="1"/>
  <c r="Q38" i="6" s="1"/>
  <c r="O18" i="6"/>
  <c r="P18" i="6" s="1"/>
  <c r="Q18" i="6" s="1"/>
  <c r="I18" i="16"/>
  <c r="J18" i="16" s="1"/>
  <c r="I103" i="16"/>
  <c r="J103" i="16" s="1"/>
  <c r="O103" i="6"/>
  <c r="P103" i="6" s="1"/>
  <c r="Q103" i="6" s="1"/>
  <c r="F111" i="4"/>
  <c r="T111" i="6"/>
  <c r="O169" i="6"/>
  <c r="P169" i="6" s="1"/>
  <c r="Q169" i="6" s="1"/>
  <c r="I169" i="16"/>
  <c r="J169" i="16" s="1"/>
  <c r="O66" i="6"/>
  <c r="P66" i="6" s="1"/>
  <c r="Q66" i="6" s="1"/>
  <c r="I66" i="16"/>
  <c r="J66" i="16" s="1"/>
  <c r="O71" i="6"/>
  <c r="P71" i="6" s="1"/>
  <c r="Q71" i="6" s="1"/>
  <c r="I71" i="16"/>
  <c r="J71" i="16" s="1"/>
  <c r="I116" i="16"/>
  <c r="J116" i="16" s="1"/>
  <c r="O116" i="6"/>
  <c r="P116" i="6" s="1"/>
  <c r="Q116" i="6" s="1"/>
  <c r="O5" i="6"/>
  <c r="P5" i="6" s="1"/>
  <c r="Q5" i="6" s="1"/>
  <c r="I5" i="16"/>
  <c r="J5" i="16" s="1"/>
  <c r="O82" i="6"/>
  <c r="P82" i="6" s="1"/>
  <c r="Q82" i="6" s="1"/>
  <c r="I82" i="16"/>
  <c r="J82" i="16" s="1"/>
  <c r="O36" i="6"/>
  <c r="P36" i="6" s="1"/>
  <c r="Q36" i="6" s="1"/>
  <c r="I36" i="16"/>
  <c r="J36" i="16" s="1"/>
  <c r="I147" i="16"/>
  <c r="J147" i="16" s="1"/>
  <c r="O147" i="6"/>
  <c r="P147" i="6" s="1"/>
  <c r="Q147" i="6" s="1"/>
  <c r="I97" i="16"/>
  <c r="J97" i="16" s="1"/>
  <c r="O97" i="6"/>
  <c r="P97" i="6" s="1"/>
  <c r="Q97" i="6" s="1"/>
  <c r="O146" i="6"/>
  <c r="P146" i="6" s="1"/>
  <c r="Q146" i="6" s="1"/>
  <c r="I146" i="16"/>
  <c r="J146" i="16" s="1"/>
  <c r="O58" i="6"/>
  <c r="P58" i="6" s="1"/>
  <c r="Q58" i="6" s="1"/>
  <c r="I58" i="16"/>
  <c r="J58" i="16" s="1"/>
  <c r="I40" i="16"/>
  <c r="J40" i="16" s="1"/>
  <c r="O40" i="6"/>
  <c r="P40" i="6" s="1"/>
  <c r="Q40" i="6" s="1"/>
  <c r="O121" i="6"/>
  <c r="P121" i="6" s="1"/>
  <c r="Q121" i="6" s="1"/>
  <c r="I121" i="16"/>
  <c r="J121" i="16" s="1"/>
  <c r="O117" i="6"/>
  <c r="P117" i="6" s="1"/>
  <c r="Q117" i="6" s="1"/>
  <c r="I117" i="16"/>
  <c r="J117" i="16" s="1"/>
  <c r="O156" i="6"/>
  <c r="P156" i="6" s="1"/>
  <c r="Q156" i="6" s="1"/>
  <c r="I156" i="16"/>
  <c r="J156" i="16" s="1"/>
  <c r="O79" i="6"/>
  <c r="P79" i="6" s="1"/>
  <c r="Q79" i="6" s="1"/>
  <c r="I79" i="16"/>
  <c r="J79" i="16" s="1"/>
  <c r="I41" i="16"/>
  <c r="J41" i="16" s="1"/>
  <c r="O41" i="6"/>
  <c r="P41" i="6" s="1"/>
  <c r="Q41" i="6" s="1"/>
  <c r="O49" i="6"/>
  <c r="P49" i="6" s="1"/>
  <c r="Q49" i="6" s="1"/>
  <c r="I49" i="16"/>
  <c r="J49" i="16" s="1"/>
  <c r="I164" i="16"/>
  <c r="J164" i="16" s="1"/>
  <c r="O164" i="6"/>
  <c r="P164" i="6" s="1"/>
  <c r="Q164" i="6" s="1"/>
  <c r="O43" i="6"/>
  <c r="P43" i="6" s="1"/>
  <c r="Q43" i="6" s="1"/>
  <c r="I43" i="16"/>
  <c r="J43" i="16" s="1"/>
  <c r="O55" i="6"/>
  <c r="P55" i="6" s="1"/>
  <c r="Q55" i="6" s="1"/>
  <c r="I55" i="16"/>
  <c r="J55" i="16" s="1"/>
  <c r="I73" i="16"/>
  <c r="J73" i="16" s="1"/>
  <c r="O73" i="6"/>
  <c r="P73" i="6" s="1"/>
  <c r="Q73" i="6" s="1"/>
  <c r="I125" i="16"/>
  <c r="J125" i="16" s="1"/>
  <c r="O125" i="6"/>
  <c r="P125" i="6" s="1"/>
  <c r="Q125" i="6" s="1"/>
  <c r="I21" i="16"/>
  <c r="J21" i="16" s="1"/>
  <c r="O21" i="6"/>
  <c r="P21" i="6" s="1"/>
  <c r="Q21" i="6" s="1"/>
  <c r="O141" i="6"/>
  <c r="P141" i="6" s="1"/>
  <c r="Q141" i="6" s="1"/>
  <c r="I141" i="16"/>
  <c r="J141" i="16" s="1"/>
  <c r="O202" i="6"/>
  <c r="P202" i="6" s="1"/>
  <c r="Q202" i="6" s="1"/>
  <c r="I202" i="16"/>
  <c r="J202" i="16" s="1"/>
  <c r="O87" i="6"/>
  <c r="P87" i="6" s="1"/>
  <c r="Q87" i="6" s="1"/>
  <c r="I87" i="16"/>
  <c r="J87" i="16" s="1"/>
  <c r="O111" i="6"/>
  <c r="P111" i="6" s="1"/>
  <c r="Q111" i="6" s="1"/>
  <c r="I111" i="16"/>
  <c r="J111" i="16" s="1"/>
  <c r="I77" i="16"/>
  <c r="J77" i="16" s="1"/>
  <c r="O77" i="6"/>
  <c r="P77" i="6" s="1"/>
  <c r="Q77" i="6" s="1"/>
  <c r="O31" i="6"/>
  <c r="P31" i="6" s="1"/>
  <c r="Q31" i="6" s="1"/>
  <c r="I31" i="16"/>
  <c r="J31" i="16" s="1"/>
  <c r="O81" i="6"/>
  <c r="P81" i="6" s="1"/>
  <c r="Q81" i="6" s="1"/>
  <c r="I81" i="16"/>
  <c r="J81" i="16" s="1"/>
  <c r="O37" i="6"/>
  <c r="P37" i="6" s="1"/>
  <c r="Q37" i="6" s="1"/>
  <c r="I37" i="16"/>
  <c r="J37" i="16" s="1"/>
  <c r="I68" i="16"/>
  <c r="J68" i="16" s="1"/>
  <c r="O68" i="6"/>
  <c r="P68" i="6" s="1"/>
  <c r="Q68" i="6" s="1"/>
  <c r="O143" i="6"/>
  <c r="P143" i="6" s="1"/>
  <c r="Q143" i="6" s="1"/>
  <c r="I143" i="16"/>
  <c r="J143" i="16" s="1"/>
  <c r="O12" i="6"/>
  <c r="P12" i="6" s="1"/>
  <c r="Q12" i="6" s="1"/>
  <c r="I12" i="16"/>
  <c r="J12" i="16" s="1"/>
  <c r="I80" i="16"/>
  <c r="J80" i="16" s="1"/>
  <c r="O80" i="6"/>
  <c r="P80" i="6" s="1"/>
  <c r="Q80" i="6" s="1"/>
  <c r="O84" i="6"/>
  <c r="P84" i="6" s="1"/>
  <c r="Q84" i="6" s="1"/>
  <c r="I84" i="16"/>
  <c r="J84" i="16" s="1"/>
  <c r="O78" i="6"/>
  <c r="P78" i="6" s="1"/>
  <c r="Q78" i="6" s="1"/>
  <c r="I78" i="16"/>
  <c r="J78" i="16" s="1"/>
  <c r="I33" i="16"/>
  <c r="J33" i="16" s="1"/>
  <c r="O33" i="6"/>
  <c r="P33" i="6" s="1"/>
  <c r="Q33" i="6" s="1"/>
  <c r="I20" i="16"/>
  <c r="J20" i="16" s="1"/>
  <c r="O20" i="6"/>
  <c r="P20" i="6" s="1"/>
  <c r="Q20" i="6" s="1"/>
  <c r="O59" i="6"/>
  <c r="P59" i="6" s="1"/>
  <c r="Q59" i="6" s="1"/>
  <c r="I59" i="16"/>
  <c r="J59" i="16" s="1"/>
  <c r="O83" i="6"/>
  <c r="P83" i="6" s="1"/>
  <c r="Q83" i="6" s="1"/>
  <c r="I83" i="16"/>
  <c r="J83" i="16" s="1"/>
  <c r="O57" i="6"/>
  <c r="P57" i="6" s="1"/>
  <c r="Q57" i="6" s="1"/>
  <c r="I57" i="16"/>
  <c r="J57" i="16" s="1"/>
  <c r="O32" i="6"/>
  <c r="P32" i="6" s="1"/>
  <c r="Q32" i="6" s="1"/>
  <c r="I32" i="16"/>
  <c r="J32" i="16" s="1"/>
  <c r="O120" i="6"/>
  <c r="P120" i="6" s="1"/>
  <c r="Q120" i="6" s="1"/>
  <c r="I120" i="16"/>
  <c r="J120" i="16" s="1"/>
  <c r="I133" i="16"/>
  <c r="J133" i="16" s="1"/>
  <c r="O133" i="6"/>
  <c r="P133" i="6" s="1"/>
  <c r="Q133" i="6" s="1"/>
  <c r="I122" i="16"/>
  <c r="J122" i="16" s="1"/>
  <c r="O122" i="6"/>
  <c r="P122" i="6" s="1"/>
  <c r="Q122" i="6" s="1"/>
  <c r="O161" i="6"/>
  <c r="P161" i="6" s="1"/>
  <c r="Q161" i="6" s="1"/>
  <c r="I161" i="16"/>
  <c r="J161" i="16" s="1"/>
  <c r="O207" i="6"/>
  <c r="P207" i="6" s="1"/>
  <c r="Q207" i="6" s="1"/>
  <c r="I207" i="16"/>
  <c r="J207" i="16" s="1"/>
  <c r="O110" i="6"/>
  <c r="P110" i="6" s="1"/>
  <c r="Q110" i="6" s="1"/>
  <c r="I110" i="16"/>
  <c r="J110" i="16" s="1"/>
  <c r="O47" i="6"/>
  <c r="P47" i="6" s="1"/>
  <c r="Q47" i="6" s="1"/>
  <c r="I47" i="16"/>
  <c r="J47" i="16" s="1"/>
  <c r="O74" i="6"/>
  <c r="P74" i="6" s="1"/>
  <c r="Q74" i="6" s="1"/>
  <c r="I74" i="16"/>
  <c r="J74" i="16" s="1"/>
  <c r="O48" i="6"/>
  <c r="P48" i="6" s="1"/>
  <c r="Q48" i="6" s="1"/>
  <c r="I48" i="16"/>
  <c r="J48" i="16" s="1"/>
  <c r="O189" i="6"/>
  <c r="P189" i="6" s="1"/>
  <c r="Q189" i="6" s="1"/>
  <c r="I189" i="16"/>
  <c r="J189" i="16" s="1"/>
  <c r="I124" i="16"/>
  <c r="J124" i="16" s="1"/>
  <c r="O124" i="6"/>
  <c r="P124" i="6" s="1"/>
  <c r="Q124" i="6" s="1"/>
  <c r="O197" i="6"/>
  <c r="P197" i="6" s="1"/>
  <c r="Q197" i="6" s="1"/>
  <c r="I197" i="16"/>
  <c r="J197" i="16" s="1"/>
  <c r="O54" i="6"/>
  <c r="P54" i="6" s="1"/>
  <c r="Q54" i="6" s="1"/>
  <c r="I54" i="16"/>
  <c r="J54" i="16" s="1"/>
  <c r="O201" i="6"/>
  <c r="P201" i="6" s="1"/>
  <c r="Q201" i="6" s="1"/>
  <c r="I201" i="16"/>
  <c r="J201" i="16" s="1"/>
  <c r="O44" i="6"/>
  <c r="P44" i="6" s="1"/>
  <c r="Q44" i="6" s="1"/>
  <c r="I44" i="16"/>
  <c r="J44" i="16" s="1"/>
  <c r="F153" i="4"/>
  <c r="F126" i="4"/>
  <c r="F43" i="4"/>
  <c r="F55" i="4"/>
  <c r="F13" i="4"/>
  <c r="F189" i="4"/>
  <c r="F81" i="4"/>
  <c r="F162" i="4"/>
  <c r="F21" i="4"/>
  <c r="F37" i="4"/>
  <c r="F88" i="4"/>
  <c r="F75" i="4"/>
  <c r="F87" i="4"/>
  <c r="F104" i="4"/>
  <c r="F90" i="4"/>
  <c r="F44" i="4"/>
  <c r="F127" i="4"/>
  <c r="F9" i="4"/>
  <c r="F15" i="4"/>
  <c r="F40" i="4"/>
  <c r="F97" i="4"/>
  <c r="F207" i="4"/>
  <c r="F39" i="4"/>
  <c r="F11" i="4"/>
  <c r="F205" i="4"/>
  <c r="F71" i="4"/>
  <c r="F113" i="4"/>
  <c r="F51" i="4"/>
  <c r="F68" i="4"/>
  <c r="F49" i="4"/>
  <c r="F74" i="4"/>
  <c r="F201" i="4"/>
  <c r="F82" i="4"/>
  <c r="F20" i="4"/>
  <c r="F121" i="4"/>
  <c r="F157" i="4"/>
  <c r="F133" i="4"/>
  <c r="F188" i="4"/>
  <c r="F149" i="4"/>
  <c r="F152" i="4"/>
  <c r="F58" i="4"/>
  <c r="F106" i="4"/>
  <c r="F59" i="4"/>
  <c r="F63" i="4"/>
  <c r="F45" i="4"/>
  <c r="F8" i="4"/>
  <c r="F112" i="4"/>
  <c r="F203" i="4"/>
  <c r="F19" i="4"/>
  <c r="F116" i="4"/>
  <c r="F85" i="4"/>
  <c r="F46" i="4"/>
  <c r="F30" i="4"/>
  <c r="F53" i="4"/>
  <c r="F67" i="4"/>
  <c r="F190" i="4"/>
  <c r="F123" i="4"/>
  <c r="F18" i="4"/>
  <c r="F48" i="4"/>
  <c r="F50" i="4"/>
  <c r="F78" i="4"/>
  <c r="F204" i="4"/>
  <c r="F52" i="4"/>
  <c r="F147" i="4"/>
  <c r="F32" i="4"/>
  <c r="F92" i="4"/>
  <c r="F129" i="4"/>
  <c r="F64" i="4"/>
  <c r="F38" i="4"/>
  <c r="F93" i="4"/>
  <c r="F5" i="4"/>
  <c r="F34" i="4"/>
  <c r="F60" i="4"/>
  <c r="F29" i="4"/>
  <c r="F16" i="4"/>
  <c r="F66" i="4"/>
  <c r="F120" i="4"/>
  <c r="F125" i="4"/>
  <c r="F41" i="4"/>
  <c r="F141" i="4"/>
  <c r="F69" i="4"/>
  <c r="F124" i="4"/>
  <c r="F105" i="4"/>
  <c r="F166" i="4"/>
  <c r="F84" i="4"/>
  <c r="F119" i="4"/>
  <c r="F76" i="4"/>
  <c r="F202" i="4"/>
  <c r="F197" i="4"/>
  <c r="F65" i="4"/>
  <c r="F4" i="4"/>
  <c r="F7" i="4"/>
  <c r="F42" i="4"/>
  <c r="F6" i="4"/>
  <c r="F73" i="4"/>
  <c r="F96" i="4"/>
  <c r="F56" i="4"/>
  <c r="F192" i="4"/>
  <c r="F193" i="4"/>
  <c r="F17" i="4"/>
  <c r="F171" i="4"/>
  <c r="F83" i="4"/>
  <c r="F61" i="4"/>
  <c r="F95" i="4"/>
  <c r="F134" i="4"/>
  <c r="F91" i="4"/>
  <c r="F14" i="4"/>
  <c r="F191" i="4"/>
  <c r="F36" i="4"/>
  <c r="F161" i="4"/>
  <c r="F170" i="4"/>
  <c r="F206" i="4"/>
  <c r="F103" i="4"/>
  <c r="F196" i="4"/>
  <c r="F33" i="4"/>
  <c r="F10" i="4"/>
  <c r="F208" i="4"/>
  <c r="F47" i="4"/>
  <c r="F118" i="4"/>
  <c r="F209" i="4"/>
  <c r="F163" i="4"/>
  <c r="F142" i="4"/>
  <c r="F35" i="4"/>
  <c r="F79" i="4"/>
  <c r="F70" i="4"/>
  <c r="F132" i="4"/>
  <c r="F146" i="4"/>
  <c r="F148" i="4"/>
  <c r="F80" i="4"/>
  <c r="F128" i="4"/>
  <c r="F156" i="4"/>
  <c r="F143" i="4"/>
  <c r="F102" i="4"/>
  <c r="F169" i="4"/>
  <c r="F145" i="4"/>
  <c r="F89" i="4"/>
  <c r="F167" i="4"/>
  <c r="F110" i="4"/>
  <c r="F62" i="4"/>
  <c r="F57" i="4"/>
  <c r="F117" i="4"/>
  <c r="F122" i="4"/>
  <c r="F108" i="4"/>
  <c r="F12" i="4"/>
  <c r="F159" i="4"/>
  <c r="F77" i="4"/>
  <c r="F165" i="4"/>
  <c r="F130" i="4"/>
  <c r="F54" i="4"/>
  <c r="F31" i="4"/>
  <c r="K165" i="3"/>
  <c r="L165" i="3"/>
  <c r="N165" i="3"/>
  <c r="M165" i="3"/>
  <c r="K122" i="16" l="1"/>
  <c r="L122" i="16" s="1"/>
  <c r="U122" i="6" s="1"/>
  <c r="V122" i="6" s="1"/>
  <c r="W122" i="6" s="1"/>
  <c r="K118" i="16"/>
  <c r="L118" i="16" s="1"/>
  <c r="U118" i="6" s="1"/>
  <c r="V118" i="6" s="1"/>
  <c r="W118" i="6" s="1"/>
  <c r="K146" i="16"/>
  <c r="L146" i="16" s="1"/>
  <c r="U146" i="6" s="1"/>
  <c r="V146" i="6" s="1"/>
  <c r="W146" i="6" s="1"/>
  <c r="K10" i="16"/>
  <c r="L10" i="16" s="1"/>
  <c r="U10" i="6" s="1"/>
  <c r="V10" i="6" s="1"/>
  <c r="W10" i="6" s="1"/>
  <c r="O9" i="2" s="1"/>
  <c r="K112" i="16"/>
  <c r="L112" i="16" s="1"/>
  <c r="U112" i="6" s="1"/>
  <c r="V112" i="6" s="1"/>
  <c r="W112" i="6" s="1"/>
  <c r="K90" i="16"/>
  <c r="L90" i="16" s="1"/>
  <c r="U90" i="6" s="1"/>
  <c r="K133" i="16"/>
  <c r="L133" i="16" s="1"/>
  <c r="U133" i="6" s="1"/>
  <c r="V133" i="6" s="1"/>
  <c r="W133" i="6" s="1"/>
  <c r="K78" i="16"/>
  <c r="L78" i="16" s="1"/>
  <c r="U78" i="6" s="1"/>
  <c r="K37" i="16"/>
  <c r="L37" i="16" s="1"/>
  <c r="U37" i="6" s="1"/>
  <c r="K79" i="16"/>
  <c r="L79" i="16" s="1"/>
  <c r="U79" i="6" s="1"/>
  <c r="K53" i="16"/>
  <c r="L53" i="16" s="1"/>
  <c r="U53" i="6" s="1"/>
  <c r="K188" i="16"/>
  <c r="L188" i="16" s="1"/>
  <c r="U188" i="6" s="1"/>
  <c r="V188" i="6" s="1"/>
  <c r="W188" i="6" s="1"/>
  <c r="K29" i="16"/>
  <c r="L29" i="16" s="1"/>
  <c r="K208" i="16"/>
  <c r="L208" i="16" s="1"/>
  <c r="U208" i="6" s="1"/>
  <c r="V208" i="6" s="1"/>
  <c r="W208" i="6" s="1"/>
  <c r="K74" i="16"/>
  <c r="L74" i="16" s="1"/>
  <c r="U74" i="6" s="1"/>
  <c r="K21" i="16"/>
  <c r="L21" i="16" s="1"/>
  <c r="U21" i="6" s="1"/>
  <c r="V21" i="6" s="1"/>
  <c r="W21" i="6" s="1"/>
  <c r="O20" i="2" s="1"/>
  <c r="K15" i="16"/>
  <c r="L15" i="16" s="1"/>
  <c r="U15" i="6" s="1"/>
  <c r="V15" i="6" s="1"/>
  <c r="W15" i="6" s="1"/>
  <c r="O14" i="2" s="1"/>
  <c r="K61" i="16"/>
  <c r="L61" i="16" s="1"/>
  <c r="U61" i="6" s="1"/>
  <c r="K165" i="16"/>
  <c r="L165" i="16" s="1"/>
  <c r="U165" i="6" s="1"/>
  <c r="V165" i="6" s="1"/>
  <c r="W165" i="6" s="1"/>
  <c r="K91" i="16"/>
  <c r="L91" i="16" s="1"/>
  <c r="U91" i="6" s="1"/>
  <c r="K54" i="16"/>
  <c r="L54" i="16" s="1"/>
  <c r="U54" i="6" s="1"/>
  <c r="K111" i="16"/>
  <c r="L111" i="16" s="1"/>
  <c r="U111" i="6" s="1"/>
  <c r="V111" i="6" s="1"/>
  <c r="W111" i="6" s="1"/>
  <c r="K103" i="16"/>
  <c r="L103" i="16" s="1"/>
  <c r="U103" i="6" s="1"/>
  <c r="V103" i="6" s="1"/>
  <c r="W103" i="6" s="1"/>
  <c r="K190" i="16"/>
  <c r="L190" i="16" s="1"/>
  <c r="U190" i="6" s="1"/>
  <c r="V190" i="6" s="1"/>
  <c r="W190" i="6" s="1"/>
  <c r="K34" i="16"/>
  <c r="L34" i="16" s="1"/>
  <c r="U34" i="6" s="1"/>
  <c r="K116" i="16"/>
  <c r="L116" i="16" s="1"/>
  <c r="K192" i="16"/>
  <c r="L192" i="16" s="1"/>
  <c r="U192" i="6" s="1"/>
  <c r="V192" i="6" s="1"/>
  <c r="W192" i="6" s="1"/>
  <c r="K106" i="16"/>
  <c r="L106" i="16" s="1"/>
  <c r="U106" i="6" s="1"/>
  <c r="V106" i="6" s="1"/>
  <c r="W106" i="6" s="1"/>
  <c r="K197" i="16"/>
  <c r="L197" i="16" s="1"/>
  <c r="U197" i="6" s="1"/>
  <c r="V197" i="6" s="1"/>
  <c r="W197" i="6" s="1"/>
  <c r="K120" i="16"/>
  <c r="L120" i="16" s="1"/>
  <c r="U120" i="6" s="1"/>
  <c r="V120" i="6" s="1"/>
  <c r="W120" i="6" s="1"/>
  <c r="K75" i="16"/>
  <c r="L75" i="16" s="1"/>
  <c r="U75" i="6" s="1"/>
  <c r="K170" i="16"/>
  <c r="L170" i="16" s="1"/>
  <c r="U170" i="6" s="1"/>
  <c r="V170" i="6" s="1"/>
  <c r="W170" i="6" s="1"/>
  <c r="K62" i="16"/>
  <c r="L62" i="16" s="1"/>
  <c r="U62" i="6" s="1"/>
  <c r="K39" i="16"/>
  <c r="L39" i="16" s="1"/>
  <c r="U39" i="6" s="1"/>
  <c r="K108" i="16"/>
  <c r="L108" i="16" s="1"/>
  <c r="U108" i="6" s="1"/>
  <c r="V108" i="6" s="1"/>
  <c r="W108" i="6" s="1"/>
  <c r="K152" i="16"/>
  <c r="L152" i="16" s="1"/>
  <c r="U152" i="6" s="1"/>
  <c r="V152" i="6" s="1"/>
  <c r="W152" i="6" s="1"/>
  <c r="K119" i="16"/>
  <c r="L119" i="16" s="1"/>
  <c r="U119" i="6" s="1"/>
  <c r="V119" i="6" s="1"/>
  <c r="W119" i="6" s="1"/>
  <c r="K110" i="16"/>
  <c r="L110" i="16" s="1"/>
  <c r="U110" i="6" s="1"/>
  <c r="V110" i="6" s="1"/>
  <c r="W110" i="6" s="1"/>
  <c r="K80" i="16"/>
  <c r="L80" i="16" s="1"/>
  <c r="U80" i="6" s="1"/>
  <c r="K87" i="16"/>
  <c r="L87" i="16" s="1"/>
  <c r="U87" i="6" s="1"/>
  <c r="K117" i="16"/>
  <c r="L117" i="16" s="1"/>
  <c r="U117" i="6" s="1"/>
  <c r="V117" i="6" s="1"/>
  <c r="W117" i="6" s="1"/>
  <c r="K206" i="16"/>
  <c r="L206" i="16" s="1"/>
  <c r="U206" i="6" s="1"/>
  <c r="V206" i="6" s="1"/>
  <c r="W206" i="6" s="1"/>
  <c r="K16" i="16"/>
  <c r="L16" i="16" s="1"/>
  <c r="U16" i="6" s="1"/>
  <c r="V16" i="6" s="1"/>
  <c r="W16" i="6" s="1"/>
  <c r="O15" i="2" s="1"/>
  <c r="K30" i="16"/>
  <c r="L30" i="16" s="1"/>
  <c r="U30" i="6" s="1"/>
  <c r="K14" i="16"/>
  <c r="L14" i="16" s="1"/>
  <c r="U14" i="6" s="1"/>
  <c r="V14" i="6" s="1"/>
  <c r="W14" i="6" s="1"/>
  <c r="O13" i="2" s="1"/>
  <c r="K134" i="16"/>
  <c r="L134" i="16" s="1"/>
  <c r="U134" i="6" s="1"/>
  <c r="V134" i="6" s="1"/>
  <c r="W134" i="6" s="1"/>
  <c r="K193" i="16"/>
  <c r="L193" i="16" s="1"/>
  <c r="U193" i="6" s="1"/>
  <c r="V193" i="6" s="1"/>
  <c r="W193" i="6" s="1"/>
  <c r="K148" i="16"/>
  <c r="L148" i="16" s="1"/>
  <c r="U148" i="6" s="1"/>
  <c r="V148" i="6" s="1"/>
  <c r="W148" i="6" s="1"/>
  <c r="K44" i="16"/>
  <c r="L44" i="16" s="1"/>
  <c r="U44" i="6" s="1"/>
  <c r="K143" i="16"/>
  <c r="L143" i="16" s="1"/>
  <c r="U143" i="6" s="1"/>
  <c r="V143" i="6" s="1"/>
  <c r="W143" i="6" s="1"/>
  <c r="K17" i="16"/>
  <c r="L17" i="16" s="1"/>
  <c r="U17" i="6" s="1"/>
  <c r="V17" i="6" s="1"/>
  <c r="W17" i="6" s="1"/>
  <c r="O16" i="2" s="1"/>
  <c r="K50" i="16"/>
  <c r="L50" i="16" s="1"/>
  <c r="U50" i="6" s="1"/>
  <c r="K145" i="16"/>
  <c r="L145" i="16" s="1"/>
  <c r="U145" i="6" s="1"/>
  <c r="V145" i="6" s="1"/>
  <c r="W145" i="6" s="1"/>
  <c r="K153" i="16"/>
  <c r="L153" i="16" s="1"/>
  <c r="U153" i="6" s="1"/>
  <c r="V153" i="6" s="1"/>
  <c r="W153" i="6" s="1"/>
  <c r="K46" i="16"/>
  <c r="L46" i="16" s="1"/>
  <c r="U46" i="6" s="1"/>
  <c r="K113" i="16"/>
  <c r="L113" i="16" s="1"/>
  <c r="U113" i="6" s="1"/>
  <c r="V113" i="6" s="1"/>
  <c r="W113" i="6" s="1"/>
  <c r="K33" i="16"/>
  <c r="L33" i="16" s="1"/>
  <c r="U33" i="6" s="1"/>
  <c r="K43" i="16"/>
  <c r="L43" i="16" s="1"/>
  <c r="U43" i="6" s="1"/>
  <c r="K67" i="16"/>
  <c r="L67" i="16" s="1"/>
  <c r="U67" i="6" s="1"/>
  <c r="K201" i="16"/>
  <c r="L201" i="16" s="1"/>
  <c r="U201" i="6" s="1"/>
  <c r="V201" i="6" s="1"/>
  <c r="W201" i="6" s="1"/>
  <c r="K5" i="16"/>
  <c r="L5" i="16" s="1"/>
  <c r="U5" i="6" s="1"/>
  <c r="V5" i="6" s="1"/>
  <c r="W5" i="6" s="1"/>
  <c r="O4" i="2" s="1"/>
  <c r="K63" i="16"/>
  <c r="L63" i="16" s="1"/>
  <c r="U63" i="6" s="1"/>
  <c r="K77" i="16"/>
  <c r="L77" i="16" s="1"/>
  <c r="U77" i="6" s="1"/>
  <c r="K167" i="16"/>
  <c r="L167" i="16" s="1"/>
  <c r="U167" i="6" s="1"/>
  <c r="V167" i="6" s="1"/>
  <c r="W167" i="6" s="1"/>
  <c r="K76" i="16"/>
  <c r="L76" i="16" s="1"/>
  <c r="U76" i="6" s="1"/>
  <c r="K157" i="16"/>
  <c r="L157" i="16" s="1"/>
  <c r="U157" i="6" s="1"/>
  <c r="V157" i="6" s="1"/>
  <c r="W157" i="6" s="1"/>
  <c r="K92" i="16"/>
  <c r="L92" i="16" s="1"/>
  <c r="U92" i="6" s="1"/>
  <c r="K89" i="16"/>
  <c r="L89" i="16" s="1"/>
  <c r="U89" i="6" s="1"/>
  <c r="K45" i="16"/>
  <c r="L45" i="16" s="1"/>
  <c r="U45" i="6" s="1"/>
  <c r="K52" i="16"/>
  <c r="L52" i="16" s="1"/>
  <c r="U52" i="6" s="1"/>
  <c r="K125" i="16"/>
  <c r="L125" i="16" s="1"/>
  <c r="U125" i="6" s="1"/>
  <c r="V125" i="6" s="1"/>
  <c r="W125" i="6" s="1"/>
  <c r="K156" i="16"/>
  <c r="L156" i="16" s="1"/>
  <c r="U156" i="6" s="1"/>
  <c r="V156" i="6" s="1"/>
  <c r="W156" i="6" s="1"/>
  <c r="K18" i="16"/>
  <c r="L18" i="16" s="1"/>
  <c r="U18" i="6" s="1"/>
  <c r="V18" i="6" s="1"/>
  <c r="W18" i="6" s="1"/>
  <c r="O17" i="2" s="1"/>
  <c r="K19" i="16"/>
  <c r="L19" i="16" s="1"/>
  <c r="U19" i="6" s="1"/>
  <c r="V19" i="6" s="1"/>
  <c r="W19" i="6" s="1"/>
  <c r="O18" i="2" s="1"/>
  <c r="K127" i="16"/>
  <c r="L127" i="16" s="1"/>
  <c r="U127" i="6" s="1"/>
  <c r="V127" i="6" s="1"/>
  <c r="W127" i="6" s="1"/>
  <c r="K171" i="16"/>
  <c r="L171" i="16" s="1"/>
  <c r="U171" i="6" s="1"/>
  <c r="V171" i="6" s="1"/>
  <c r="W171" i="6" s="1"/>
  <c r="K164" i="16"/>
  <c r="L164" i="16" s="1"/>
  <c r="U164" i="6" s="1"/>
  <c r="V164" i="6" s="1"/>
  <c r="W164" i="6" s="1"/>
  <c r="K97" i="16"/>
  <c r="L97" i="16" s="1"/>
  <c r="U97" i="6" s="1"/>
  <c r="K93" i="16"/>
  <c r="L93" i="16" s="1"/>
  <c r="U93" i="6" s="1"/>
  <c r="K159" i="16"/>
  <c r="L159" i="16" s="1"/>
  <c r="U159" i="6" s="1"/>
  <c r="V159" i="6" s="1"/>
  <c r="W159" i="6" s="1"/>
  <c r="K128" i="16"/>
  <c r="L128" i="16" s="1"/>
  <c r="U128" i="6" s="1"/>
  <c r="V128" i="6" s="1"/>
  <c r="W128" i="6" s="1"/>
  <c r="K81" i="16"/>
  <c r="L81" i="16" s="1"/>
  <c r="U81" i="6" s="1"/>
  <c r="K203" i="16"/>
  <c r="L203" i="16" s="1"/>
  <c r="U203" i="6" s="1"/>
  <c r="V203" i="6" s="1"/>
  <c r="W203" i="6" s="1"/>
  <c r="K8" i="16"/>
  <c r="L8" i="16" s="1"/>
  <c r="U8" i="6" s="1"/>
  <c r="V8" i="6" s="1"/>
  <c r="W8" i="6" s="1"/>
  <c r="O7" i="2" s="1"/>
  <c r="K191" i="16"/>
  <c r="L191" i="16" s="1"/>
  <c r="U191" i="6" s="1"/>
  <c r="V191" i="6" s="1"/>
  <c r="W191" i="6" s="1"/>
  <c r="K20" i="16"/>
  <c r="L20" i="16" s="1"/>
  <c r="U20" i="6" s="1"/>
  <c r="V20" i="6" s="1"/>
  <c r="W20" i="6" s="1"/>
  <c r="O19" i="2" s="1"/>
  <c r="K147" i="16"/>
  <c r="L147" i="16" s="1"/>
  <c r="K66" i="16"/>
  <c r="L66" i="16" s="1"/>
  <c r="U66" i="6" s="1"/>
  <c r="K38" i="16"/>
  <c r="L38" i="16" s="1"/>
  <c r="U38" i="6" s="1"/>
  <c r="K163" i="16"/>
  <c r="L163" i="16" s="1"/>
  <c r="U163" i="6" s="1"/>
  <c r="V163" i="6" s="1"/>
  <c r="W163" i="6" s="1"/>
  <c r="K205" i="16"/>
  <c r="L205" i="16" s="1"/>
  <c r="U205" i="6" s="1"/>
  <c r="V205" i="6" s="1"/>
  <c r="W205" i="6" s="1"/>
  <c r="K102" i="16"/>
  <c r="L102" i="16" s="1"/>
  <c r="K132" i="16"/>
  <c r="L132" i="16" s="1"/>
  <c r="U132" i="6" s="1"/>
  <c r="V132" i="6" s="1"/>
  <c r="W132" i="6" s="1"/>
  <c r="K142" i="16"/>
  <c r="L142" i="16" s="1"/>
  <c r="U142" i="6" s="1"/>
  <c r="V142" i="6" s="1"/>
  <c r="W142" i="6" s="1"/>
  <c r="K162" i="16"/>
  <c r="L162" i="16" s="1"/>
  <c r="U162" i="6" s="1"/>
  <c r="V162" i="6" s="1"/>
  <c r="W162" i="6" s="1"/>
  <c r="K166" i="16"/>
  <c r="L166" i="16" s="1"/>
  <c r="U166" i="6" s="1"/>
  <c r="V166" i="6" s="1"/>
  <c r="W166" i="6" s="1"/>
  <c r="K123" i="16"/>
  <c r="L123" i="16" s="1"/>
  <c r="U123" i="6" s="1"/>
  <c r="V123" i="6" s="1"/>
  <c r="W123" i="6" s="1"/>
  <c r="K204" i="16"/>
  <c r="L204" i="16" s="1"/>
  <c r="U204" i="6" s="1"/>
  <c r="V204" i="6" s="1"/>
  <c r="W204" i="6" s="1"/>
  <c r="K124" i="16"/>
  <c r="L124" i="16" s="1"/>
  <c r="U124" i="6" s="1"/>
  <c r="V124" i="6" s="1"/>
  <c r="W124" i="6" s="1"/>
  <c r="K207" i="16"/>
  <c r="L207" i="16" s="1"/>
  <c r="U207" i="6" s="1"/>
  <c r="V207" i="6" s="1"/>
  <c r="W207" i="6" s="1"/>
  <c r="K31" i="16"/>
  <c r="L31" i="16" s="1"/>
  <c r="U31" i="6" s="1"/>
  <c r="K202" i="16"/>
  <c r="L202" i="16" s="1"/>
  <c r="U202" i="6" s="1"/>
  <c r="V202" i="6" s="1"/>
  <c r="W202" i="6" s="1"/>
  <c r="K73" i="16"/>
  <c r="L73" i="16" s="1"/>
  <c r="U73" i="6" s="1"/>
  <c r="K49" i="16"/>
  <c r="L49" i="16" s="1"/>
  <c r="U49" i="6" s="1"/>
  <c r="K121" i="16"/>
  <c r="L121" i="16" s="1"/>
  <c r="U121" i="6" s="1"/>
  <c r="V121" i="6" s="1"/>
  <c r="W121" i="6" s="1"/>
  <c r="K189" i="16"/>
  <c r="L189" i="16" s="1"/>
  <c r="U189" i="6" s="1"/>
  <c r="V189" i="6" s="1"/>
  <c r="W189" i="6" s="1"/>
  <c r="K32" i="16"/>
  <c r="L32" i="16" s="1"/>
  <c r="U32" i="6" s="1"/>
  <c r="K55" i="16"/>
  <c r="L55" i="16" s="1"/>
  <c r="U55" i="6" s="1"/>
  <c r="K129" i="16"/>
  <c r="L129" i="16" s="1"/>
  <c r="U129" i="6" s="1"/>
  <c r="V129" i="6" s="1"/>
  <c r="W129" i="6" s="1"/>
  <c r="K149" i="16"/>
  <c r="L149" i="16" s="1"/>
  <c r="U149" i="6" s="1"/>
  <c r="V149" i="6" s="1"/>
  <c r="W149" i="6" s="1"/>
  <c r="K104" i="16"/>
  <c r="L104" i="16" s="1"/>
  <c r="U104" i="6" s="1"/>
  <c r="V104" i="6" s="1"/>
  <c r="W104" i="6" s="1"/>
  <c r="K85" i="16"/>
  <c r="L85" i="16" s="1"/>
  <c r="U85" i="6" s="1"/>
  <c r="K161" i="16"/>
  <c r="L161" i="16" s="1"/>
  <c r="U161" i="6" s="1"/>
  <c r="V161" i="6" s="1"/>
  <c r="W161" i="6" s="1"/>
  <c r="K169" i="16"/>
  <c r="L169" i="16" s="1"/>
  <c r="U169" i="6" s="1"/>
  <c r="V169" i="6" s="1"/>
  <c r="W169" i="6" s="1"/>
  <c r="K88" i="16"/>
  <c r="L88" i="16" s="1"/>
  <c r="U88" i="6" s="1"/>
  <c r="K6" i="16"/>
  <c r="L6" i="16" s="1"/>
  <c r="U6" i="6" s="1"/>
  <c r="V6" i="6" s="1"/>
  <c r="W6" i="6" s="1"/>
  <c r="O5" i="2" s="1"/>
  <c r="K209" i="16"/>
  <c r="L209" i="16" s="1"/>
  <c r="U209" i="6" s="1"/>
  <c r="V209" i="6" s="1"/>
  <c r="W209" i="6" s="1"/>
  <c r="K95" i="16"/>
  <c r="L95" i="16" s="1"/>
  <c r="U95" i="6" s="1"/>
  <c r="K56" i="16"/>
  <c r="L56" i="16" s="1"/>
  <c r="U56" i="6" s="1"/>
  <c r="K141" i="16"/>
  <c r="L141" i="16" s="1"/>
  <c r="K40" i="16"/>
  <c r="L40" i="16" s="1"/>
  <c r="U40" i="6" s="1"/>
  <c r="K82" i="16"/>
  <c r="L82" i="16" s="1"/>
  <c r="U82" i="6" s="1"/>
  <c r="K4" i="16"/>
  <c r="L4" i="16" s="1"/>
  <c r="U4" i="6" s="1"/>
  <c r="V4" i="6" s="1"/>
  <c r="W4" i="6" s="1"/>
  <c r="O3" i="2" s="1"/>
  <c r="K70" i="16"/>
  <c r="L70" i="16" s="1"/>
  <c r="U70" i="6" s="1"/>
  <c r="K69" i="16"/>
  <c r="L69" i="16" s="1"/>
  <c r="U69" i="6" s="1"/>
  <c r="K64" i="16"/>
  <c r="L64" i="16" s="1"/>
  <c r="U64" i="6" s="1"/>
  <c r="K51" i="16"/>
  <c r="L51" i="16" s="1"/>
  <c r="U51" i="6" s="1"/>
  <c r="K9" i="16"/>
  <c r="L9" i="16" s="1"/>
  <c r="U9" i="6" s="1"/>
  <c r="V9" i="6" s="1"/>
  <c r="W9" i="6" s="1"/>
  <c r="O8" i="2" s="1"/>
  <c r="K196" i="16"/>
  <c r="L196" i="16" s="1"/>
  <c r="U196" i="6" s="1"/>
  <c r="V196" i="6" s="1"/>
  <c r="W196" i="6" s="1"/>
  <c r="K57" i="16"/>
  <c r="L57" i="16" s="1"/>
  <c r="U57" i="6" s="1"/>
  <c r="K68" i="16"/>
  <c r="L68" i="16" s="1"/>
  <c r="U68" i="6" s="1"/>
  <c r="K41" i="16"/>
  <c r="L41" i="16" s="1"/>
  <c r="U41" i="6" s="1"/>
  <c r="K58" i="16"/>
  <c r="L58" i="16" s="1"/>
  <c r="U58" i="6" s="1"/>
  <c r="K105" i="16"/>
  <c r="L105" i="16" s="1"/>
  <c r="U105" i="6" s="1"/>
  <c r="V105" i="6" s="1"/>
  <c r="W105" i="6" s="1"/>
  <c r="K7" i="16"/>
  <c r="L7" i="16" s="1"/>
  <c r="U7" i="6" s="1"/>
  <c r="V7" i="6" s="1"/>
  <c r="W7" i="6" s="1"/>
  <c r="O6" i="2" s="1"/>
  <c r="K13" i="16"/>
  <c r="L13" i="16" s="1"/>
  <c r="U13" i="6" s="1"/>
  <c r="V13" i="6" s="1"/>
  <c r="W13" i="6" s="1"/>
  <c r="O12" i="2" s="1"/>
  <c r="K126" i="16"/>
  <c r="L126" i="16" s="1"/>
  <c r="U126" i="6" s="1"/>
  <c r="V126" i="6" s="1"/>
  <c r="W126" i="6" s="1"/>
  <c r="K42" i="16"/>
  <c r="L42" i="16" s="1"/>
  <c r="U42" i="6" s="1"/>
  <c r="K130" i="16"/>
  <c r="L130" i="16" s="1"/>
  <c r="U130" i="6" s="1"/>
  <c r="V130" i="6" s="1"/>
  <c r="W130" i="6" s="1"/>
  <c r="K65" i="16"/>
  <c r="L65" i="16" s="1"/>
  <c r="U65" i="6" s="1"/>
  <c r="K96" i="16"/>
  <c r="L96" i="16" s="1"/>
  <c r="U96" i="6" s="1"/>
  <c r="K11" i="16"/>
  <c r="L11" i="16" s="1"/>
  <c r="U11" i="6" s="1"/>
  <c r="V11" i="6" s="1"/>
  <c r="W11" i="6" s="1"/>
  <c r="O10" i="2" s="1"/>
  <c r="K84" i="16"/>
  <c r="L84" i="16" s="1"/>
  <c r="U84" i="6" s="1"/>
  <c r="K60" i="16"/>
  <c r="L60" i="16" s="1"/>
  <c r="U60" i="6" s="1"/>
  <c r="K36" i="16"/>
  <c r="L36" i="16" s="1"/>
  <c r="U36" i="6" s="1"/>
  <c r="K35" i="16"/>
  <c r="L35" i="16" s="1"/>
  <c r="U35" i="6" s="1"/>
  <c r="K83" i="16"/>
  <c r="L83" i="16" s="1"/>
  <c r="U83" i="6" s="1"/>
  <c r="K71" i="16"/>
  <c r="L71" i="16" s="1"/>
  <c r="U71" i="6" s="1"/>
  <c r="K47" i="16"/>
  <c r="L47" i="16" s="1"/>
  <c r="U47" i="6" s="1"/>
  <c r="K59" i="16"/>
  <c r="L59" i="16"/>
  <c r="U59" i="6" s="1"/>
  <c r="K12" i="16"/>
  <c r="L12" i="16" s="1"/>
  <c r="U12" i="6" s="1"/>
  <c r="V12" i="6" s="1"/>
  <c r="W12" i="6" s="1"/>
  <c r="O11" i="2" s="1"/>
  <c r="K48" i="16"/>
  <c r="L48" i="16" s="1"/>
  <c r="U48" i="6" s="1"/>
  <c r="A189" i="3" l="1"/>
  <c r="A189" i="6"/>
  <c r="A189" i="16"/>
  <c r="A189" i="4"/>
  <c r="A142" i="6"/>
  <c r="A142" i="3"/>
  <c r="A142" i="16"/>
  <c r="U141" i="6"/>
  <c r="M177" i="16"/>
  <c r="U147" i="6"/>
  <c r="V147" i="6" s="1"/>
  <c r="W147" i="6" s="1"/>
  <c r="U102" i="6"/>
  <c r="V102" i="6" s="1"/>
  <c r="W102" i="6" s="1"/>
  <c r="M138" i="16"/>
  <c r="U116" i="6"/>
  <c r="V116" i="6" s="1"/>
  <c r="W116" i="6" s="1"/>
  <c r="U29" i="6"/>
  <c r="M98" i="16"/>
  <c r="V41" i="6"/>
  <c r="W41" i="6" s="1"/>
  <c r="V56" i="6"/>
  <c r="W56" i="6" s="1"/>
  <c r="V48" i="6"/>
  <c r="W48" i="6" s="1"/>
  <c r="V57" i="6"/>
  <c r="W57" i="6" s="1"/>
  <c r="V52" i="6"/>
  <c r="W52" i="6" s="1"/>
  <c r="V43" i="6"/>
  <c r="W43" i="6" s="1"/>
  <c r="V39" i="6"/>
  <c r="W39" i="6" s="1"/>
  <c r="V33" i="6"/>
  <c r="W33" i="6" s="1"/>
  <c r="V62" i="6"/>
  <c r="W62" i="6" s="1"/>
  <c r="V54" i="6"/>
  <c r="W54" i="6" s="1"/>
  <c r="V49" i="6"/>
  <c r="W49" i="6" s="1"/>
  <c r="V89" i="6"/>
  <c r="W89" i="6" s="1"/>
  <c r="V91" i="6"/>
  <c r="W91" i="6" s="1"/>
  <c r="V51" i="6"/>
  <c r="W51" i="6" s="1"/>
  <c r="V92" i="6"/>
  <c r="W92" i="6" s="1"/>
  <c r="V42" i="6"/>
  <c r="W42" i="6" s="1"/>
  <c r="V64" i="6"/>
  <c r="W64" i="6" s="1"/>
  <c r="V97" i="6"/>
  <c r="W97" i="6" s="1"/>
  <c r="V90" i="6"/>
  <c r="W90" i="6" s="1"/>
  <c r="V71" i="6"/>
  <c r="W71" i="6" s="1"/>
  <c r="V69" i="6"/>
  <c r="W69" i="6" s="1"/>
  <c r="V31" i="6"/>
  <c r="W31" i="6" s="1"/>
  <c r="V38" i="6"/>
  <c r="W38" i="6" s="1"/>
  <c r="V85" i="6"/>
  <c r="W85" i="6" s="1"/>
  <c r="V66" i="6"/>
  <c r="W66" i="6" s="1"/>
  <c r="V87" i="6"/>
  <c r="W87" i="6" s="1"/>
  <c r="V35" i="6"/>
  <c r="W35" i="6" s="1"/>
  <c r="V84" i="6"/>
  <c r="W84" i="6" s="1"/>
  <c r="V55" i="6"/>
  <c r="W55" i="6" s="1"/>
  <c r="V68" i="6"/>
  <c r="W68" i="6" s="1"/>
  <c r="V32" i="6"/>
  <c r="W32" i="6" s="1"/>
  <c r="V67" i="6"/>
  <c r="W67" i="6" s="1"/>
  <c r="V53" i="6"/>
  <c r="W53" i="6" s="1"/>
  <c r="V96" i="6"/>
  <c r="W96" i="6" s="1"/>
  <c r="V95" i="6"/>
  <c r="W95" i="6" s="1"/>
  <c r="V81" i="6"/>
  <c r="W81" i="6" s="1"/>
  <c r="V79" i="6"/>
  <c r="W79" i="6" s="1"/>
  <c r="V65" i="6"/>
  <c r="W65" i="6" s="1"/>
  <c r="V45" i="6"/>
  <c r="W45" i="6" s="1"/>
  <c r="V37" i="6"/>
  <c r="W37" i="6" s="1"/>
  <c r="V59" i="6"/>
  <c r="W59" i="6" s="1"/>
  <c r="V30" i="6"/>
  <c r="W30" i="6" s="1"/>
  <c r="V78" i="6"/>
  <c r="W78" i="6" s="1"/>
  <c r="V88" i="6"/>
  <c r="W88" i="6" s="1"/>
  <c r="V73" i="6"/>
  <c r="W73" i="6" s="1"/>
  <c r="V93" i="6"/>
  <c r="W93" i="6" s="1"/>
  <c r="V46" i="6"/>
  <c r="W46" i="6" s="1"/>
  <c r="V75" i="6"/>
  <c r="W75" i="6" s="1"/>
  <c r="V47" i="6"/>
  <c r="W47" i="6" s="1"/>
  <c r="V61" i="6"/>
  <c r="W61" i="6" s="1"/>
  <c r="V76" i="6"/>
  <c r="W76" i="6" s="1"/>
  <c r="V83" i="6"/>
  <c r="W83" i="6" s="1"/>
  <c r="V70" i="6"/>
  <c r="W70" i="6" s="1"/>
  <c r="V50" i="6"/>
  <c r="W50" i="6" s="1"/>
  <c r="V77" i="6"/>
  <c r="W77" i="6" s="1"/>
  <c r="V80" i="6"/>
  <c r="W80" i="6" s="1"/>
  <c r="V74" i="6"/>
  <c r="W74" i="6" s="1"/>
  <c r="V36" i="6"/>
  <c r="W36" i="6" s="1"/>
  <c r="V82" i="6"/>
  <c r="W82" i="6" s="1"/>
  <c r="V63" i="6"/>
  <c r="W63" i="6" s="1"/>
  <c r="V60" i="6"/>
  <c r="W60" i="6" s="1"/>
  <c r="V58" i="6"/>
  <c r="W58" i="6" s="1"/>
  <c r="V40" i="6"/>
  <c r="W40" i="6" s="1"/>
  <c r="V44" i="6"/>
  <c r="W44" i="6" s="1"/>
  <c r="V34" i="6"/>
  <c r="W34" i="6" s="1"/>
  <c r="A142" i="4"/>
  <c r="K93" i="3"/>
  <c r="X138" i="6" l="1"/>
  <c r="A190" i="6"/>
  <c r="A190" i="4"/>
  <c r="A190" i="16"/>
  <c r="A190" i="3"/>
  <c r="A143" i="6"/>
  <c r="A143" i="16"/>
  <c r="A143" i="3"/>
  <c r="V141" i="6"/>
  <c r="W141" i="6" s="1"/>
  <c r="X178" i="6" s="1"/>
  <c r="V29" i="6"/>
  <c r="W29" i="6" s="1"/>
  <c r="X100" i="6" s="1"/>
  <c r="X102" i="6" s="1"/>
  <c r="A143" i="4"/>
  <c r="A191" i="16" l="1"/>
  <c r="A191" i="4"/>
  <c r="A191" i="3"/>
  <c r="A191" i="6"/>
  <c r="A144" i="16"/>
  <c r="A144" i="6"/>
  <c r="A144" i="3"/>
  <c r="A144" i="4"/>
  <c r="A192" i="4" l="1"/>
  <c r="A192" i="3"/>
  <c r="A192" i="6"/>
  <c r="A192" i="16"/>
  <c r="A145" i="16"/>
  <c r="A145" i="3"/>
  <c r="A145" i="6"/>
  <c r="A145" i="4"/>
  <c r="A193" i="3" l="1"/>
  <c r="A193" i="4"/>
  <c r="A193" i="6"/>
  <c r="A193" i="16"/>
  <c r="A146" i="3"/>
  <c r="A146" i="6"/>
  <c r="A146" i="16"/>
  <c r="A146" i="4"/>
  <c r="B3" i="4"/>
  <c r="D3" i="16"/>
  <c r="D211" i="16" s="1"/>
  <c r="B3" i="16"/>
  <c r="S3" i="6"/>
  <c r="N3" i="6"/>
  <c r="G3" i="6"/>
  <c r="G211" i="6" s="1"/>
  <c r="D3" i="6"/>
  <c r="C3" i="6"/>
  <c r="B3" i="6"/>
  <c r="B3" i="3"/>
  <c r="A194" i="4" l="1"/>
  <c r="A194" i="16"/>
  <c r="A194" i="3"/>
  <c r="A194" i="6"/>
  <c r="A147" i="4"/>
  <c r="A147" i="3"/>
  <c r="A147" i="16"/>
  <c r="A147" i="6"/>
  <c r="A195" i="16" l="1"/>
  <c r="A195" i="4"/>
  <c r="A195" i="3"/>
  <c r="A195" i="6"/>
  <c r="A148" i="4"/>
  <c r="A148" i="6"/>
  <c r="A148" i="3"/>
  <c r="A148" i="16"/>
  <c r="E3" i="6"/>
  <c r="A196" i="4" l="1"/>
  <c r="A196" i="6"/>
  <c r="A196" i="16"/>
  <c r="A196" i="3"/>
  <c r="A149" i="3"/>
  <c r="A149" i="4"/>
  <c r="A149" i="16"/>
  <c r="A149" i="6"/>
  <c r="A197" i="4" l="1"/>
  <c r="A197" i="16"/>
  <c r="A197" i="6"/>
  <c r="A197" i="3"/>
  <c r="A150" i="16"/>
  <c r="A150" i="6"/>
  <c r="A150" i="3"/>
  <c r="A150" i="4"/>
  <c r="A198" i="6" l="1"/>
  <c r="A198" i="4"/>
  <c r="A198" i="3"/>
  <c r="A198" i="16"/>
  <c r="A151" i="6"/>
  <c r="A151" i="3"/>
  <c r="A151" i="16"/>
  <c r="A151" i="4"/>
  <c r="I3" i="6"/>
  <c r="I211" i="6" s="1"/>
  <c r="F3" i="16"/>
  <c r="A199" i="16" l="1"/>
  <c r="A199" i="6"/>
  <c r="A199" i="3"/>
  <c r="A199" i="4"/>
  <c r="A152" i="6"/>
  <c r="A152" i="16"/>
  <c r="A152" i="3"/>
  <c r="A152" i="4"/>
  <c r="A200" i="4" l="1"/>
  <c r="A200" i="6"/>
  <c r="A200" i="16"/>
  <c r="A200" i="3"/>
  <c r="A153" i="3"/>
  <c r="A153" i="6"/>
  <c r="A153" i="4"/>
  <c r="A153" i="16"/>
  <c r="A201" i="16" l="1"/>
  <c r="A201" i="3"/>
  <c r="A201" i="4"/>
  <c r="A201" i="6"/>
  <c r="A154" i="6"/>
  <c r="A154" i="16"/>
  <c r="A154" i="3"/>
  <c r="A154" i="4"/>
  <c r="A202" i="3" l="1"/>
  <c r="A202" i="16"/>
  <c r="A202" i="6"/>
  <c r="A202" i="4"/>
  <c r="A155" i="4"/>
  <c r="A155" i="16"/>
  <c r="A155" i="3"/>
  <c r="A155" i="6"/>
  <c r="A203" i="3" l="1"/>
  <c r="A203" i="4"/>
  <c r="A203" i="6"/>
  <c r="A203" i="16"/>
  <c r="A156" i="6"/>
  <c r="A156" i="16"/>
  <c r="A156" i="4"/>
  <c r="A156" i="3"/>
  <c r="A204" i="4" l="1"/>
  <c r="A204" i="3"/>
  <c r="A204" i="6"/>
  <c r="A204" i="16"/>
  <c r="A157" i="6"/>
  <c r="A157" i="4"/>
  <c r="A157" i="16"/>
  <c r="A157" i="3"/>
  <c r="P143" i="3"/>
  <c r="A205" i="6" l="1"/>
  <c r="A205" i="3"/>
  <c r="A205" i="16"/>
  <c r="A205" i="4"/>
  <c r="A158" i="4"/>
  <c r="A158" i="6"/>
  <c r="A158" i="3"/>
  <c r="A158" i="16"/>
  <c r="A206" i="6" l="1"/>
  <c r="A206" i="3"/>
  <c r="A206" i="4"/>
  <c r="A206" i="16"/>
  <c r="A159" i="6"/>
  <c r="A159" i="16"/>
  <c r="A159" i="4"/>
  <c r="A159" i="3"/>
  <c r="A207" i="3" l="1"/>
  <c r="A207" i="4"/>
  <c r="A207" i="6"/>
  <c r="A207" i="16"/>
  <c r="A160" i="16"/>
  <c r="A160" i="6"/>
  <c r="A160" i="3"/>
  <c r="A160" i="4"/>
  <c r="A208" i="6" l="1"/>
  <c r="A208" i="16"/>
  <c r="A208" i="3"/>
  <c r="A208" i="4"/>
  <c r="A161" i="16"/>
  <c r="A161" i="3"/>
  <c r="A161" i="4"/>
  <c r="A161" i="6"/>
  <c r="F211" i="16"/>
  <c r="A209" i="4" l="1"/>
  <c r="A209" i="6"/>
  <c r="A209" i="16"/>
  <c r="A209" i="3"/>
  <c r="A162" i="4"/>
  <c r="A162" i="6"/>
  <c r="A162" i="16"/>
  <c r="A162" i="3"/>
  <c r="A210" i="16" l="1"/>
  <c r="A210" i="6"/>
  <c r="A210" i="4"/>
  <c r="A210" i="3"/>
  <c r="A163" i="6"/>
  <c r="A163" i="16"/>
  <c r="A163" i="3"/>
  <c r="A163" i="4"/>
  <c r="A164" i="4" l="1"/>
  <c r="A164" i="3"/>
  <c r="A164" i="16"/>
  <c r="A164" i="6"/>
  <c r="A165" i="3" l="1"/>
  <c r="A165" i="6"/>
  <c r="A165" i="4"/>
  <c r="A165" i="16"/>
  <c r="A166" i="6" l="1"/>
  <c r="A166" i="4"/>
  <c r="A166" i="16"/>
  <c r="A166" i="3"/>
  <c r="A167" i="4" l="1"/>
  <c r="A167" i="3"/>
  <c r="A167" i="16"/>
  <c r="A167" i="6"/>
  <c r="A168" i="6" l="1"/>
  <c r="A168" i="4"/>
  <c r="A168" i="3"/>
  <c r="A168" i="16"/>
  <c r="A169" i="6" l="1"/>
  <c r="A169" i="16"/>
  <c r="A169" i="4"/>
  <c r="A169" i="3"/>
  <c r="A170" i="16" l="1"/>
  <c r="A170" i="4"/>
  <c r="A170" i="6"/>
  <c r="A170" i="3"/>
  <c r="A3" i="4"/>
  <c r="A3" i="2"/>
  <c r="A3" i="16"/>
  <c r="A3" i="3"/>
  <c r="A3" i="6"/>
  <c r="A4" i="2" l="1"/>
  <c r="A4" i="3"/>
  <c r="A4" i="16"/>
  <c r="A4" i="6"/>
  <c r="A171" i="3"/>
  <c r="A171" i="16"/>
  <c r="A171" i="6"/>
  <c r="A171" i="4"/>
  <c r="A4" i="4"/>
  <c r="A5" i="2" l="1"/>
  <c r="A5" i="16"/>
  <c r="A5" i="3"/>
  <c r="A5" i="6"/>
  <c r="A30" i="3"/>
  <c r="A30" i="6"/>
  <c r="A30" i="16"/>
  <c r="A172" i="3"/>
  <c r="A172" i="4"/>
  <c r="A172" i="6"/>
  <c r="A172" i="16"/>
  <c r="A5" i="4"/>
  <c r="A30" i="4"/>
  <c r="A6" i="2" l="1"/>
  <c r="A6" i="16"/>
  <c r="A6" i="6"/>
  <c r="A6" i="3"/>
  <c r="A31" i="6"/>
  <c r="A31" i="16"/>
  <c r="A31" i="3"/>
  <c r="A173" i="3"/>
  <c r="A173" i="6"/>
  <c r="A173" i="16"/>
  <c r="A173" i="4"/>
  <c r="A6" i="4"/>
  <c r="A31" i="4"/>
  <c r="A7" i="2" l="1"/>
  <c r="A7" i="6"/>
  <c r="A7" i="16"/>
  <c r="A7" i="3"/>
  <c r="A32" i="6"/>
  <c r="A32" i="16"/>
  <c r="A32" i="3"/>
  <c r="A174" i="3"/>
  <c r="A174" i="6"/>
  <c r="A174" i="4"/>
  <c r="A174" i="16"/>
  <c r="A7" i="4"/>
  <c r="A32" i="4"/>
  <c r="A8" i="2" l="1"/>
  <c r="A8" i="16"/>
  <c r="A8" i="3"/>
  <c r="A8" i="6"/>
  <c r="A33" i="16"/>
  <c r="A33" i="6"/>
  <c r="A33" i="3"/>
  <c r="A175" i="16"/>
  <c r="A175" i="4"/>
  <c r="A175" i="3"/>
  <c r="A175" i="6"/>
  <c r="A33" i="4"/>
  <c r="A8" i="4"/>
  <c r="A9" i="2" l="1"/>
  <c r="A9" i="3"/>
  <c r="A9" i="16"/>
  <c r="A9" i="6"/>
  <c r="A34" i="3"/>
  <c r="A34" i="6"/>
  <c r="A34" i="16"/>
  <c r="A176" i="6"/>
  <c r="A176" i="3"/>
  <c r="A176" i="16"/>
  <c r="A176" i="4"/>
  <c r="A34" i="4"/>
  <c r="A9" i="4"/>
  <c r="A10" i="2" l="1"/>
  <c r="A10" i="3"/>
  <c r="A10" i="16"/>
  <c r="A10" i="6"/>
  <c r="A35" i="3"/>
  <c r="A35" i="16"/>
  <c r="A35" i="6"/>
  <c r="A177" i="6"/>
  <c r="A177" i="16"/>
  <c r="A177" i="3"/>
  <c r="A177" i="4"/>
  <c r="A10" i="4"/>
  <c r="A35" i="4"/>
  <c r="A11" i="2" l="1"/>
  <c r="A11" i="3"/>
  <c r="A11" i="6"/>
  <c r="A11" i="16"/>
  <c r="A36" i="16"/>
  <c r="A36" i="6"/>
  <c r="A36" i="3"/>
  <c r="A36" i="4"/>
  <c r="A11" i="4"/>
  <c r="A12" i="2" l="1"/>
  <c r="A12" i="3"/>
  <c r="A12" i="16"/>
  <c r="A12" i="6"/>
  <c r="A37" i="6"/>
  <c r="A37" i="16"/>
  <c r="A37" i="3"/>
  <c r="A12" i="4"/>
  <c r="A37" i="4"/>
  <c r="A13" i="2" l="1"/>
  <c r="A13" i="6"/>
  <c r="A13" i="16"/>
  <c r="A13" i="3"/>
  <c r="A38" i="3"/>
  <c r="A38" i="6"/>
  <c r="A38" i="16"/>
  <c r="A13" i="4"/>
  <c r="A38" i="4"/>
  <c r="E179" i="4"/>
  <c r="D179" i="4"/>
  <c r="K167" i="3"/>
  <c r="A14" i="2" l="1"/>
  <c r="A14" i="3"/>
  <c r="A14" i="6"/>
  <c r="A14" i="16"/>
  <c r="A39" i="16"/>
  <c r="A39" i="6"/>
  <c r="A39" i="3"/>
  <c r="O179" i="6"/>
  <c r="I179" i="16"/>
  <c r="J179" i="16" s="1"/>
  <c r="T179" i="6"/>
  <c r="F179" i="4"/>
  <c r="A14" i="4"/>
  <c r="A39" i="4"/>
  <c r="A15" i="2" l="1"/>
  <c r="A15" i="3"/>
  <c r="A15" i="16"/>
  <c r="A15" i="6"/>
  <c r="P179" i="6"/>
  <c r="A40" i="6"/>
  <c r="A40" i="16"/>
  <c r="A40" i="3"/>
  <c r="K179" i="16"/>
  <c r="L179" i="16" s="1"/>
  <c r="U179" i="6" s="1"/>
  <c r="A15" i="4"/>
  <c r="A40" i="4"/>
  <c r="A16" i="2" l="1"/>
  <c r="A16" i="16"/>
  <c r="A16" i="6"/>
  <c r="A16" i="3"/>
  <c r="V179" i="6"/>
  <c r="Q179" i="6"/>
  <c r="A41" i="3"/>
  <c r="A41" i="16"/>
  <c r="A41" i="6"/>
  <c r="A41" i="4"/>
  <c r="A16" i="4"/>
  <c r="A17" i="2" l="1"/>
  <c r="A17" i="16"/>
  <c r="A17" i="6"/>
  <c r="A17" i="3"/>
  <c r="W179" i="6"/>
  <c r="A42" i="16"/>
  <c r="A42" i="3"/>
  <c r="A42" i="6"/>
  <c r="A42" i="4"/>
  <c r="A17" i="4"/>
  <c r="A18" i="2" l="1"/>
  <c r="A18" i="3"/>
  <c r="A18" i="6"/>
  <c r="A18" i="16"/>
  <c r="X185" i="6"/>
  <c r="X99" i="6"/>
  <c r="A43" i="6"/>
  <c r="A43" i="16"/>
  <c r="A43" i="3"/>
  <c r="A18" i="4"/>
  <c r="A43" i="4"/>
  <c r="C3" i="4"/>
  <c r="C212" i="4" s="1"/>
  <c r="C3" i="3"/>
  <c r="C211" i="3" s="1"/>
  <c r="F3" i="6"/>
  <c r="F211" i="6" s="1"/>
  <c r="C3" i="16"/>
  <c r="C211" i="16" s="1"/>
  <c r="A19" i="2" l="1"/>
  <c r="A19" i="3"/>
  <c r="A19" i="6"/>
  <c r="A19" i="16"/>
  <c r="A44" i="16"/>
  <c r="A44" i="3"/>
  <c r="A44" i="6"/>
  <c r="A19" i="4"/>
  <c r="A44" i="4"/>
  <c r="K136" i="3"/>
  <c r="K40" i="3"/>
  <c r="E3" i="4"/>
  <c r="E212" i="4" s="1"/>
  <c r="D3" i="4"/>
  <c r="F3" i="3"/>
  <c r="F211" i="3" s="1"/>
  <c r="E3" i="3"/>
  <c r="E211" i="3" s="1"/>
  <c r="G3" i="3"/>
  <c r="G211" i="3" s="1"/>
  <c r="D3" i="3"/>
  <c r="D211" i="3" s="1"/>
  <c r="A20" i="2" l="1"/>
  <c r="A20" i="3"/>
  <c r="A20" i="16"/>
  <c r="A20" i="6"/>
  <c r="A45" i="3"/>
  <c r="A45" i="16"/>
  <c r="A45" i="6"/>
  <c r="G26" i="4"/>
  <c r="D212" i="4"/>
  <c r="A20" i="4"/>
  <c r="A45" i="4"/>
  <c r="M3" i="6"/>
  <c r="M211" i="6" s="1"/>
  <c r="T3" i="6"/>
  <c r="T211" i="6" s="1"/>
  <c r="R3" i="6"/>
  <c r="R211" i="6" s="1"/>
  <c r="H3" i="16"/>
  <c r="H211" i="16" s="1"/>
  <c r="L3" i="6"/>
  <c r="L211" i="6" s="1"/>
  <c r="G3" i="16"/>
  <c r="G211" i="16" s="1"/>
  <c r="K3" i="6"/>
  <c r="K211" i="6" s="1"/>
  <c r="J3" i="3"/>
  <c r="J211" i="3" s="1"/>
  <c r="F3" i="4"/>
  <c r="F212" i="4" s="1"/>
  <c r="I3" i="16"/>
  <c r="I211" i="16" s="1"/>
  <c r="O3" i="6"/>
  <c r="O211" i="6" s="1"/>
  <c r="M143" i="3"/>
  <c r="L143" i="3"/>
  <c r="A21" i="2" l="1"/>
  <c r="A21" i="3"/>
  <c r="A21" i="16"/>
  <c r="A21" i="6"/>
  <c r="A46" i="6"/>
  <c r="A46" i="3"/>
  <c r="A46" i="16"/>
  <c r="A21" i="4"/>
  <c r="A46" i="4"/>
  <c r="P3" i="6"/>
  <c r="P211" i="6" s="1"/>
  <c r="K143" i="3"/>
  <c r="R143" i="3" s="1"/>
  <c r="A22" i="2" l="1"/>
  <c r="A22" i="3"/>
  <c r="A22" i="16"/>
  <c r="A22" i="6"/>
  <c r="A47" i="3"/>
  <c r="A47" i="16"/>
  <c r="A47" i="6"/>
  <c r="A22" i="4"/>
  <c r="A47" i="4"/>
  <c r="A23" i="2" l="1"/>
  <c r="A23" i="6"/>
  <c r="A23" i="16"/>
  <c r="A23" i="3"/>
  <c r="A48" i="16"/>
  <c r="A48" i="6"/>
  <c r="A48" i="3"/>
  <c r="A23" i="4"/>
  <c r="A48" i="4"/>
  <c r="B212" i="4"/>
  <c r="A212" i="4"/>
  <c r="B211" i="16"/>
  <c r="A211" i="16"/>
  <c r="A24" i="2" l="1"/>
  <c r="A24" i="16"/>
  <c r="A24" i="3"/>
  <c r="A24" i="6"/>
  <c r="A49" i="6"/>
  <c r="A49" i="16"/>
  <c r="A49" i="3"/>
  <c r="A49" i="4"/>
  <c r="A24" i="4"/>
  <c r="A25" i="3" l="1"/>
  <c r="A25" i="6"/>
  <c r="A25" i="16"/>
  <c r="A50" i="3"/>
  <c r="A50" i="16"/>
  <c r="A50" i="6"/>
  <c r="A50" i="4"/>
  <c r="A25" i="4"/>
  <c r="A51" i="16" l="1"/>
  <c r="A51" i="6"/>
  <c r="A51" i="3"/>
  <c r="A51" i="4"/>
  <c r="H2" i="2"/>
  <c r="A52" i="16" l="1"/>
  <c r="A52" i="3"/>
  <c r="A52" i="6"/>
  <c r="A52" i="4"/>
  <c r="Y2" i="2"/>
  <c r="A53" i="6" l="1"/>
  <c r="A53" i="3"/>
  <c r="A53" i="16"/>
  <c r="M2" i="2"/>
  <c r="A53" i="4"/>
  <c r="H3" i="6"/>
  <c r="E3" i="16"/>
  <c r="A54" i="16" l="1"/>
  <c r="A54" i="3"/>
  <c r="A54" i="6"/>
  <c r="A54" i="4"/>
  <c r="J3" i="16"/>
  <c r="J3" i="6"/>
  <c r="Q3" i="6" s="1"/>
  <c r="A55" i="6" l="1"/>
  <c r="A55" i="3"/>
  <c r="A55" i="16"/>
  <c r="A55" i="4"/>
  <c r="K3" i="16"/>
  <c r="A56" i="3" l="1"/>
  <c r="A56" i="16"/>
  <c r="A56" i="6"/>
  <c r="A56" i="4"/>
  <c r="L3" i="16"/>
  <c r="A57" i="16" l="1"/>
  <c r="A57" i="3"/>
  <c r="A57" i="6"/>
  <c r="A57" i="4"/>
  <c r="U3" i="6"/>
  <c r="V3" i="6" s="1"/>
  <c r="W3" i="6" s="1"/>
  <c r="X26" i="6" s="1"/>
  <c r="Z26" i="6" s="1"/>
  <c r="A58" i="6" l="1"/>
  <c r="A58" i="3"/>
  <c r="A58" i="16"/>
  <c r="A58" i="4"/>
  <c r="O2" i="2"/>
  <c r="A59" i="6" l="1"/>
  <c r="A59" i="3"/>
  <c r="A59" i="16"/>
  <c r="A59" i="4"/>
  <c r="A60" i="6" l="1"/>
  <c r="A60" i="16"/>
  <c r="A60" i="3"/>
  <c r="A60" i="4"/>
  <c r="A61" i="3" l="1"/>
  <c r="A61" i="16"/>
  <c r="A61" i="6"/>
  <c r="A61" i="4"/>
  <c r="A62" i="16" l="1"/>
  <c r="A62" i="3"/>
  <c r="A62" i="6"/>
  <c r="A62" i="4"/>
  <c r="A63" i="6" l="1"/>
  <c r="A63" i="16"/>
  <c r="A63" i="3"/>
  <c r="A63" i="4"/>
  <c r="A64" i="16" l="1"/>
  <c r="A64" i="3"/>
  <c r="A64" i="6"/>
  <c r="A64" i="4"/>
  <c r="A65" i="3" l="1"/>
  <c r="A65" i="6"/>
  <c r="A65" i="16"/>
  <c r="A65" i="4"/>
  <c r="A66" i="6" l="1"/>
  <c r="A66" i="16"/>
  <c r="A66" i="3"/>
  <c r="A66" i="4"/>
  <c r="A67" i="16" l="1"/>
  <c r="A67" i="3"/>
  <c r="A67" i="6"/>
  <c r="A67" i="4"/>
  <c r="A68" i="16" l="1"/>
  <c r="A68" i="6"/>
  <c r="A68" i="3"/>
  <c r="A68" i="4"/>
  <c r="A69" i="3" l="1"/>
  <c r="A69" i="6"/>
  <c r="A69" i="16"/>
  <c r="A69" i="4"/>
  <c r="A70" i="6" l="1"/>
  <c r="A70" i="3"/>
  <c r="A70" i="16"/>
  <c r="A70" i="4"/>
  <c r="A71" i="16" l="1"/>
  <c r="A71" i="6"/>
  <c r="A71" i="3"/>
  <c r="A71" i="4"/>
  <c r="A74" i="16" l="1"/>
  <c r="A74" i="6"/>
  <c r="A74" i="3"/>
  <c r="A72" i="4"/>
  <c r="A75" i="6" l="1"/>
  <c r="A75" i="3"/>
  <c r="A75" i="16"/>
  <c r="A73" i="4"/>
  <c r="A76" i="3" l="1"/>
  <c r="A76" i="16"/>
  <c r="A76" i="6"/>
  <c r="A74" i="4"/>
  <c r="A77" i="6" l="1"/>
  <c r="A77" i="3"/>
  <c r="A77" i="16"/>
  <c r="A75" i="4"/>
  <c r="A78" i="3" l="1"/>
  <c r="A78" i="6"/>
  <c r="A78" i="16"/>
  <c r="A76" i="4"/>
  <c r="A79" i="3" l="1"/>
  <c r="A79" i="6"/>
  <c r="A79" i="16"/>
  <c r="A77" i="4"/>
  <c r="A80" i="6" l="1"/>
  <c r="A80" i="16"/>
  <c r="A80" i="3"/>
  <c r="A78" i="4"/>
  <c r="A81" i="6" l="1"/>
  <c r="A81" i="16"/>
  <c r="A81" i="3"/>
  <c r="A79" i="4"/>
  <c r="A82" i="3" l="1"/>
  <c r="A82" i="16"/>
  <c r="A82" i="6"/>
  <c r="A80" i="4"/>
  <c r="A83" i="6" l="1"/>
  <c r="A83" i="3"/>
  <c r="A83" i="16"/>
  <c r="A81" i="4"/>
  <c r="A84" i="3" l="1"/>
  <c r="A84" i="16"/>
  <c r="A84" i="6"/>
  <c r="A82" i="4"/>
  <c r="D45" i="18"/>
  <c r="A85" i="3" l="1"/>
  <c r="A85" i="6"/>
  <c r="A85" i="16"/>
  <c r="A83" i="4"/>
  <c r="D126" i="18"/>
  <c r="B126" i="18"/>
  <c r="B125" i="18"/>
  <c r="B124" i="18"/>
  <c r="B123" i="18"/>
  <c r="B122" i="18"/>
  <c r="B121" i="18"/>
  <c r="B120" i="18"/>
  <c r="B119" i="18"/>
  <c r="B118" i="18"/>
  <c r="B117" i="18"/>
  <c r="B116" i="18"/>
  <c r="B115" i="18"/>
  <c r="B114" i="18"/>
  <c r="B113" i="18"/>
  <c r="B112" i="18"/>
  <c r="B111" i="18"/>
  <c r="B110" i="18"/>
  <c r="B109" i="18"/>
  <c r="B108" i="18"/>
  <c r="B107" i="18"/>
  <c r="B106" i="18"/>
  <c r="B105" i="18"/>
  <c r="B104" i="18"/>
  <c r="B103" i="18"/>
  <c r="B102" i="18"/>
  <c r="B101" i="18"/>
  <c r="B100" i="18"/>
  <c r="B99" i="18"/>
  <c r="B98" i="18"/>
  <c r="B97" i="18"/>
  <c r="B96" i="18"/>
  <c r="B95" i="18"/>
  <c r="B94" i="18"/>
  <c r="B93" i="18"/>
  <c r="B92" i="18"/>
  <c r="B91" i="18"/>
  <c r="B90" i="18"/>
  <c r="B89" i="18"/>
  <c r="B88" i="18"/>
  <c r="B87" i="18"/>
  <c r="B85" i="18"/>
  <c r="B84" i="18"/>
  <c r="B83" i="18"/>
  <c r="B82" i="18"/>
  <c r="B81" i="18"/>
  <c r="B80" i="18"/>
  <c r="B79" i="18"/>
  <c r="B78" i="18"/>
  <c r="B77" i="18"/>
  <c r="B76" i="18"/>
  <c r="B75" i="18"/>
  <c r="B74" i="18"/>
  <c r="B73" i="18"/>
  <c r="B72" i="18"/>
  <c r="B71" i="18"/>
  <c r="B70" i="18"/>
  <c r="B69" i="18"/>
  <c r="B68" i="18"/>
  <c r="B67" i="18"/>
  <c r="B66" i="18"/>
  <c r="B65" i="18"/>
  <c r="B64" i="18"/>
  <c r="B63" i="18"/>
  <c r="B62" i="18"/>
  <c r="B61" i="18"/>
  <c r="B60" i="18"/>
  <c r="B59" i="18"/>
  <c r="B58" i="18"/>
  <c r="B57" i="18"/>
  <c r="B56" i="18"/>
  <c r="B55" i="18"/>
  <c r="B54" i="18"/>
  <c r="B53" i="18"/>
  <c r="B52" i="18"/>
  <c r="B51" i="18"/>
  <c r="B50" i="18"/>
  <c r="B49" i="18"/>
  <c r="B48" i="18"/>
  <c r="B47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B4" i="18"/>
  <c r="B3" i="18"/>
  <c r="A86" i="6" l="1"/>
  <c r="A86" i="16"/>
  <c r="A86" i="3"/>
  <c r="A84" i="4"/>
  <c r="A87" i="6" l="1"/>
  <c r="A87" i="16"/>
  <c r="A87" i="3"/>
  <c r="A85" i="4"/>
  <c r="A88" i="3" l="1"/>
  <c r="A88" i="6"/>
  <c r="A88" i="16"/>
  <c r="A86" i="4"/>
  <c r="A89" i="16" l="1"/>
  <c r="A89" i="6"/>
  <c r="A89" i="3"/>
  <c r="A87" i="4"/>
  <c r="A90" i="6" l="1"/>
  <c r="A90" i="16"/>
  <c r="A90" i="3"/>
  <c r="A88" i="4"/>
  <c r="A91" i="3" l="1"/>
  <c r="A91" i="16"/>
  <c r="A91" i="6"/>
  <c r="A89" i="4"/>
  <c r="A92" i="3" l="1"/>
  <c r="A92" i="16"/>
  <c r="A92" i="6"/>
  <c r="A90" i="4"/>
  <c r="A93" i="6" l="1"/>
  <c r="A93" i="3"/>
  <c r="A93" i="16"/>
  <c r="A91" i="4"/>
  <c r="A94" i="6" l="1"/>
  <c r="A94" i="16"/>
  <c r="A94" i="3"/>
  <c r="A92" i="4"/>
  <c r="A95" i="6" l="1"/>
  <c r="A95" i="16"/>
  <c r="A95" i="3"/>
  <c r="A93" i="4"/>
  <c r="A96" i="3" l="1"/>
  <c r="A96" i="6"/>
  <c r="A96" i="16"/>
  <c r="A94" i="4"/>
  <c r="A97" i="6" l="1"/>
  <c r="A97" i="16"/>
  <c r="A97" i="3"/>
  <c r="A95" i="4"/>
  <c r="A98" i="6" l="1"/>
  <c r="A98" i="3"/>
  <c r="A98" i="16"/>
  <c r="A180" i="16"/>
  <c r="A180" i="6"/>
  <c r="A180" i="4"/>
  <c r="A180" i="3"/>
  <c r="A103" i="3"/>
  <c r="A103" i="6"/>
  <c r="A103" i="16"/>
  <c r="A96" i="4"/>
  <c r="A103" i="4"/>
  <c r="N143" i="3"/>
  <c r="O143" i="3"/>
  <c r="Q143" i="3"/>
  <c r="A99" i="3" l="1"/>
  <c r="A99" i="16"/>
  <c r="A99" i="6"/>
  <c r="A181" i="6"/>
  <c r="A181" i="4"/>
  <c r="A181" i="16"/>
  <c r="A181" i="3"/>
  <c r="A104" i="6"/>
  <c r="A104" i="16"/>
  <c r="A104" i="3"/>
  <c r="A104" i="4"/>
  <c r="A97" i="4"/>
  <c r="A182" i="6" l="1"/>
  <c r="A182" i="3"/>
  <c r="A182" i="16"/>
  <c r="A182" i="4"/>
  <c r="A105" i="16"/>
  <c r="A105" i="3"/>
  <c r="A105" i="6"/>
  <c r="A105" i="4"/>
  <c r="A98" i="4"/>
  <c r="A183" i="6" l="1"/>
  <c r="A183" i="3"/>
  <c r="A183" i="16"/>
  <c r="A183" i="4"/>
  <c r="A106" i="3"/>
  <c r="A106" i="6"/>
  <c r="A106" i="16"/>
  <c r="A99" i="4"/>
  <c r="A106" i="4"/>
  <c r="A184" i="16" l="1"/>
  <c r="A184" i="3"/>
  <c r="A184" i="6"/>
  <c r="A184" i="4"/>
  <c r="A107" i="3"/>
  <c r="A107" i="6"/>
  <c r="A107" i="16"/>
  <c r="A107" i="4"/>
  <c r="A185" i="16" l="1"/>
  <c r="A185" i="6"/>
  <c r="A185" i="4"/>
  <c r="A185" i="3"/>
  <c r="A108" i="16"/>
  <c r="A108" i="6"/>
  <c r="A108" i="3"/>
  <c r="A108" i="4"/>
  <c r="A109" i="3" l="1"/>
  <c r="A109" i="6"/>
  <c r="A109" i="16"/>
  <c r="A109" i="4"/>
  <c r="A110" i="6" l="1"/>
  <c r="A110" i="3"/>
  <c r="A110" i="16"/>
  <c r="A110" i="4"/>
  <c r="A111" i="16" l="1"/>
  <c r="A111" i="3"/>
  <c r="A111" i="6"/>
  <c r="A111" i="4"/>
  <c r="A112" i="16" l="1"/>
  <c r="A112" i="6"/>
  <c r="A112" i="3"/>
  <c r="A112" i="4"/>
  <c r="A113" i="16" l="1"/>
  <c r="A113" i="6"/>
  <c r="A113" i="3"/>
  <c r="A113" i="4"/>
  <c r="A114" i="16" l="1"/>
  <c r="A114" i="3"/>
  <c r="A114" i="6"/>
  <c r="A114" i="4"/>
  <c r="A115" i="6" l="1"/>
  <c r="A115" i="16"/>
  <c r="A115" i="3"/>
  <c r="A115" i="4"/>
  <c r="A116" i="3" l="1"/>
  <c r="A116" i="6"/>
  <c r="A116" i="16"/>
  <c r="A116" i="4"/>
  <c r="A117" i="16" l="1"/>
  <c r="A117" i="3"/>
  <c r="A117" i="6"/>
  <c r="A117" i="4"/>
  <c r="A118" i="3" l="1"/>
  <c r="A118" i="6"/>
  <c r="A118" i="16"/>
  <c r="A118" i="4"/>
  <c r="A119" i="3" l="1"/>
  <c r="A119" i="16"/>
  <c r="A119" i="6"/>
  <c r="A119" i="4"/>
  <c r="A120" i="16" l="1"/>
  <c r="A120" i="3"/>
  <c r="A120" i="6"/>
  <c r="A120" i="4"/>
  <c r="A121" i="3" l="1"/>
  <c r="A121" i="6"/>
  <c r="A121" i="16"/>
  <c r="A121" i="4"/>
  <c r="A122" i="6" l="1"/>
  <c r="A122" i="16"/>
  <c r="A122" i="3"/>
  <c r="A122" i="4"/>
  <c r="A123" i="16" l="1"/>
  <c r="A123" i="3"/>
  <c r="A123" i="6"/>
  <c r="A123" i="4"/>
  <c r="A124" i="3" l="1"/>
  <c r="A124" i="6"/>
  <c r="A124" i="16"/>
  <c r="A124" i="4"/>
  <c r="A125" i="16" l="1"/>
  <c r="A125" i="3"/>
  <c r="A125" i="6"/>
  <c r="A125" i="4"/>
  <c r="A126" i="16" l="1"/>
  <c r="A126" i="6"/>
  <c r="A126" i="3"/>
  <c r="A126" i="4"/>
  <c r="A127" i="3" l="1"/>
  <c r="A127" i="16"/>
  <c r="A127" i="6"/>
  <c r="A127" i="4"/>
  <c r="A128" i="3" l="1"/>
  <c r="A128" i="6"/>
  <c r="A128" i="16"/>
  <c r="A128" i="4"/>
  <c r="A129" i="6" l="1"/>
  <c r="A129" i="16"/>
  <c r="A129" i="3"/>
  <c r="A129" i="4"/>
  <c r="A130" i="16" l="1"/>
  <c r="A130" i="3"/>
  <c r="A130" i="6"/>
  <c r="A130" i="4"/>
  <c r="A131" i="16" l="1"/>
  <c r="A131" i="6"/>
  <c r="A131" i="3"/>
  <c r="A131" i="4"/>
  <c r="A132" i="16" l="1"/>
  <c r="A132" i="6"/>
  <c r="A132" i="3"/>
  <c r="A132" i="4"/>
  <c r="A133" i="6" l="1"/>
  <c r="A133" i="16"/>
  <c r="A133" i="3"/>
  <c r="A133" i="4"/>
  <c r="A134" i="3" l="1"/>
  <c r="A134" i="16"/>
  <c r="A134" i="6"/>
  <c r="A134" i="4"/>
  <c r="A135" i="6" l="1"/>
  <c r="A135" i="3"/>
  <c r="A135" i="16"/>
  <c r="A135" i="4"/>
  <c r="A136" i="6" l="1"/>
  <c r="A136" i="3"/>
  <c r="A136" i="16"/>
  <c r="A136" i="4"/>
  <c r="A137" i="3" l="1"/>
  <c r="A137" i="6"/>
  <c r="A137" i="16"/>
  <c r="A137" i="4"/>
  <c r="H195" i="6" l="1"/>
  <c r="J195" i="6" l="1"/>
  <c r="H211" i="6"/>
  <c r="E195" i="16"/>
  <c r="J211" i="6" l="1"/>
  <c r="Q195" i="6"/>
  <c r="Q211" i="6" s="1"/>
  <c r="E211" i="16"/>
  <c r="J195" i="16"/>
  <c r="J211" i="16" l="1"/>
  <c r="K195" i="16"/>
  <c r="K211" i="16" l="1"/>
  <c r="L195" i="16"/>
  <c r="U195" i="6" l="1"/>
  <c r="L211" i="16"/>
  <c r="V195" i="6" l="1"/>
  <c r="U211" i="6"/>
  <c r="V211" i="6" l="1"/>
  <c r="W195" i="6"/>
  <c r="X210" i="6" l="1"/>
  <c r="X211" i="6"/>
  <c r="Z211" i="6" s="1"/>
  <c r="W211" i="6"/>
  <c r="W213" i="6"/>
</calcChain>
</file>

<file path=xl/sharedStrings.xml><?xml version="1.0" encoding="utf-8"?>
<sst xmlns="http://schemas.openxmlformats.org/spreadsheetml/2006/main" count="497" uniqueCount="144">
  <si>
    <t>BPJS KESEHATAN</t>
  </si>
  <si>
    <t>PENGHASILAN TIDAK KENA PAJAK</t>
  </si>
  <si>
    <t>Batas Minimal Upah</t>
  </si>
  <si>
    <t>TK/0 - Tidak kawin, 0 Tanggungan</t>
  </si>
  <si>
    <t>Batas Maksimal Upah</t>
  </si>
  <si>
    <t>TK/1 - Tidak kawin, 1 Tanggungan</t>
  </si>
  <si>
    <t>Ditanggung Pemberi Kerja</t>
  </si>
  <si>
    <t>TK/2 - Tidak kawin, 2 Tanggungan</t>
  </si>
  <si>
    <t>Ditanggung Tenaga Kerja</t>
  </si>
  <si>
    <t>TK/3 - Tidak kawin, 3 Tanggungan</t>
  </si>
  <si>
    <t>K/0 - Kawin, 0 Tanggungan</t>
  </si>
  <si>
    <t>BPJS KETENAGAKERJAAN</t>
  </si>
  <si>
    <t>K/1 - Kawin, 1 Tanggungan</t>
  </si>
  <si>
    <t>Batas Maksimal Upah (JP)</t>
  </si>
  <si>
    <t>K/2 - Kawin, 2 Tanggungan</t>
  </si>
  <si>
    <t>Jaminan Kecelakaan Kerja</t>
  </si>
  <si>
    <t>K/3 - Kawin, 3 Tanggungan</t>
  </si>
  <si>
    <t>Jaminan Kematian</t>
  </si>
  <si>
    <t>JHT Ditanggung Pemberi Kerja</t>
  </si>
  <si>
    <t>JHT Ditanggung Tenaga Kerja</t>
  </si>
  <si>
    <t>JP Ditanggung Pemberi Kerja</t>
  </si>
  <si>
    <t>JP Ditanggung Tenaga Kerja</t>
  </si>
  <si>
    <t>No</t>
  </si>
  <si>
    <t>Nama Tenaga Kerja</t>
  </si>
  <si>
    <t>NIP</t>
  </si>
  <si>
    <t>Jabatan</t>
  </si>
  <si>
    <t>Divisi</t>
  </si>
  <si>
    <t>Status Perpajakan</t>
  </si>
  <si>
    <t>Didaftarkan BPJS TK</t>
  </si>
  <si>
    <t>Didaftarkan BPJS Kes</t>
  </si>
  <si>
    <t>Gaji</t>
  </si>
  <si>
    <t>THR, Bonus</t>
  </si>
  <si>
    <t>Upah yang Didaftarkan</t>
  </si>
  <si>
    <t>Iuran JKK</t>
  </si>
  <si>
    <t>Iuran JKM</t>
  </si>
  <si>
    <t>Iuran Jaminan Hari Tua</t>
  </si>
  <si>
    <t>Iuran Jaminan Pensiun</t>
  </si>
  <si>
    <t>Total</t>
  </si>
  <si>
    <t>Pemberi Kerja</t>
  </si>
  <si>
    <t>Tenaga Kerja</t>
  </si>
  <si>
    <t>TOTAL</t>
  </si>
  <si>
    <t>Iuran BPJS Kesehatan</t>
  </si>
  <si>
    <t>Nama</t>
  </si>
  <si>
    <t>Gaji Pokok</t>
  </si>
  <si>
    <t>Iuran JHT</t>
  </si>
  <si>
    <t>Iuran Pensiun</t>
  </si>
  <si>
    <t>JKK</t>
  </si>
  <si>
    <t>JKM</t>
  </si>
  <si>
    <t>BPJS Kesehatan</t>
  </si>
  <si>
    <t>Penerimaan</t>
  </si>
  <si>
    <t>Jumlah Gaji Kotor</t>
  </si>
  <si>
    <t>Jumlah</t>
  </si>
  <si>
    <t>Jumlah Manfaat</t>
  </si>
  <si>
    <t>Jumlah Potongan</t>
  </si>
  <si>
    <t>Jumlah Gaji Bersih</t>
  </si>
  <si>
    <t>Tunj. Tetap</t>
  </si>
  <si>
    <t>JHT</t>
  </si>
  <si>
    <t>JP</t>
  </si>
  <si>
    <t>BPJS Kes</t>
  </si>
  <si>
    <t>PPh 21</t>
  </si>
  <si>
    <t>THP</t>
  </si>
  <si>
    <t>Natura, Dll</t>
  </si>
  <si>
    <t>Tarif Efektif</t>
  </si>
  <si>
    <t>Jum. Penghasilan Bruto Bulanan</t>
  </si>
  <si>
    <t>KATEGORI A</t>
  </si>
  <si>
    <t>KATEGORI B</t>
  </si>
  <si>
    <t>KATEGORI C</t>
  </si>
  <si>
    <t>KATEGORI</t>
  </si>
  <si>
    <t>TARIF</t>
  </si>
  <si>
    <t>PPh Psl 21 Terhutang</t>
  </si>
  <si>
    <t>K/3</t>
  </si>
  <si>
    <t>K/2</t>
  </si>
  <si>
    <t>TK/0</t>
  </si>
  <si>
    <t>K/1</t>
  </si>
  <si>
    <t>s.d</t>
  </si>
  <si>
    <t>TK/1</t>
  </si>
  <si>
    <t>PENGHASILAN BRUTO</t>
  </si>
  <si>
    <t>NPWP</t>
  </si>
  <si>
    <t>Ya</t>
  </si>
  <si>
    <t>Nik</t>
  </si>
  <si>
    <t>Potongan (beban karyawan)</t>
  </si>
  <si>
    <t>ABDUL HALIM</t>
  </si>
  <si>
    <t>222020</t>
  </si>
  <si>
    <t>lembur,THR, Bonus</t>
  </si>
  <si>
    <t xml:space="preserve">Tunjangan tetap </t>
  </si>
  <si>
    <t>lembur, THR. Bonus</t>
  </si>
  <si>
    <t>TTL LBR</t>
  </si>
  <si>
    <t>LBR 1 X 1,5=….x1,5x1/173xgp/k.4 (klo ada tunj tetap)</t>
  </si>
  <si>
    <t>LBR 3 X 3=….x3x1/173xgp/k.4(klo ada tunj tetap)</t>
  </si>
  <si>
    <t>LBR 2 X 2=….x2x1/173xgp/k.4 (klo ada tunj tetap)</t>
  </si>
  <si>
    <t>`</t>
  </si>
  <si>
    <t>LBR 4X 4=….x3x1/173xgp/k.4(klo ada tunj tetap)</t>
  </si>
  <si>
    <t>SRI ASLINDA</t>
  </si>
  <si>
    <t>RAFLY RAHMADAN GOBEL</t>
  </si>
  <si>
    <t>K262009</t>
  </si>
  <si>
    <t>K252070</t>
  </si>
  <si>
    <t>RAHMAT HIDAYAT</t>
  </si>
  <si>
    <t>REZA NURHIDAYAT</t>
  </si>
  <si>
    <t>MUHAMMAD ANSHAR A</t>
  </si>
  <si>
    <t>IKA JULITA</t>
  </si>
  <si>
    <t>FAJAR SHADIQ HERNANDA</t>
  </si>
  <si>
    <t>BAGUS DWI ARISTA</t>
  </si>
  <si>
    <t>K262015</t>
  </si>
  <si>
    <t>K262020</t>
  </si>
  <si>
    <t>K262021</t>
  </si>
  <si>
    <t>K262022</t>
  </si>
  <si>
    <t>K262023</t>
  </si>
  <si>
    <t>K262024</t>
  </si>
  <si>
    <t>K262027</t>
  </si>
  <si>
    <t>ARYABAYA SRIPATI</t>
  </si>
  <si>
    <t>SITI AISYAH</t>
  </si>
  <si>
    <t>YUDI BISMANTAKA</t>
  </si>
  <si>
    <t>K262049</t>
  </si>
  <si>
    <t>WARDY</t>
  </si>
  <si>
    <t>K262056</t>
  </si>
  <si>
    <t>HANDRI PANGESTU</t>
  </si>
  <si>
    <t>K262057</t>
  </si>
  <si>
    <t>MUHAMMAD BAYU ARDIANTO</t>
  </si>
  <si>
    <t>K262058</t>
  </si>
  <si>
    <t>MUHAMMAD ZETYO D.H</t>
  </si>
  <si>
    <t>K262060</t>
  </si>
  <si>
    <t>PLKS. LINGK &amp; MUK</t>
  </si>
  <si>
    <t>MUHAMMAD HIDAYATULLAH</t>
  </si>
  <si>
    <t>K262061</t>
  </si>
  <si>
    <t>PLKS PNM &amp; PML</t>
  </si>
  <si>
    <t>ALYA JUNIANTI PRATIWI</t>
  </si>
  <si>
    <t>K262062</t>
  </si>
  <si>
    <t>PLKS SDM DAN UMUM</t>
  </si>
  <si>
    <t>MUAMMAR AKRAM</t>
  </si>
  <si>
    <t>K262065</t>
  </si>
  <si>
    <t>PLKS PERENCANAAN</t>
  </si>
  <si>
    <t>K262066</t>
  </si>
  <si>
    <t>OP EXCA MUK</t>
  </si>
  <si>
    <t>DARMAWAN SYAH</t>
  </si>
  <si>
    <t>K262072</t>
  </si>
  <si>
    <t>ARIF GUNAWAN</t>
  </si>
  <si>
    <t>K262078</t>
  </si>
  <si>
    <t>ACHMAD RENALDI</t>
  </si>
  <si>
    <t>K262076</t>
  </si>
  <si>
    <t>JURMAS</t>
  </si>
  <si>
    <t>PLKS UMUM DRIVER MUK</t>
  </si>
  <si>
    <t>PLKS PAMHUTSOS</t>
  </si>
  <si>
    <t>MARIYAM</t>
  </si>
  <si>
    <t>aku buat sendiri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</si>
</sst>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6" formatCode="_(* #,##0_);_(* \(#,##0\);_(* &quot;-&quot;??_);_(@_)"/>
    <numFmt numFmtId="170" formatCode="_(* #,##0.00_);_(* \(#,##0.00\);_(* &quot;-&quot;_);_(@_)"/>
    <numFmt numFmtId="171" formatCode="_-* #,##0_-;\-* #,##0_-;_-* &quot;-&quot;??_-;_-@_-"/>
    <numFmt numFmtId="172" formatCode="_(* #,##0.00_);_(* \(#,##0.00\);_(* \-??_);_(@_)"/>
    <numFmt numFmtId="173" formatCode="_-* #,##0.0_-;\-* #,##0.0_-;_-* &quot;-&quot;??_-;_-@_-"/>
  </numFmts>
  <fonts count="45">
    <font>
      <sz val="11"/>
      <color theme="1"/>
      <name val="Arial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rgb="FF000000"/>
      <name val="Adelle Sans Devanagari Regular"/>
    </font>
    <font>
      <sz val="12"/>
      <color rgb="FF000000"/>
      <name val="Adelle Sans Devanagari Regular"/>
    </font>
    <font>
      <sz val="12"/>
      <color theme="1"/>
      <name val="Adelle Sans Devanagari Regular"/>
    </font>
    <font>
      <b/>
      <sz val="12"/>
      <color theme="1"/>
      <name val="Adelle Sans Devanagari Regular"/>
    </font>
    <font>
      <sz val="12"/>
      <name val="Adelle Sans Devanagari Regular"/>
    </font>
    <font>
      <sz val="12"/>
      <color theme="0"/>
      <name val="Adelle Sans Devanagari Regular"/>
    </font>
    <font>
      <b/>
      <sz val="12"/>
      <color theme="0"/>
      <name val="Adelle Sans Devanagari Regular"/>
    </font>
    <font>
      <sz val="8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b/>
      <sz val="14"/>
      <color rgb="FF000000"/>
      <name val="Arial Narrow"/>
      <family val="2"/>
    </font>
    <font>
      <sz val="14"/>
      <color theme="1"/>
      <name val="Arial Narrow"/>
      <family val="2"/>
    </font>
    <font>
      <sz val="14"/>
      <name val="Arial Narrow"/>
      <family val="2"/>
    </font>
    <font>
      <b/>
      <sz val="14"/>
      <color theme="1"/>
      <name val="Arial Narrow"/>
      <family val="2"/>
    </font>
    <font>
      <b/>
      <sz val="14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theme="1"/>
      <name val="Arial"/>
      <family val="2"/>
    </font>
    <font>
      <sz val="11"/>
      <name val="Arial Narrow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u/>
      <sz val="10"/>
      <color indexed="12"/>
      <name val="Arial"/>
      <family val="2"/>
    </font>
    <font>
      <sz val="12"/>
      <name val="Arial"/>
      <family val="2"/>
    </font>
    <font>
      <sz val="10"/>
      <color indexed="8"/>
      <name val="MS Sans Serif"/>
    </font>
    <font>
      <b/>
      <sz val="10"/>
      <color indexed="8"/>
      <name val="Arial Narrow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 Narrow"/>
      <family val="2"/>
    </font>
    <font>
      <sz val="10"/>
      <color indexed="8"/>
      <name val="MS Sans Serif"/>
      <family val="2"/>
    </font>
    <font>
      <b/>
      <sz val="9.85"/>
      <color indexed="8"/>
      <name val="Arial Narrow"/>
      <family val="2"/>
    </font>
    <font>
      <b/>
      <sz val="11"/>
      <color indexed="8"/>
      <name val="Arial Narrow"/>
      <family val="2"/>
    </font>
    <font>
      <b/>
      <sz val="11"/>
      <color rgb="FF000000"/>
      <name val="Arial Narrow"/>
      <family val="2"/>
    </font>
    <font>
      <sz val="11"/>
      <color indexed="8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theme="1"/>
      <name val="Aptos Narrow"/>
      <family val="2"/>
    </font>
    <font>
      <sz val="8"/>
      <color rgb="FFFF0000"/>
      <name val="Arial Narrow"/>
      <family val="2"/>
    </font>
    <font>
      <sz val="11"/>
      <name val="Aptos Narrow"/>
      <family val="2"/>
    </font>
    <font>
      <sz val="14"/>
      <color rgb="FFFF0000"/>
      <name val="Arial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rgb="FF00FF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B6D7A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B6D7A8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00FF00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917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3" fillId="0" borderId="0"/>
    <xf numFmtId="0" fontId="13" fillId="0" borderId="0"/>
    <xf numFmtId="43" fontId="22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31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43" fontId="14" fillId="0" borderId="0" applyFont="0" applyFill="0" applyBorder="0" applyAlignment="0" applyProtection="0"/>
    <xf numFmtId="172" fontId="26" fillId="0" borderId="0" applyFill="0" applyBorder="0" applyAlignment="0" applyProtection="0"/>
    <xf numFmtId="172" fontId="26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/>
    <xf numFmtId="0" fontId="29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14" fillId="0" borderId="0"/>
    <xf numFmtId="0" fontId="26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27" fillId="0" borderId="0"/>
    <xf numFmtId="0" fontId="26" fillId="0" borderId="0"/>
    <xf numFmtId="0" fontId="30" fillId="0" borderId="0"/>
    <xf numFmtId="0" fontId="26" fillId="0" borderId="0"/>
    <xf numFmtId="9" fontId="14" fillId="0" borderId="0" applyFont="0" applyFill="0" applyBorder="0" applyAlignment="0" applyProtection="0"/>
    <xf numFmtId="43" fontId="33" fillId="0" borderId="0" applyFont="0" applyFill="0" applyBorder="0" applyAlignment="0" applyProtection="0"/>
    <xf numFmtId="41" fontId="33" fillId="0" borderId="0" applyFont="0" applyFill="0" applyBorder="0" applyAlignment="0" applyProtection="0"/>
    <xf numFmtId="41" fontId="35" fillId="0" borderId="0" applyFont="0" applyFill="0" applyBorder="0" applyAlignment="0" applyProtection="0"/>
    <xf numFmtId="0" fontId="34" fillId="0" borderId="0"/>
    <xf numFmtId="0" fontId="2" fillId="0" borderId="0"/>
    <xf numFmtId="41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4" fillId="0" borderId="0"/>
    <xf numFmtId="43" fontId="2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6" fillId="0" borderId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72" fontId="26" fillId="0" borderId="0" applyFill="0" applyBorder="0" applyAlignment="0" applyProtection="0"/>
    <xf numFmtId="0" fontId="2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274">
    <xf numFmtId="0" fontId="0" fillId="0" borderId="0" xfId="0"/>
    <xf numFmtId="0" fontId="6" fillId="0" borderId="3" xfId="0" applyFont="1" applyBorder="1"/>
    <xf numFmtId="3" fontId="7" fillId="0" borderId="3" xfId="0" applyNumberFormat="1" applyFont="1" applyBorder="1"/>
    <xf numFmtId="0" fontId="7" fillId="0" borderId="3" xfId="0" applyFont="1" applyBorder="1"/>
    <xf numFmtId="9" fontId="7" fillId="0" borderId="3" xfId="0" applyNumberFormat="1" applyFont="1" applyBorder="1"/>
    <xf numFmtId="0" fontId="7" fillId="0" borderId="0" xfId="0" applyFont="1"/>
    <xf numFmtId="10" fontId="7" fillId="0" borderId="3" xfId="0" applyNumberFormat="1" applyFont="1" applyBorder="1"/>
    <xf numFmtId="0" fontId="7" fillId="0" borderId="0" xfId="6" applyFont="1"/>
    <xf numFmtId="166" fontId="8" fillId="0" borderId="0" xfId="7" applyNumberFormat="1" applyFont="1" applyAlignment="1">
      <alignment horizontal="center"/>
    </xf>
    <xf numFmtId="166" fontId="7" fillId="0" borderId="0" xfId="7" applyNumberFormat="1" applyFont="1"/>
    <xf numFmtId="0" fontId="7" fillId="0" borderId="15" xfId="6" applyFont="1" applyBorder="1"/>
    <xf numFmtId="166" fontId="7" fillId="0" borderId="15" xfId="7" applyNumberFormat="1" applyFont="1" applyBorder="1"/>
    <xf numFmtId="0" fontId="7" fillId="0" borderId="15" xfId="6" applyFont="1" applyBorder="1" applyAlignment="1">
      <alignment horizontal="center"/>
    </xf>
    <xf numFmtId="9" fontId="7" fillId="0" borderId="0" xfId="6" applyNumberFormat="1" applyFont="1"/>
    <xf numFmtId="10" fontId="7" fillId="0" borderId="0" xfId="6" applyNumberFormat="1" applyFont="1"/>
    <xf numFmtId="166" fontId="7" fillId="0" borderId="15" xfId="7" applyNumberFormat="1" applyFont="1" applyBorder="1" applyAlignment="1"/>
    <xf numFmtId="166" fontId="7" fillId="0" borderId="15" xfId="7" applyNumberFormat="1" applyFont="1" applyBorder="1" applyAlignment="1">
      <alignment horizontal="centerContinuous"/>
    </xf>
    <xf numFmtId="10" fontId="7" fillId="0" borderId="15" xfId="5" applyNumberFormat="1" applyFont="1" applyBorder="1"/>
    <xf numFmtId="10" fontId="7" fillId="0" borderId="0" xfId="5" applyNumberFormat="1" applyFont="1"/>
    <xf numFmtId="0" fontId="8" fillId="3" borderId="15" xfId="6" applyFont="1" applyFill="1" applyBorder="1" applyAlignment="1">
      <alignment horizontal="center"/>
    </xf>
    <xf numFmtId="10" fontId="8" fillId="3" borderId="15" xfId="5" applyNumberFormat="1" applyFont="1" applyFill="1" applyBorder="1" applyAlignment="1">
      <alignment horizontal="center"/>
    </xf>
    <xf numFmtId="164" fontId="7" fillId="0" borderId="3" xfId="1" applyFont="1" applyBorder="1"/>
    <xf numFmtId="0" fontId="16" fillId="0" borderId="0" xfId="0" applyFont="1" applyProtection="1">
      <protection hidden="1"/>
    </xf>
    <xf numFmtId="0" fontId="16" fillId="0" borderId="3" xfId="0" applyFont="1" applyBorder="1" applyAlignment="1" applyProtection="1">
      <alignment horizontal="center"/>
      <protection hidden="1"/>
    </xf>
    <xf numFmtId="0" fontId="17" fillId="0" borderId="3" xfId="0" applyFont="1" applyBorder="1" applyAlignment="1" applyProtection="1">
      <alignment horizontal="left"/>
      <protection hidden="1"/>
    </xf>
    <xf numFmtId="0" fontId="16" fillId="0" borderId="0" xfId="0" applyFont="1" applyAlignment="1" applyProtection="1">
      <alignment horizontal="center"/>
      <protection hidden="1"/>
    </xf>
    <xf numFmtId="3" fontId="16" fillId="0" borderId="0" xfId="0" applyNumberFormat="1" applyFont="1" applyProtection="1">
      <protection hidden="1"/>
    </xf>
    <xf numFmtId="3" fontId="15" fillId="2" borderId="3" xfId="0" applyNumberFormat="1" applyFont="1" applyFill="1" applyBorder="1" applyAlignment="1" applyProtection="1">
      <alignment horizontal="center" wrapText="1"/>
      <protection hidden="1"/>
    </xf>
    <xf numFmtId="0" fontId="16" fillId="0" borderId="3" xfId="0" applyFont="1" applyBorder="1" applyAlignment="1" applyProtection="1">
      <alignment horizontal="left"/>
      <protection hidden="1"/>
    </xf>
    <xf numFmtId="0" fontId="16" fillId="3" borderId="3" xfId="0" applyFont="1" applyFill="1" applyBorder="1" applyAlignment="1" applyProtection="1">
      <alignment horizontal="center"/>
      <protection hidden="1"/>
    </xf>
    <xf numFmtId="0" fontId="18" fillId="2" borderId="3" xfId="0" applyFont="1" applyFill="1" applyBorder="1" applyAlignment="1" applyProtection="1">
      <alignment horizontal="center"/>
      <protection hidden="1"/>
    </xf>
    <xf numFmtId="164" fontId="18" fillId="2" borderId="3" xfId="1" applyFont="1" applyFill="1" applyBorder="1" applyProtection="1">
      <protection hidden="1"/>
    </xf>
    <xf numFmtId="164" fontId="16" fillId="0" borderId="0" xfId="1" applyFont="1" applyProtection="1">
      <protection hidden="1"/>
    </xf>
    <xf numFmtId="3" fontId="15" fillId="2" borderId="3" xfId="0" applyNumberFormat="1" applyFont="1" applyFill="1" applyBorder="1" applyAlignment="1" applyProtection="1">
      <alignment horizontal="center"/>
      <protection hidden="1"/>
    </xf>
    <xf numFmtId="164" fontId="15" fillId="2" borderId="3" xfId="1" applyFont="1" applyFill="1" applyBorder="1" applyAlignment="1" applyProtection="1">
      <alignment horizontal="center"/>
      <protection hidden="1"/>
    </xf>
    <xf numFmtId="164" fontId="18" fillId="2" borderId="3" xfId="1" applyFont="1" applyFill="1" applyBorder="1" applyAlignment="1" applyProtection="1">
      <alignment horizontal="center"/>
      <protection hidden="1"/>
    </xf>
    <xf numFmtId="3" fontId="18" fillId="2" borderId="3" xfId="0" applyNumberFormat="1" applyFont="1" applyFill="1" applyBorder="1" applyAlignment="1" applyProtection="1">
      <alignment horizontal="center"/>
      <protection hidden="1"/>
    </xf>
    <xf numFmtId="0" fontId="15" fillId="2" borderId="3" xfId="0" applyFont="1" applyFill="1" applyBorder="1" applyAlignment="1" applyProtection="1">
      <alignment horizontal="center"/>
      <protection hidden="1"/>
    </xf>
    <xf numFmtId="164" fontId="18" fillId="2" borderId="3" xfId="1" applyFont="1" applyFill="1" applyBorder="1" applyAlignment="1" applyProtection="1">
      <alignment horizontal="center" vertical="center" wrapText="1"/>
      <protection hidden="1"/>
    </xf>
    <xf numFmtId="3" fontId="16" fillId="0" borderId="3" xfId="0" applyNumberFormat="1" applyFont="1" applyBorder="1" applyAlignment="1" applyProtection="1">
      <alignment horizontal="center"/>
      <protection hidden="1"/>
    </xf>
    <xf numFmtId="164" fontId="16" fillId="0" borderId="3" xfId="1" applyFont="1" applyBorder="1" applyAlignment="1" applyProtection="1">
      <alignment horizontal="center"/>
      <protection hidden="1"/>
    </xf>
    <xf numFmtId="164" fontId="16" fillId="0" borderId="4" xfId="1" applyFont="1" applyBorder="1" applyAlignment="1" applyProtection="1">
      <alignment horizontal="center"/>
      <protection hidden="1"/>
    </xf>
    <xf numFmtId="164" fontId="16" fillId="0" borderId="0" xfId="1" applyFont="1" applyAlignment="1" applyProtection="1">
      <alignment horizontal="center"/>
      <protection hidden="1"/>
    </xf>
    <xf numFmtId="3" fontId="17" fillId="0" borderId="3" xfId="0" applyNumberFormat="1" applyFont="1" applyBorder="1" applyProtection="1">
      <protection hidden="1"/>
    </xf>
    <xf numFmtId="3" fontId="19" fillId="0" borderId="3" xfId="0" applyNumberFormat="1" applyFont="1" applyBorder="1" applyProtection="1">
      <protection hidden="1"/>
    </xf>
    <xf numFmtId="0" fontId="17" fillId="0" borderId="3" xfId="0" applyFont="1" applyBorder="1" applyAlignment="1" applyProtection="1">
      <alignment horizontal="center"/>
      <protection hidden="1"/>
    </xf>
    <xf numFmtId="164" fontId="17" fillId="0" borderId="3" xfId="1" applyFont="1" applyBorder="1" applyProtection="1">
      <protection hidden="1"/>
    </xf>
    <xf numFmtId="10" fontId="17" fillId="0" borderId="4" xfId="5" applyNumberFormat="1" applyFont="1" applyBorder="1" applyAlignment="1" applyProtection="1">
      <alignment horizontal="center"/>
      <protection hidden="1"/>
    </xf>
    <xf numFmtId="164" fontId="19" fillId="6" borderId="15" xfId="1" applyFont="1" applyFill="1" applyBorder="1" applyProtection="1">
      <protection hidden="1"/>
    </xf>
    <xf numFmtId="164" fontId="16" fillId="7" borderId="15" xfId="1" applyFont="1" applyFill="1" applyBorder="1" applyAlignment="1" applyProtection="1">
      <alignment horizontal="center"/>
      <protection hidden="1"/>
    </xf>
    <xf numFmtId="171" fontId="16" fillId="0" borderId="0" xfId="10" applyNumberFormat="1" applyFont="1" applyProtection="1">
      <protection hidden="1"/>
    </xf>
    <xf numFmtId="171" fontId="16" fillId="0" borderId="0" xfId="0" applyNumberFormat="1" applyFont="1" applyProtection="1">
      <protection hidden="1"/>
    </xf>
    <xf numFmtId="164" fontId="16" fillId="0" borderId="0" xfId="0" applyNumberFormat="1" applyFont="1" applyProtection="1">
      <protection hidden="1"/>
    </xf>
    <xf numFmtId="164" fontId="23" fillId="5" borderId="15" xfId="1" applyFont="1" applyFill="1" applyBorder="1" applyAlignment="1">
      <alignment horizontal="center" wrapText="1"/>
    </xf>
    <xf numFmtId="164" fontId="38" fillId="5" borderId="15" xfId="1" applyFont="1" applyFill="1" applyBorder="1" applyAlignment="1">
      <alignment wrapText="1"/>
    </xf>
    <xf numFmtId="164" fontId="23" fillId="5" borderId="15" xfId="1" applyFont="1" applyFill="1" applyBorder="1" applyAlignment="1">
      <alignment horizontal="left" wrapText="1"/>
    </xf>
    <xf numFmtId="49" fontId="23" fillId="5" borderId="15" xfId="1" applyNumberFormat="1" applyFont="1" applyFill="1" applyBorder="1" applyAlignment="1">
      <alignment horizontal="center" wrapText="1"/>
    </xf>
    <xf numFmtId="12" fontId="23" fillId="5" borderId="15" xfId="1" applyNumberFormat="1" applyFont="1" applyFill="1" applyBorder="1" applyAlignment="1">
      <alignment horizontal="center" wrapText="1"/>
    </xf>
    <xf numFmtId="3" fontId="23" fillId="5" borderId="18" xfId="0" applyNumberFormat="1" applyFont="1" applyFill="1" applyBorder="1"/>
    <xf numFmtId="0" fontId="21" fillId="5" borderId="3" xfId="0" applyFont="1" applyFill="1" applyBorder="1" applyAlignment="1">
      <alignment horizontal="center" vertical="center"/>
    </xf>
    <xf numFmtId="164" fontId="38" fillId="5" borderId="15" xfId="1" applyFont="1" applyFill="1" applyBorder="1" applyAlignment="1">
      <alignment horizontal="left" vertical="center" wrapText="1"/>
    </xf>
    <xf numFmtId="0" fontId="38" fillId="5" borderId="15" xfId="9" applyFont="1" applyFill="1" applyBorder="1" applyAlignment="1">
      <alignment horizontal="center" vertical="center" wrapText="1"/>
    </xf>
    <xf numFmtId="0" fontId="39" fillId="5" borderId="3" xfId="0" applyFont="1" applyFill="1" applyBorder="1"/>
    <xf numFmtId="3" fontId="39" fillId="5" borderId="3" xfId="0" applyNumberFormat="1" applyFont="1" applyFill="1" applyBorder="1" applyAlignment="1">
      <alignment horizontal="center"/>
    </xf>
    <xf numFmtId="3" fontId="39" fillId="5" borderId="3" xfId="0" applyNumberFormat="1" applyFont="1" applyFill="1" applyBorder="1" applyAlignment="1" applyProtection="1">
      <alignment horizontal="center"/>
      <protection hidden="1"/>
    </xf>
    <xf numFmtId="164" fontId="38" fillId="5" borderId="15" xfId="1" applyFont="1" applyFill="1" applyBorder="1" applyAlignment="1">
      <alignment horizontal="right" wrapText="1"/>
    </xf>
    <xf numFmtId="164" fontId="21" fillId="5" borderId="3" xfId="1" applyFont="1" applyFill="1" applyBorder="1" applyAlignment="1">
      <alignment horizontal="right"/>
    </xf>
    <xf numFmtId="164" fontId="20" fillId="5" borderId="4" xfId="1" applyFont="1" applyFill="1" applyBorder="1"/>
    <xf numFmtId="0" fontId="39" fillId="5" borderId="15" xfId="0" applyFont="1" applyFill="1" applyBorder="1"/>
    <xf numFmtId="0" fontId="39" fillId="5" borderId="6" xfId="0" applyFont="1" applyFill="1" applyBorder="1"/>
    <xf numFmtId="164" fontId="23" fillId="5" borderId="16" xfId="1" applyFont="1" applyFill="1" applyBorder="1"/>
    <xf numFmtId="0" fontId="21" fillId="5" borderId="0" xfId="0" applyFont="1" applyFill="1" applyAlignment="1">
      <alignment horizontal="center"/>
    </xf>
    <xf numFmtId="164" fontId="21" fillId="5" borderId="4" xfId="1" applyFont="1" applyFill="1" applyBorder="1"/>
    <xf numFmtId="0" fontId="21" fillId="5" borderId="0" xfId="0" applyFont="1" applyFill="1"/>
    <xf numFmtId="0" fontId="21" fillId="5" borderId="15" xfId="0" applyFont="1" applyFill="1" applyBorder="1" applyAlignment="1">
      <alignment horizontal="center"/>
    </xf>
    <xf numFmtId="3" fontId="23" fillId="5" borderId="3" xfId="0" applyNumberFormat="1" applyFont="1" applyFill="1" applyBorder="1" applyAlignment="1">
      <alignment horizontal="center"/>
    </xf>
    <xf numFmtId="3" fontId="39" fillId="5" borderId="5" xfId="0" applyNumberFormat="1" applyFont="1" applyFill="1" applyBorder="1" applyAlignment="1">
      <alignment horizontal="center"/>
    </xf>
    <xf numFmtId="3" fontId="39" fillId="5" borderId="6" xfId="0" applyNumberFormat="1" applyFont="1" applyFill="1" applyBorder="1" applyAlignment="1">
      <alignment horizontal="center"/>
    </xf>
    <xf numFmtId="3" fontId="20" fillId="5" borderId="3" xfId="0" applyNumberFormat="1" applyFont="1" applyFill="1" applyBorder="1" applyAlignment="1">
      <alignment horizontal="center"/>
    </xf>
    <xf numFmtId="0" fontId="37" fillId="8" borderId="3" xfId="0" applyFont="1" applyFill="1" applyBorder="1" applyAlignment="1">
      <alignment horizontal="center" vertical="center"/>
    </xf>
    <xf numFmtId="164" fontId="37" fillId="8" borderId="3" xfId="1" applyFont="1" applyFill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4" xfId="0" applyFont="1" applyFill="1" applyBorder="1" applyAlignment="1">
      <alignment horizontal="center" vertical="center" wrapText="1"/>
    </xf>
    <xf numFmtId="3" fontId="37" fillId="8" borderId="3" xfId="0" applyNumberFormat="1" applyFont="1" applyFill="1" applyBorder="1" applyAlignment="1">
      <alignment horizontal="center" vertical="center" wrapText="1"/>
    </xf>
    <xf numFmtId="3" fontId="37" fillId="8" borderId="3" xfId="0" applyNumberFormat="1" applyFont="1" applyFill="1" applyBorder="1" applyAlignment="1">
      <alignment horizontal="center" vertical="center"/>
    </xf>
    <xf numFmtId="164" fontId="37" fillId="8" borderId="4" xfId="1" applyFont="1" applyFill="1" applyBorder="1" applyAlignment="1">
      <alignment horizontal="center" vertical="center" wrapText="1"/>
    </xf>
    <xf numFmtId="3" fontId="37" fillId="8" borderId="17" xfId="0" applyNumberFormat="1" applyFont="1" applyFill="1" applyBorder="1" applyAlignment="1">
      <alignment horizontal="center" vertical="center" wrapText="1"/>
    </xf>
    <xf numFmtId="170" fontId="37" fillId="8" borderId="16" xfId="1" applyNumberFormat="1" applyFont="1" applyFill="1" applyBorder="1" applyAlignment="1">
      <alignment horizontal="center" vertical="center" wrapText="1"/>
    </xf>
    <xf numFmtId="164" fontId="23" fillId="5" borderId="15" xfId="1" applyFont="1" applyFill="1" applyBorder="1" applyAlignment="1">
      <alignment horizontal="left" vertical="center" wrapText="1"/>
    </xf>
    <xf numFmtId="0" fontId="23" fillId="5" borderId="15" xfId="9" applyFont="1" applyFill="1" applyBorder="1" applyAlignment="1">
      <alignment horizontal="center" vertical="center" wrapText="1"/>
    </xf>
    <xf numFmtId="0" fontId="23" fillId="5" borderId="3" xfId="0" applyFont="1" applyFill="1" applyBorder="1"/>
    <xf numFmtId="3" fontId="23" fillId="5" borderId="3" xfId="0" applyNumberFormat="1" applyFont="1" applyFill="1" applyBorder="1" applyAlignment="1" applyProtection="1">
      <alignment horizontal="center"/>
      <protection hidden="1"/>
    </xf>
    <xf numFmtId="164" fontId="23" fillId="5" borderId="15" xfId="1" applyFont="1" applyFill="1" applyBorder="1" applyAlignment="1">
      <alignment horizontal="right" wrapText="1"/>
    </xf>
    <xf numFmtId="164" fontId="20" fillId="5" borderId="3" xfId="1" applyFont="1" applyFill="1" applyBorder="1"/>
    <xf numFmtId="164" fontId="23" fillId="5" borderId="15" xfId="1" applyFont="1" applyFill="1" applyBorder="1"/>
    <xf numFmtId="171" fontId="21" fillId="5" borderId="15" xfId="10" applyNumberFormat="1" applyFont="1" applyFill="1" applyBorder="1" applyAlignment="1">
      <alignment horizontal="center"/>
    </xf>
    <xf numFmtId="164" fontId="38" fillId="5" borderId="19" xfId="1" applyFont="1" applyFill="1" applyBorder="1" applyAlignment="1">
      <alignment horizontal="left" vertical="center" wrapText="1"/>
    </xf>
    <xf numFmtId="0" fontId="38" fillId="5" borderId="19" xfId="9" applyFont="1" applyFill="1" applyBorder="1" applyAlignment="1">
      <alignment horizontal="center" vertical="center" wrapText="1"/>
    </xf>
    <xf numFmtId="0" fontId="39" fillId="5" borderId="5" xfId="0" applyFont="1" applyFill="1" applyBorder="1"/>
    <xf numFmtId="3" fontId="39" fillId="5" borderId="5" xfId="0" applyNumberFormat="1" applyFont="1" applyFill="1" applyBorder="1" applyAlignment="1" applyProtection="1">
      <alignment horizontal="center"/>
      <protection hidden="1"/>
    </xf>
    <xf numFmtId="164" fontId="39" fillId="5" borderId="5" xfId="1" applyFont="1" applyFill="1" applyBorder="1"/>
    <xf numFmtId="0" fontId="21" fillId="5" borderId="15" xfId="0" applyFont="1" applyFill="1" applyBorder="1" applyAlignment="1">
      <alignment horizontal="center" vertical="center"/>
    </xf>
    <xf numFmtId="3" fontId="39" fillId="5" borderId="15" xfId="0" applyNumberFormat="1" applyFont="1" applyFill="1" applyBorder="1" applyAlignment="1">
      <alignment horizontal="center"/>
    </xf>
    <xf numFmtId="3" fontId="39" fillId="5" borderId="15" xfId="0" applyNumberFormat="1" applyFont="1" applyFill="1" applyBorder="1" applyAlignment="1" applyProtection="1">
      <alignment horizontal="center"/>
      <protection hidden="1"/>
    </xf>
    <xf numFmtId="164" fontId="38" fillId="5" borderId="20" xfId="1" applyFont="1" applyFill="1" applyBorder="1" applyAlignment="1">
      <alignment horizontal="left" vertical="center" wrapText="1"/>
    </xf>
    <xf numFmtId="0" fontId="38" fillId="5" borderId="20" xfId="9" applyFont="1" applyFill="1" applyBorder="1" applyAlignment="1">
      <alignment horizontal="center" vertical="center" wrapText="1"/>
    </xf>
    <xf numFmtId="3" fontId="39" fillId="5" borderId="6" xfId="0" applyNumberFormat="1" applyFont="1" applyFill="1" applyBorder="1" applyAlignment="1" applyProtection="1">
      <alignment horizontal="center"/>
      <protection hidden="1"/>
    </xf>
    <xf numFmtId="0" fontId="38" fillId="5" borderId="15" xfId="0" applyFont="1" applyFill="1" applyBorder="1" applyAlignment="1">
      <alignment horizontal="center" vertical="center"/>
    </xf>
    <xf numFmtId="164" fontId="21" fillId="5" borderId="4" xfId="1" applyFont="1" applyFill="1" applyBorder="1" applyAlignment="1">
      <alignment horizontal="right"/>
    </xf>
    <xf numFmtId="0" fontId="21" fillId="5" borderId="15" xfId="0" applyFont="1" applyFill="1" applyBorder="1"/>
    <xf numFmtId="164" fontId="20" fillId="5" borderId="15" xfId="1" applyFont="1" applyFill="1" applyBorder="1"/>
    <xf numFmtId="164" fontId="20" fillId="5" borderId="15" xfId="1" applyFont="1" applyFill="1" applyBorder="1" applyAlignment="1">
      <alignment horizontal="right" wrapText="1"/>
    </xf>
    <xf numFmtId="0" fontId="38" fillId="5" borderId="15" xfId="8" applyFont="1" applyFill="1" applyBorder="1" applyAlignment="1">
      <alignment horizontal="center" wrapText="1"/>
    </xf>
    <xf numFmtId="0" fontId="41" fillId="5" borderId="15" xfId="0" applyFont="1" applyFill="1" applyBorder="1"/>
    <xf numFmtId="0" fontId="41" fillId="5" borderId="15" xfId="0" applyFont="1" applyFill="1" applyBorder="1" applyAlignment="1">
      <alignment horizontal="center"/>
    </xf>
    <xf numFmtId="164" fontId="21" fillId="5" borderId="0" xfId="1" applyFont="1" applyFill="1"/>
    <xf numFmtId="3" fontId="21" fillId="5" borderId="0" xfId="0" applyNumberFormat="1" applyFont="1" applyFill="1"/>
    <xf numFmtId="170" fontId="21" fillId="5" borderId="0" xfId="1" applyNumberFormat="1" applyFont="1" applyFill="1"/>
    <xf numFmtId="170" fontId="21" fillId="5" borderId="0" xfId="1" applyNumberFormat="1" applyFont="1" applyFill="1" applyBorder="1"/>
    <xf numFmtId="170" fontId="21" fillId="5" borderId="0" xfId="1" applyNumberFormat="1" applyFont="1" applyFill="1" applyBorder="1" applyAlignment="1">
      <alignment horizontal="center"/>
    </xf>
    <xf numFmtId="171" fontId="21" fillId="5" borderId="0" xfId="10" applyNumberFormat="1" applyFont="1" applyFill="1"/>
    <xf numFmtId="0" fontId="41" fillId="5" borderId="19" xfId="0" applyFont="1" applyFill="1" applyBorder="1"/>
    <xf numFmtId="0" fontId="41" fillId="5" borderId="19" xfId="0" applyFont="1" applyFill="1" applyBorder="1" applyAlignment="1">
      <alignment horizontal="center"/>
    </xf>
    <xf numFmtId="164" fontId="21" fillId="5" borderId="5" xfId="1" applyFont="1" applyFill="1" applyBorder="1" applyAlignment="1">
      <alignment horizontal="right"/>
    </xf>
    <xf numFmtId="164" fontId="23" fillId="5" borderId="19" xfId="1" applyFont="1" applyFill="1" applyBorder="1"/>
    <xf numFmtId="164" fontId="21" fillId="5" borderId="15" xfId="1" applyFont="1" applyFill="1" applyBorder="1" applyAlignment="1">
      <alignment horizontal="right"/>
    </xf>
    <xf numFmtId="164" fontId="38" fillId="5" borderId="19" xfId="1" applyFont="1" applyFill="1" applyBorder="1" applyAlignment="1">
      <alignment horizontal="right" wrapText="1"/>
    </xf>
    <xf numFmtId="164" fontId="20" fillId="5" borderId="19" xfId="1" applyFont="1" applyFill="1" applyBorder="1"/>
    <xf numFmtId="164" fontId="21" fillId="5" borderId="6" xfId="1" applyFont="1" applyFill="1" applyBorder="1" applyAlignment="1">
      <alignment horizontal="right"/>
    </xf>
    <xf numFmtId="164" fontId="20" fillId="5" borderId="20" xfId="1" applyFont="1" applyFill="1" applyBorder="1"/>
    <xf numFmtId="164" fontId="23" fillId="5" borderId="20" xfId="1" applyFont="1" applyFill="1" applyBorder="1"/>
    <xf numFmtId="3" fontId="39" fillId="5" borderId="4" xfId="0" applyNumberFormat="1" applyFont="1" applyFill="1" applyBorder="1" applyAlignment="1">
      <alignment horizontal="center"/>
    </xf>
    <xf numFmtId="164" fontId="20" fillId="5" borderId="20" xfId="1" applyFont="1" applyFill="1" applyBorder="1" applyAlignment="1">
      <alignment horizontal="right" wrapText="1"/>
    </xf>
    <xf numFmtId="164" fontId="21" fillId="5" borderId="13" xfId="1" applyFont="1" applyFill="1" applyBorder="1"/>
    <xf numFmtId="164" fontId="39" fillId="5" borderId="15" xfId="1" applyFont="1" applyFill="1" applyBorder="1"/>
    <xf numFmtId="0" fontId="39" fillId="5" borderId="19" xfId="0" applyFont="1" applyFill="1" applyBorder="1"/>
    <xf numFmtId="0" fontId="17" fillId="3" borderId="3" xfId="0" applyFont="1" applyFill="1" applyBorder="1" applyAlignment="1" applyProtection="1">
      <alignment horizontal="left"/>
      <protection hidden="1"/>
    </xf>
    <xf numFmtId="0" fontId="17" fillId="3" borderId="3" xfId="0" applyFont="1" applyFill="1" applyBorder="1" applyAlignment="1" applyProtection="1">
      <alignment horizontal="center"/>
      <protection hidden="1"/>
    </xf>
    <xf numFmtId="0" fontId="23" fillId="5" borderId="15" xfId="0" applyFont="1" applyFill="1" applyBorder="1"/>
    <xf numFmtId="3" fontId="39" fillId="5" borderId="19" xfId="0" applyNumberFormat="1" applyFont="1" applyFill="1" applyBorder="1" applyAlignment="1">
      <alignment horizontal="center"/>
    </xf>
    <xf numFmtId="3" fontId="39" fillId="5" borderId="19" xfId="0" applyNumberFormat="1" applyFont="1" applyFill="1" applyBorder="1" applyAlignment="1" applyProtection="1">
      <alignment horizontal="center"/>
      <protection hidden="1"/>
    </xf>
    <xf numFmtId="164" fontId="39" fillId="5" borderId="19" xfId="1" applyFont="1" applyFill="1" applyBorder="1"/>
    <xf numFmtId="0" fontId="21" fillId="9" borderId="15" xfId="0" applyFont="1" applyFill="1" applyBorder="1"/>
    <xf numFmtId="164" fontId="21" fillId="9" borderId="15" xfId="1" applyFont="1" applyFill="1" applyBorder="1"/>
    <xf numFmtId="3" fontId="40" fillId="9" borderId="15" xfId="0" applyNumberFormat="1" applyFont="1" applyFill="1" applyBorder="1"/>
    <xf numFmtId="164" fontId="21" fillId="5" borderId="9" xfId="1" applyFont="1" applyFill="1" applyBorder="1"/>
    <xf numFmtId="3" fontId="39" fillId="5" borderId="9" xfId="0" applyNumberFormat="1" applyFont="1" applyFill="1" applyBorder="1" applyAlignment="1">
      <alignment horizontal="center"/>
    </xf>
    <xf numFmtId="0" fontId="43" fillId="5" borderId="15" xfId="0" applyFont="1" applyFill="1" applyBorder="1" applyAlignment="1">
      <alignment horizontal="center"/>
    </xf>
    <xf numFmtId="3" fontId="23" fillId="5" borderId="4" xfId="0" applyNumberFormat="1" applyFont="1" applyFill="1" applyBorder="1" applyAlignment="1">
      <alignment horizontal="center"/>
    </xf>
    <xf numFmtId="0" fontId="17" fillId="0" borderId="0" xfId="0" applyFont="1" applyProtection="1">
      <protection hidden="1"/>
    </xf>
    <xf numFmtId="3" fontId="19" fillId="2" borderId="3" xfId="0" applyNumberFormat="1" applyFont="1" applyFill="1" applyBorder="1" applyAlignment="1" applyProtection="1">
      <alignment horizontal="center" vertical="center" wrapText="1"/>
      <protection hidden="1"/>
    </xf>
    <xf numFmtId="3" fontId="17" fillId="0" borderId="0" xfId="0" applyNumberFormat="1" applyFont="1" applyProtection="1">
      <protection hidden="1"/>
    </xf>
    <xf numFmtId="171" fontId="17" fillId="0" borderId="0" xfId="10" applyNumberFormat="1" applyFont="1" applyProtection="1">
      <protection hidden="1"/>
    </xf>
    <xf numFmtId="0" fontId="17" fillId="4" borderId="3" xfId="0" applyFont="1" applyFill="1" applyBorder="1" applyAlignment="1" applyProtection="1">
      <alignment horizontal="center"/>
      <protection hidden="1"/>
    </xf>
    <xf numFmtId="0" fontId="19" fillId="4" borderId="3" xfId="0" applyFont="1" applyFill="1" applyBorder="1" applyProtection="1">
      <protection hidden="1"/>
    </xf>
    <xf numFmtId="3" fontId="19" fillId="4" borderId="3" xfId="0" applyNumberFormat="1" applyFont="1" applyFill="1" applyBorder="1" applyProtection="1">
      <protection hidden="1"/>
    </xf>
    <xf numFmtId="0" fontId="17" fillId="0" borderId="0" xfId="0" applyFont="1" applyAlignment="1" applyProtection="1">
      <alignment horizontal="center"/>
      <protection hidden="1"/>
    </xf>
    <xf numFmtId="41" fontId="21" fillId="5" borderId="0" xfId="0" applyNumberFormat="1" applyFont="1" applyFill="1"/>
    <xf numFmtId="164" fontId="42" fillId="5" borderId="15" xfId="1" applyFont="1" applyFill="1" applyBorder="1" applyAlignment="1">
      <alignment horizontal="left" vertical="center" wrapText="1"/>
    </xf>
    <xf numFmtId="3" fontId="21" fillId="5" borderId="0" xfId="0" applyNumberFormat="1" applyFont="1" applyFill="1" applyAlignment="1">
      <alignment horizontal="center"/>
    </xf>
    <xf numFmtId="0" fontId="21" fillId="5" borderId="4" xfId="0" applyFont="1" applyFill="1" applyBorder="1" applyAlignment="1">
      <alignment horizontal="center" vertical="center"/>
    </xf>
    <xf numFmtId="0" fontId="38" fillId="5" borderId="19" xfId="8" applyFont="1" applyFill="1" applyBorder="1" applyAlignment="1">
      <alignment horizontal="center" wrapText="1"/>
    </xf>
    <xf numFmtId="164" fontId="23" fillId="5" borderId="19" xfId="1" applyFont="1" applyFill="1" applyBorder="1" applyAlignment="1">
      <alignment wrapText="1"/>
    </xf>
    <xf numFmtId="3" fontId="23" fillId="5" borderId="15" xfId="0" applyNumberFormat="1" applyFont="1" applyFill="1" applyBorder="1"/>
    <xf numFmtId="3" fontId="23" fillId="5" borderId="22" xfId="0" applyNumberFormat="1" applyFont="1" applyFill="1" applyBorder="1"/>
    <xf numFmtId="3" fontId="19" fillId="3" borderId="3" xfId="0" applyNumberFormat="1" applyFont="1" applyFill="1" applyBorder="1" applyProtection="1">
      <protection hidden="1"/>
    </xf>
    <xf numFmtId="0" fontId="21" fillId="5" borderId="6" xfId="0" applyFont="1" applyFill="1" applyBorder="1"/>
    <xf numFmtId="164" fontId="20" fillId="5" borderId="5" xfId="1" applyFont="1" applyFill="1" applyBorder="1"/>
    <xf numFmtId="164" fontId="20" fillId="5" borderId="13" xfId="1" applyFont="1" applyFill="1" applyBorder="1"/>
    <xf numFmtId="3" fontId="39" fillId="5" borderId="15" xfId="0" applyNumberFormat="1" applyFont="1" applyFill="1" applyBorder="1"/>
    <xf numFmtId="0" fontId="23" fillId="5" borderId="15" xfId="1" applyNumberFormat="1" applyFont="1" applyFill="1" applyBorder="1" applyAlignment="1">
      <alignment horizontal="left" vertical="center" wrapText="1"/>
    </xf>
    <xf numFmtId="0" fontId="38" fillId="5" borderId="15" xfId="1" applyNumberFormat="1" applyFont="1" applyFill="1" applyBorder="1" applyAlignment="1">
      <alignment horizontal="left" vertical="center" wrapText="1"/>
    </xf>
    <xf numFmtId="0" fontId="23" fillId="5" borderId="15" xfId="1" applyNumberFormat="1" applyFont="1" applyFill="1" applyBorder="1" applyAlignment="1">
      <alignment wrapText="1"/>
    </xf>
    <xf numFmtId="0" fontId="38" fillId="5" borderId="15" xfId="1" applyNumberFormat="1" applyFont="1" applyFill="1" applyBorder="1" applyAlignment="1">
      <alignment wrapText="1"/>
    </xf>
    <xf numFmtId="0" fontId="23" fillId="5" borderId="3" xfId="1" applyNumberFormat="1" applyFont="1" applyFill="1" applyBorder="1" applyAlignment="1">
      <alignment wrapText="1"/>
    </xf>
    <xf numFmtId="0" fontId="39" fillId="5" borderId="0" xfId="0" applyFont="1" applyFill="1"/>
    <xf numFmtId="3" fontId="20" fillId="5" borderId="15" xfId="0" applyNumberFormat="1" applyFont="1" applyFill="1" applyBorder="1" applyAlignment="1">
      <alignment horizontal="center"/>
    </xf>
    <xf numFmtId="0" fontId="38" fillId="5" borderId="3" xfId="1" applyNumberFormat="1" applyFont="1" applyFill="1" applyBorder="1" applyAlignment="1">
      <alignment wrapText="1"/>
    </xf>
    <xf numFmtId="164" fontId="20" fillId="5" borderId="15" xfId="1" applyFont="1" applyFill="1" applyBorder="1" applyAlignment="1">
      <alignment horizontal="left" vertical="center" wrapText="1"/>
    </xf>
    <xf numFmtId="3" fontId="39" fillId="5" borderId="10" xfId="0" applyNumberFormat="1" applyFont="1" applyFill="1" applyBorder="1" applyAlignment="1">
      <alignment horizontal="center"/>
    </xf>
    <xf numFmtId="0" fontId="21" fillId="5" borderId="13" xfId="0" applyFont="1" applyFill="1" applyBorder="1" applyAlignment="1">
      <alignment horizontal="center" vertical="center"/>
    </xf>
    <xf numFmtId="0" fontId="38" fillId="5" borderId="20" xfId="0" applyFont="1" applyFill="1" applyBorder="1" applyAlignment="1">
      <alignment horizontal="center" vertical="center"/>
    </xf>
    <xf numFmtId="0" fontId="39" fillId="5" borderId="20" xfId="0" applyFont="1" applyFill="1" applyBorder="1"/>
    <xf numFmtId="3" fontId="23" fillId="5" borderId="20" xfId="0" applyNumberFormat="1" applyFont="1" applyFill="1" applyBorder="1" applyAlignment="1">
      <alignment horizontal="center"/>
    </xf>
    <xf numFmtId="3" fontId="39" fillId="5" borderId="20" xfId="0" applyNumberFormat="1" applyFont="1" applyFill="1" applyBorder="1" applyAlignment="1">
      <alignment horizontal="center"/>
    </xf>
    <xf numFmtId="3" fontId="39" fillId="5" borderId="20" xfId="0" applyNumberFormat="1" applyFont="1" applyFill="1" applyBorder="1" applyAlignment="1" applyProtection="1">
      <alignment horizontal="center"/>
      <protection hidden="1"/>
    </xf>
    <xf numFmtId="3" fontId="20" fillId="5" borderId="15" xfId="0" applyNumberFormat="1" applyFont="1" applyFill="1" applyBorder="1"/>
    <xf numFmtId="2" fontId="38" fillId="5" borderId="15" xfId="1" applyNumberFormat="1" applyFont="1" applyFill="1" applyBorder="1" applyAlignment="1">
      <alignment wrapText="1"/>
    </xf>
    <xf numFmtId="164" fontId="39" fillId="5" borderId="16" xfId="1" applyFont="1" applyFill="1" applyBorder="1"/>
    <xf numFmtId="164" fontId="21" fillId="5" borderId="16" xfId="1" applyFont="1" applyFill="1" applyBorder="1" applyAlignment="1">
      <alignment horizontal="right"/>
    </xf>
    <xf numFmtId="164" fontId="21" fillId="5" borderId="16" xfId="1" applyFont="1" applyFill="1" applyBorder="1"/>
    <xf numFmtId="171" fontId="23" fillId="5" borderId="15" xfId="10" applyNumberFormat="1" applyFont="1" applyFill="1" applyBorder="1" applyAlignment="1"/>
    <xf numFmtId="171" fontId="23" fillId="5" borderId="19" xfId="10" applyNumberFormat="1" applyFont="1" applyFill="1" applyBorder="1" applyAlignment="1"/>
    <xf numFmtId="171" fontId="23" fillId="5" borderId="20" xfId="10" applyNumberFormat="1" applyFont="1" applyFill="1" applyBorder="1" applyAlignment="1"/>
    <xf numFmtId="171" fontId="21" fillId="5" borderId="0" xfId="10" applyNumberFormat="1" applyFont="1" applyFill="1" applyBorder="1" applyAlignment="1"/>
    <xf numFmtId="164" fontId="15" fillId="8" borderId="0" xfId="1" applyFont="1" applyFill="1" applyBorder="1" applyAlignment="1" applyProtection="1">
      <alignment horizontal="center" vertical="center" wrapText="1"/>
      <protection hidden="1"/>
    </xf>
    <xf numFmtId="164" fontId="17" fillId="5" borderId="0" xfId="1" applyFont="1" applyFill="1" applyBorder="1" applyAlignment="1" applyProtection="1">
      <alignment horizontal="center"/>
      <protection hidden="1"/>
    </xf>
    <xf numFmtId="164" fontId="16" fillId="5" borderId="0" xfId="1" applyFont="1" applyFill="1" applyBorder="1" applyAlignment="1" applyProtection="1">
      <alignment horizontal="center"/>
      <protection hidden="1"/>
    </xf>
    <xf numFmtId="164" fontId="18" fillId="5" borderId="0" xfId="1" applyFont="1" applyFill="1" applyBorder="1" applyAlignment="1" applyProtection="1">
      <alignment horizontal="center"/>
      <protection hidden="1"/>
    </xf>
    <xf numFmtId="164" fontId="16" fillId="5" borderId="0" xfId="1" applyFont="1" applyFill="1" applyAlignment="1" applyProtection="1">
      <alignment horizontal="center"/>
      <protection hidden="1"/>
    </xf>
    <xf numFmtId="0" fontId="20" fillId="5" borderId="15" xfId="0" applyFont="1" applyFill="1" applyBorder="1"/>
    <xf numFmtId="173" fontId="23" fillId="5" borderId="15" xfId="10" applyNumberFormat="1" applyFont="1" applyFill="1" applyBorder="1" applyAlignment="1"/>
    <xf numFmtId="3" fontId="20" fillId="5" borderId="18" xfId="0" applyNumberFormat="1" applyFont="1" applyFill="1" applyBorder="1"/>
    <xf numFmtId="164" fontId="44" fillId="5" borderId="0" xfId="1" applyFont="1" applyFill="1" applyBorder="1" applyAlignment="1" applyProtection="1">
      <alignment horizontal="center"/>
      <protection hidden="1"/>
    </xf>
    <xf numFmtId="164" fontId="39" fillId="5" borderId="0" xfId="1" applyFont="1" applyFill="1" applyBorder="1"/>
    <xf numFmtId="164" fontId="39" fillId="5" borderId="9" xfId="1" applyFont="1" applyFill="1" applyBorder="1"/>
    <xf numFmtId="2" fontId="20" fillId="5" borderId="15" xfId="1" applyNumberFormat="1" applyFont="1" applyFill="1" applyBorder="1" applyAlignment="1">
      <alignment wrapText="1"/>
    </xf>
    <xf numFmtId="164" fontId="39" fillId="5" borderId="23" xfId="1" applyFont="1" applyFill="1" applyBorder="1"/>
    <xf numFmtId="3" fontId="44" fillId="0" borderId="3" xfId="0" applyNumberFormat="1" applyFont="1" applyBorder="1" applyProtection="1">
      <protection hidden="1"/>
    </xf>
    <xf numFmtId="3" fontId="17" fillId="10" borderId="3" xfId="0" applyNumberFormat="1" applyFont="1" applyFill="1" applyBorder="1" applyProtection="1">
      <protection hidden="1"/>
    </xf>
    <xf numFmtId="0" fontId="16" fillId="11" borderId="3" xfId="0" applyFont="1" applyFill="1" applyBorder="1" applyAlignment="1" applyProtection="1">
      <alignment horizontal="center"/>
      <protection hidden="1"/>
    </xf>
    <xf numFmtId="0" fontId="16" fillId="11" borderId="3" xfId="0" applyFont="1" applyFill="1" applyBorder="1" applyAlignment="1" applyProtection="1">
      <alignment horizontal="left"/>
      <protection hidden="1"/>
    </xf>
    <xf numFmtId="0" fontId="44" fillId="0" borderId="3" xfId="0" applyFont="1" applyBorder="1" applyAlignment="1" applyProtection="1">
      <alignment horizontal="left"/>
      <protection hidden="1"/>
    </xf>
    <xf numFmtId="3" fontId="17" fillId="6" borderId="3" xfId="0" applyNumberFormat="1" applyFont="1" applyFill="1" applyBorder="1" applyProtection="1">
      <protection hidden="1"/>
    </xf>
    <xf numFmtId="3" fontId="18" fillId="11" borderId="3" xfId="0" applyNumberFormat="1" applyFont="1" applyFill="1" applyBorder="1" applyAlignment="1" applyProtection="1">
      <alignment horizontal="center"/>
      <protection hidden="1"/>
    </xf>
    <xf numFmtId="3" fontId="37" fillId="8" borderId="4" xfId="0" applyNumberFormat="1" applyFont="1" applyFill="1" applyBorder="1" applyAlignment="1">
      <alignment horizontal="center" vertical="center"/>
    </xf>
    <xf numFmtId="3" fontId="37" fillId="8" borderId="8" xfId="0" applyNumberFormat="1" applyFont="1" applyFill="1" applyBorder="1" applyAlignment="1">
      <alignment horizontal="center" vertical="center"/>
    </xf>
    <xf numFmtId="3" fontId="37" fillId="8" borderId="2" xfId="0" applyNumberFormat="1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/>
    </xf>
    <xf numFmtId="0" fontId="11" fillId="5" borderId="0" xfId="0" quotePrefix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9" fillId="3" borderId="2" xfId="0" applyFont="1" applyFill="1" applyBorder="1"/>
    <xf numFmtId="0" fontId="8" fillId="2" borderId="1" xfId="0" applyFont="1" applyFill="1" applyBorder="1" applyAlignment="1">
      <alignment horizontal="center"/>
    </xf>
    <xf numFmtId="0" fontId="8" fillId="3" borderId="15" xfId="6" applyFont="1" applyFill="1" applyBorder="1" applyAlignment="1">
      <alignment horizontal="center"/>
    </xf>
    <xf numFmtId="3" fontId="19" fillId="2" borderId="1" xfId="0" applyNumberFormat="1" applyFont="1" applyFill="1" applyBorder="1" applyAlignment="1" applyProtection="1">
      <alignment horizontal="center" vertical="center"/>
      <protection hidden="1"/>
    </xf>
    <xf numFmtId="0" fontId="17" fillId="3" borderId="2" xfId="0" applyFont="1" applyFill="1" applyBorder="1" applyProtection="1">
      <protection hidden="1"/>
    </xf>
    <xf numFmtId="3" fontId="19" fillId="2" borderId="5" xfId="0" applyNumberFormat="1" applyFont="1" applyFill="1" applyBorder="1" applyAlignment="1" applyProtection="1">
      <alignment horizontal="center" vertical="center"/>
      <protection hidden="1"/>
    </xf>
    <xf numFmtId="0" fontId="17" fillId="3" borderId="6" xfId="0" applyFont="1" applyFill="1" applyBorder="1" applyProtection="1">
      <protection hidden="1"/>
    </xf>
    <xf numFmtId="0" fontId="19" fillId="2" borderId="5" xfId="0" applyFont="1" applyFill="1" applyBorder="1" applyAlignment="1" applyProtection="1">
      <alignment horizontal="center" vertical="center"/>
      <protection hidden="1"/>
    </xf>
    <xf numFmtId="3" fontId="19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18" fillId="2" borderId="5" xfId="0" applyFont="1" applyFill="1" applyBorder="1" applyAlignment="1" applyProtection="1">
      <alignment horizontal="center" vertical="center"/>
      <protection hidden="1"/>
    </xf>
    <xf numFmtId="3" fontId="15" fillId="2" borderId="5" xfId="0" applyNumberFormat="1" applyFont="1" applyFill="1" applyBorder="1" applyAlignment="1" applyProtection="1">
      <alignment horizontal="center" vertical="center" wrapText="1"/>
      <protection hidden="1"/>
    </xf>
    <xf numFmtId="3" fontId="18" fillId="2" borderId="1" xfId="0" applyNumberFormat="1" applyFont="1" applyFill="1" applyBorder="1" applyAlignment="1" applyProtection="1">
      <alignment horizontal="center"/>
      <protection hidden="1"/>
    </xf>
    <xf numFmtId="3" fontId="18" fillId="2" borderId="5" xfId="0" applyNumberFormat="1" applyFont="1" applyFill="1" applyBorder="1" applyAlignment="1" applyProtection="1">
      <alignment horizontal="center" vertical="center"/>
      <protection hidden="1"/>
    </xf>
    <xf numFmtId="0" fontId="15" fillId="2" borderId="5" xfId="0" applyFont="1" applyFill="1" applyBorder="1" applyAlignment="1" applyProtection="1">
      <alignment horizontal="center" vertical="center"/>
      <protection hidden="1"/>
    </xf>
    <xf numFmtId="164" fontId="15" fillId="2" borderId="5" xfId="1" applyFont="1" applyFill="1" applyBorder="1" applyAlignment="1" applyProtection="1">
      <alignment horizontal="center" vertical="center" wrapText="1"/>
      <protection hidden="1"/>
    </xf>
    <xf numFmtId="164" fontId="17" fillId="3" borderId="6" xfId="1" applyFont="1" applyFill="1" applyBorder="1" applyProtection="1">
      <protection hidden="1"/>
    </xf>
    <xf numFmtId="3" fontId="18" fillId="2" borderId="5" xfId="0" applyNumberFormat="1" applyFont="1" applyFill="1" applyBorder="1" applyAlignment="1" applyProtection="1">
      <alignment horizontal="center" vertical="center" wrapText="1"/>
      <protection hidden="1"/>
    </xf>
    <xf numFmtId="0" fontId="17" fillId="3" borderId="12" xfId="0" applyFont="1" applyFill="1" applyBorder="1" applyProtection="1">
      <protection hidden="1"/>
    </xf>
    <xf numFmtId="0" fontId="18" fillId="2" borderId="1" xfId="0" applyFont="1" applyFill="1" applyBorder="1" applyAlignment="1" applyProtection="1">
      <alignment horizontal="center"/>
      <protection hidden="1"/>
    </xf>
    <xf numFmtId="0" fontId="17" fillId="3" borderId="7" xfId="0" applyFont="1" applyFill="1" applyBorder="1" applyProtection="1">
      <protection hidden="1"/>
    </xf>
    <xf numFmtId="0" fontId="15" fillId="2" borderId="5" xfId="0" applyFont="1" applyFill="1" applyBorder="1" applyAlignment="1" applyProtection="1">
      <alignment horizontal="center" vertical="center" wrapText="1"/>
      <protection hidden="1"/>
    </xf>
    <xf numFmtId="3" fontId="15" fillId="2" borderId="5" xfId="0" applyNumberFormat="1" applyFont="1" applyFill="1" applyBorder="1" applyAlignment="1" applyProtection="1">
      <alignment horizontal="center" vertical="center"/>
      <protection hidden="1"/>
    </xf>
    <xf numFmtId="0" fontId="15" fillId="2" borderId="6" xfId="0" applyFont="1" applyFill="1" applyBorder="1" applyAlignment="1" applyProtection="1">
      <alignment horizontal="center" vertical="center" wrapText="1"/>
      <protection hidden="1"/>
    </xf>
    <xf numFmtId="164" fontId="15" fillId="2" borderId="15" xfId="1" applyFont="1" applyFill="1" applyBorder="1" applyAlignment="1" applyProtection="1">
      <alignment horizontal="center" vertical="center" wrapText="1"/>
      <protection hidden="1"/>
    </xf>
    <xf numFmtId="164" fontId="17" fillId="3" borderId="15" xfId="1" applyFont="1" applyFill="1" applyBorder="1" applyAlignment="1" applyProtection="1">
      <alignment horizontal="center"/>
      <protection hidden="1"/>
    </xf>
    <xf numFmtId="0" fontId="17" fillId="3" borderId="6" xfId="0" applyFont="1" applyFill="1" applyBorder="1" applyAlignment="1" applyProtection="1">
      <alignment horizontal="center"/>
      <protection hidden="1"/>
    </xf>
    <xf numFmtId="0" fontId="17" fillId="3" borderId="7" xfId="0" applyFont="1" applyFill="1" applyBorder="1" applyAlignment="1" applyProtection="1">
      <alignment horizontal="center"/>
      <protection hidden="1"/>
    </xf>
    <xf numFmtId="0" fontId="17" fillId="3" borderId="2" xfId="0" applyFont="1" applyFill="1" applyBorder="1" applyAlignment="1" applyProtection="1">
      <alignment horizontal="center"/>
      <protection hidden="1"/>
    </xf>
    <xf numFmtId="0" fontId="15" fillId="2" borderId="1" xfId="0" applyFont="1" applyFill="1" applyBorder="1" applyAlignment="1" applyProtection="1">
      <alignment horizontal="center"/>
      <protection hidden="1"/>
    </xf>
    <xf numFmtId="164" fontId="18" fillId="2" borderId="9" xfId="1" applyFont="1" applyFill="1" applyBorder="1" applyAlignment="1" applyProtection="1">
      <alignment horizontal="center" vertical="center" wrapText="1"/>
      <protection hidden="1"/>
    </xf>
    <xf numFmtId="164" fontId="17" fillId="3" borderId="13" xfId="1" applyFont="1" applyFill="1" applyBorder="1" applyAlignment="1" applyProtection="1">
      <alignment horizontal="center"/>
      <protection hidden="1"/>
    </xf>
    <xf numFmtId="41" fontId="21" fillId="5" borderId="15" xfId="0" applyNumberFormat="1" applyFont="1" applyFill="1" applyBorder="1" applyAlignment="1">
      <alignment horizontal="center"/>
    </xf>
    <xf numFmtId="164" fontId="21" fillId="5" borderId="5" xfId="1" applyFont="1" applyFill="1" applyBorder="1"/>
    <xf numFmtId="164" fontId="21" fillId="5" borderId="15" xfId="1" applyFont="1" applyFill="1" applyBorder="1"/>
    <xf numFmtId="2" fontId="23" fillId="5" borderId="20" xfId="1" applyNumberFormat="1" applyFont="1" applyFill="1" applyBorder="1" applyAlignment="1">
      <alignment wrapText="1"/>
    </xf>
    <xf numFmtId="2" fontId="23" fillId="5" borderId="15" xfId="1" applyNumberFormat="1" applyFont="1" applyFill="1" applyBorder="1" applyAlignment="1">
      <alignment wrapText="1"/>
    </xf>
    <xf numFmtId="2" fontId="23" fillId="5" borderId="15" xfId="1" applyNumberFormat="1" applyFont="1" applyFill="1" applyBorder="1" applyAlignment="1">
      <alignment horizontal="left" vertical="center" wrapText="1"/>
    </xf>
    <xf numFmtId="2" fontId="23" fillId="5" borderId="15" xfId="1" applyNumberFormat="1" applyFont="1" applyFill="1" applyBorder="1" applyAlignment="1">
      <alignment horizontal="left" wrapText="1"/>
    </xf>
    <xf numFmtId="2" fontId="23" fillId="5" borderId="15" xfId="0" applyNumberFormat="1" applyFont="1" applyFill="1" applyBorder="1"/>
    <xf numFmtId="2" fontId="23" fillId="5" borderId="3" xfId="0" applyNumberFormat="1" applyFont="1" applyFill="1" applyBorder="1"/>
    <xf numFmtId="164" fontId="23" fillId="5" borderId="13" xfId="1" applyFont="1" applyFill="1" applyBorder="1"/>
    <xf numFmtId="164" fontId="21" fillId="5" borderId="3" xfId="1" applyFont="1" applyFill="1" applyBorder="1"/>
    <xf numFmtId="164" fontId="23" fillId="5" borderId="11" xfId="1" applyFont="1" applyFill="1" applyBorder="1"/>
    <xf numFmtId="171" fontId="37" fillId="12" borderId="15" xfId="10" applyNumberFormat="1" applyFont="1" applyFill="1" applyBorder="1" applyAlignment="1">
      <alignment vertical="center" wrapText="1"/>
    </xf>
    <xf numFmtId="0" fontId="20" fillId="6" borderId="15" xfId="0" applyFont="1" applyFill="1" applyBorder="1" applyAlignment="1">
      <alignment horizontal="center" vertical="center" wrapText="1"/>
    </xf>
    <xf numFmtId="0" fontId="37" fillId="12" borderId="15" xfId="1" applyNumberFormat="1" applyFont="1" applyFill="1" applyBorder="1" applyAlignment="1">
      <alignment horizontal="center" vertical="center" wrapText="1"/>
    </xf>
    <xf numFmtId="0" fontId="20" fillId="6" borderId="15" xfId="0" applyFont="1" applyFill="1" applyBorder="1" applyAlignment="1">
      <alignment horizontal="center"/>
    </xf>
    <xf numFmtId="164" fontId="23" fillId="5" borderId="21" xfId="1" applyFont="1" applyFill="1" applyBorder="1"/>
    <xf numFmtId="164" fontId="23" fillId="5" borderId="14" xfId="1" applyFont="1" applyFill="1" applyBorder="1"/>
    <xf numFmtId="170" fontId="37" fillId="12" borderId="16" xfId="1" applyNumberFormat="1" applyFont="1" applyFill="1" applyBorder="1" applyAlignment="1">
      <alignment horizontal="center" vertical="center" wrapText="1"/>
    </xf>
    <xf numFmtId="164" fontId="23" fillId="6" borderId="16" xfId="1" applyFont="1" applyFill="1" applyBorder="1"/>
    <xf numFmtId="164" fontId="23" fillId="6" borderId="21" xfId="1" applyFont="1" applyFill="1" applyBorder="1"/>
  </cellXfs>
  <cellStyles count="1917">
    <cellStyle name="Comma" xfId="10" builtinId="3"/>
    <cellStyle name="Comma [0]" xfId="1" builtinId="6"/>
    <cellStyle name="Comma [0] 10" xfId="14" xr:uid="{E2CCFE8D-F0BC-44E1-AE9E-B55BE67D7C8F}"/>
    <cellStyle name="Comma [0] 10 10" xfId="15" xr:uid="{19992531-0704-4E69-B07A-890061BB9CB7}"/>
    <cellStyle name="Comma [0] 10 2" xfId="16" xr:uid="{9AFCBE36-0FA5-4A41-BF45-DF9C8A681696}"/>
    <cellStyle name="Comma [0] 10 2 2" xfId="17" xr:uid="{F538EB45-2253-4582-B87D-0856735E20B6}"/>
    <cellStyle name="Comma [0] 10 2 2 2" xfId="18" xr:uid="{404FEA1D-8A41-4B46-81DB-5D83DF50E186}"/>
    <cellStyle name="Comma [0] 10 2 2 3" xfId="19" xr:uid="{FD2AA3F6-2BE5-4F0B-8DB5-AEA062824693}"/>
    <cellStyle name="Comma [0] 10 2 3" xfId="20" xr:uid="{1BF26DDC-164C-4264-9897-721995EE4132}"/>
    <cellStyle name="Comma [0] 10 2 3 2" xfId="21" xr:uid="{5460A1EA-4CD0-4FC0-946C-B9DA7EDCB159}"/>
    <cellStyle name="Comma [0] 10 2 4" xfId="22" xr:uid="{574C059A-EE50-46C1-8C4E-E6A09055B8AD}"/>
    <cellStyle name="Comma [0] 10 2 4 2" xfId="23" xr:uid="{237D5A39-6E4A-4F22-9E9C-B4EB7AEB10FF}"/>
    <cellStyle name="Comma [0] 10 2 5" xfId="24" xr:uid="{5B3F6E31-CC04-4628-BA05-D282234DF4DF}"/>
    <cellStyle name="Comma [0] 10 2 6" xfId="25" xr:uid="{0CDA6DE4-E286-426C-8F03-F3128C314B63}"/>
    <cellStyle name="Comma [0] 10 3" xfId="26" xr:uid="{77BBBB8F-5067-4C23-8DCC-7278C0DB45F0}"/>
    <cellStyle name="Comma [0] 10 3 2" xfId="27" xr:uid="{4324A662-425C-48D2-B624-40465FE4306B}"/>
    <cellStyle name="Comma [0] 10 3 2 2" xfId="28" xr:uid="{00F3B4DC-B7FF-4181-B67E-68524644277A}"/>
    <cellStyle name="Comma [0] 10 3 2 3" xfId="29" xr:uid="{5CD346E5-512A-4047-B061-109C95DD0E55}"/>
    <cellStyle name="Comma [0] 10 3 3" xfId="30" xr:uid="{B142228D-9053-4FD8-93F0-8362542D3A5D}"/>
    <cellStyle name="Comma [0] 10 3 3 2" xfId="31" xr:uid="{D4D3E8CD-E49B-40CA-A870-8FF41A36EF1D}"/>
    <cellStyle name="Comma [0] 10 3 4" xfId="32" xr:uid="{5759657A-B604-46D8-8E4E-523193C6DDE6}"/>
    <cellStyle name="Comma [0] 10 3 4 2" xfId="33" xr:uid="{8ECE0014-D426-4DB7-A582-D67D6E61E102}"/>
    <cellStyle name="Comma [0] 10 3 5" xfId="34" xr:uid="{5F529B37-EF6A-4F96-9EF0-D5AD907D1B30}"/>
    <cellStyle name="Comma [0] 10 3 6" xfId="35" xr:uid="{0407D348-D256-45B3-AA29-B850F8EC85C8}"/>
    <cellStyle name="Comma [0] 10 4" xfId="36" xr:uid="{A2D0FA72-7657-49B0-9F3D-03CCB82FC8BD}"/>
    <cellStyle name="Comma [0] 10 4 2" xfId="37" xr:uid="{9DF960FE-95E3-4457-B97D-8076D714398F}"/>
    <cellStyle name="Comma [0] 10 4 2 2" xfId="38" xr:uid="{61A0E6FB-AC92-4EA6-9912-DF1324CD8F66}"/>
    <cellStyle name="Comma [0] 10 4 2 3" xfId="39" xr:uid="{4FC0E837-ABA7-4118-8722-D99D73C16FD1}"/>
    <cellStyle name="Comma [0] 10 4 3" xfId="40" xr:uid="{C30739C5-2F57-4C2D-8092-EC28B7B0B0C3}"/>
    <cellStyle name="Comma [0] 10 4 3 2" xfId="41" xr:uid="{066C8C56-8A88-4C09-9F86-37CAE96AF752}"/>
    <cellStyle name="Comma [0] 10 4 4" xfId="42" xr:uid="{41CDD9A2-B388-4094-84D5-0A568074D116}"/>
    <cellStyle name="Comma [0] 10 4 4 2" xfId="43" xr:uid="{B86C9747-4D8C-45E9-AE72-1374A1557967}"/>
    <cellStyle name="Comma [0] 10 4 5" xfId="44" xr:uid="{1F85614F-EFC0-429A-A7CE-F3A70FEF124D}"/>
    <cellStyle name="Comma [0] 10 4 6" xfId="45" xr:uid="{051C3169-015A-44EE-A24F-340944D99C3C}"/>
    <cellStyle name="Comma [0] 10 5" xfId="46" xr:uid="{1B6BB11C-2665-480F-A360-F3EC704C5A87}"/>
    <cellStyle name="Comma [0] 10 5 2" xfId="47" xr:uid="{9CDBCEF0-C1F8-4001-91CC-A3B84E9DBA48}"/>
    <cellStyle name="Comma [0] 10 5 3" xfId="48" xr:uid="{A61C3AE1-CC29-4AA2-B741-4521DB0D1DAB}"/>
    <cellStyle name="Comma [0] 10 6" xfId="49" xr:uid="{74E01E30-3E44-4842-8D00-35A00CB516FC}"/>
    <cellStyle name="Comma [0] 10 6 2" xfId="50" xr:uid="{BE3D217B-A52F-4688-8D8C-C6B63B9EC605}"/>
    <cellStyle name="Comma [0] 10 6 3" xfId="51" xr:uid="{3B9227DA-2D8C-42AE-8B5F-9E224F9C627D}"/>
    <cellStyle name="Comma [0] 10 7" xfId="52" xr:uid="{CEA9AA3F-B57E-4534-B10B-B4066B111FE9}"/>
    <cellStyle name="Comma [0] 10 7 2" xfId="53" xr:uid="{9F5563B9-8C87-408F-ADCC-1D8AEF44529E}"/>
    <cellStyle name="Comma [0] 10 8" xfId="54" xr:uid="{E2224F5E-14B3-49CB-BBE5-6AD01197AA85}"/>
    <cellStyle name="Comma [0] 10 8 2" xfId="55" xr:uid="{4C2CFDE2-0405-4B9C-BC09-25833CD3262B}"/>
    <cellStyle name="Comma [0] 10 9" xfId="56" xr:uid="{CA35C199-8E7B-4526-BC98-DA0083411196}"/>
    <cellStyle name="Comma [0] 11" xfId="57" xr:uid="{A22C1907-0CD4-48EA-ACAE-F9D8B76CDDED}"/>
    <cellStyle name="Comma [0] 11 2" xfId="58" xr:uid="{59CFE39D-305A-46CE-B935-455CEC440088}"/>
    <cellStyle name="Comma [0] 11 2 2" xfId="59" xr:uid="{BE3A5E15-65C9-4101-B322-7159E2FB9E81}"/>
    <cellStyle name="Comma [0] 11 2 3" xfId="60" xr:uid="{97329694-BDD0-4B24-BF07-2BC68ED1AA4C}"/>
    <cellStyle name="Comma [0] 11 3" xfId="61" xr:uid="{2CBFB373-F9D3-485A-9ABB-1EBA1A9F403C}"/>
    <cellStyle name="Comma [0] 11 3 2" xfId="62" xr:uid="{58294D03-8663-4377-9420-B6A5D20E338B}"/>
    <cellStyle name="Comma [0] 11 3 3" xfId="63" xr:uid="{E732FFA8-DCC8-463D-A20F-63077DF0B6A6}"/>
    <cellStyle name="Comma [0] 11 4" xfId="64" xr:uid="{168D4AFA-61B1-4FC8-AE82-E887461CA01C}"/>
    <cellStyle name="Comma [0] 11 4 2" xfId="65" xr:uid="{6E040E62-3713-4E27-B2B2-6C3582E1D2FD}"/>
    <cellStyle name="Comma [0] 11 5" xfId="66" xr:uid="{D026F91B-C7F9-4844-BB1C-A8715CD73B25}"/>
    <cellStyle name="Comma [0] 11 5 2" xfId="67" xr:uid="{8BEC16F4-217E-4062-A399-41766F67FBDA}"/>
    <cellStyle name="Comma [0] 11 6" xfId="68" xr:uid="{05BE06B1-4E10-424A-A61F-4D31FB4730D0}"/>
    <cellStyle name="Comma [0] 11 7" xfId="69" xr:uid="{C010FB3C-73F9-4C66-A860-7F15F1C8C807}"/>
    <cellStyle name="Comma [0] 12" xfId="70" xr:uid="{D55AB0BF-495D-4AFB-B431-A9F1983AEEEC}"/>
    <cellStyle name="Comma [0] 12 2" xfId="71" xr:uid="{DC7A8C27-9624-4519-B7D9-555D3F06DEAE}"/>
    <cellStyle name="Comma [0] 12 3" xfId="72" xr:uid="{352F73D2-7D88-43AB-AB56-EBD9182ECDE3}"/>
    <cellStyle name="Comma [0] 13" xfId="73" xr:uid="{2D5455FA-081E-46DB-8B7A-D45C447F5D73}"/>
    <cellStyle name="Comma [0] 13 2" xfId="74" xr:uid="{A74A1250-0CAA-472D-9D5D-9C963C265504}"/>
    <cellStyle name="Comma [0] 13 3" xfId="75" xr:uid="{E50B3E34-EC35-4711-84B7-82B32B9B6642}"/>
    <cellStyle name="Comma [0] 14" xfId="76" xr:uid="{E80288D3-6946-46BD-AAE2-CB6EFEED6B37}"/>
    <cellStyle name="Comma [0] 14 2" xfId="77" xr:uid="{857F6EA1-3453-444B-A827-3FDAC770C117}"/>
    <cellStyle name="Comma [0] 14 3" xfId="78" xr:uid="{43BE50F8-3821-45B1-9D74-A751F725F5E4}"/>
    <cellStyle name="Comma [0] 15" xfId="79" xr:uid="{ACDD129F-B78B-4886-8E20-762E08B3A4EC}"/>
    <cellStyle name="Comma [0] 15 2" xfId="80" xr:uid="{052F4AE1-30EE-407F-A34A-62559CBA9D83}"/>
    <cellStyle name="Comma [0] 16" xfId="81" xr:uid="{04D9CD79-CC32-48B5-A02A-4316380C2219}"/>
    <cellStyle name="Comma [0] 17" xfId="82" xr:uid="{8B16EF16-2158-4874-B499-9F6805EF70CB}"/>
    <cellStyle name="Comma [0] 18" xfId="83" xr:uid="{62683BBD-08CB-4EA5-9706-B8F44BC8736D}"/>
    <cellStyle name="Comma [0] 19" xfId="13" xr:uid="{23B80256-1703-4D8F-8627-D3E44EA527B0}"/>
    <cellStyle name="Comma [0] 19 2" xfId="1913" xr:uid="{110A7DFD-5F88-48C0-8856-ABB9F9CE393B}"/>
    <cellStyle name="Comma [0] 19 3" xfId="1901" xr:uid="{D9609EC9-B550-411E-9C5B-3D24B5AD3ACA}"/>
    <cellStyle name="Comma [0] 2" xfId="84" xr:uid="{22183F32-CD12-41C0-AA5D-02C5E91DD3F2}"/>
    <cellStyle name="Comma [0] 2 10" xfId="85" xr:uid="{5DED082B-5E37-4FE7-8369-1F0C8A3EB18F}"/>
    <cellStyle name="Comma [0] 2 10 2" xfId="86" xr:uid="{CC7623E6-742B-4AA4-9521-543FEDB05B24}"/>
    <cellStyle name="Comma [0] 2 11" xfId="87" xr:uid="{CED47F0A-4381-46A9-955E-BA51F42B084A}"/>
    <cellStyle name="Comma [0] 2 11 2" xfId="88" xr:uid="{3873D1D9-B9A8-4F7A-AD63-C6ABCA99F22C}"/>
    <cellStyle name="Comma [0] 2 12" xfId="89" xr:uid="{07D01DB6-CCE6-4A5D-8599-33FA3CC3F83F}"/>
    <cellStyle name="Comma [0] 2 12 2" xfId="90" xr:uid="{E5BE4EDD-E6CB-4F11-8918-81B80D5EB951}"/>
    <cellStyle name="Comma [0] 2 13" xfId="91" xr:uid="{FBB6EFA8-0306-4BB7-9502-F3BC5A8BBA28}"/>
    <cellStyle name="Comma [0] 2 14" xfId="92" xr:uid="{C8819155-E107-4DE0-B898-64C6B359B1C2}"/>
    <cellStyle name="Comma [0] 2 15" xfId="1902" xr:uid="{1432CFD0-5CFE-4D99-A20D-2397B623EE0D}"/>
    <cellStyle name="Comma [0] 2 16" xfId="1885" xr:uid="{C7398101-4636-46FC-92FF-53FBE4A0B772}"/>
    <cellStyle name="Comma [0] 2 2" xfId="93" xr:uid="{80EF03C5-F4F8-4F25-828B-551596D102BD}"/>
    <cellStyle name="Comma [0] 2 2 10" xfId="94" xr:uid="{D5325332-C56B-4F07-AD61-7B7DC3287FEA}"/>
    <cellStyle name="Comma [0] 2 2 11" xfId="95" xr:uid="{B6810827-A9B0-4EF5-A078-D2F8789C144C}"/>
    <cellStyle name="Comma [0] 2 2 2" xfId="96" xr:uid="{8494678C-6CB7-462C-ABD0-490C8EE4BBC0}"/>
    <cellStyle name="Comma [0] 2 2 2 10" xfId="97" xr:uid="{524CF8FE-230B-424B-B677-9259E354B605}"/>
    <cellStyle name="Comma [0] 2 2 2 2" xfId="98" xr:uid="{C017F24F-B830-4CE3-AE23-10C16FE01837}"/>
    <cellStyle name="Comma [0] 2 2 2 2 2" xfId="99" xr:uid="{3F495373-509B-4293-BB81-4E05EFD7731E}"/>
    <cellStyle name="Comma [0] 2 2 2 2 2 2" xfId="100" xr:uid="{2A87D087-BD6F-4597-A205-92B6EC1AF327}"/>
    <cellStyle name="Comma [0] 2 2 2 2 2 2 2" xfId="101" xr:uid="{F9A58B0F-8AAA-4B95-AFB7-F7B0EB3197F1}"/>
    <cellStyle name="Comma [0] 2 2 2 2 2 2 3" xfId="102" xr:uid="{8EC00594-1508-41CE-A6EB-C17A522B9C34}"/>
    <cellStyle name="Comma [0] 2 2 2 2 2 3" xfId="103" xr:uid="{F8F2A2F4-DA9E-4926-A313-3B68D57C4F92}"/>
    <cellStyle name="Comma [0] 2 2 2 2 2 3 2" xfId="104" xr:uid="{10500548-84E0-4C10-A878-71BBFDDDB628}"/>
    <cellStyle name="Comma [0] 2 2 2 2 2 4" xfId="105" xr:uid="{E43FFCDD-8250-44A2-A19B-69862DB50F41}"/>
    <cellStyle name="Comma [0] 2 2 2 2 2 4 2" xfId="106" xr:uid="{3BEB2170-F2FD-4C79-8B55-02248BA7AD25}"/>
    <cellStyle name="Comma [0] 2 2 2 2 2 5" xfId="107" xr:uid="{3AA95B81-5444-474C-AA68-2A5014063749}"/>
    <cellStyle name="Comma [0] 2 2 2 2 2 6" xfId="108" xr:uid="{204C76E7-4E23-4B14-A956-5B4A109587D5}"/>
    <cellStyle name="Comma [0] 2 2 2 2 3" xfId="109" xr:uid="{9E4566DF-B459-4531-8208-BD69120866F2}"/>
    <cellStyle name="Comma [0] 2 2 2 2 3 2" xfId="110" xr:uid="{A93CB3D2-A3FB-426B-8970-0734A5E0899F}"/>
    <cellStyle name="Comma [0] 2 2 2 2 3 3" xfId="111" xr:uid="{6D857DDF-B0C1-420E-A2CC-803DEDD3B393}"/>
    <cellStyle name="Comma [0] 2 2 2 2 4" xfId="112" xr:uid="{19491245-A3F4-4F4F-94B3-4382590E6197}"/>
    <cellStyle name="Comma [0] 2 2 2 2 4 2" xfId="113" xr:uid="{391DE06C-06DF-415A-A203-6717CE022529}"/>
    <cellStyle name="Comma [0] 2 2 2 2 5" xfId="114" xr:uid="{E5E6C828-83B0-44A8-98A9-F58C1998701A}"/>
    <cellStyle name="Comma [0] 2 2 2 2 5 2" xfId="115" xr:uid="{33555D3D-571E-4F1D-8DF5-F518D2BE32EF}"/>
    <cellStyle name="Comma [0] 2 2 2 2 6" xfId="116" xr:uid="{E09ECA1D-BA66-4AB4-B1FF-53A0DB30C2F6}"/>
    <cellStyle name="Comma [0] 2 2 2 2 6 2" xfId="117" xr:uid="{91772EEE-59D8-485D-9317-1241C7EC3153}"/>
    <cellStyle name="Comma [0] 2 2 2 2 7" xfId="118" xr:uid="{0005CE18-8228-4A58-BC51-12323BB4D757}"/>
    <cellStyle name="Comma [0] 2 2 2 2 8" xfId="119" xr:uid="{E8837E7B-A513-4A60-B994-7C62A176EC1A}"/>
    <cellStyle name="Comma [0] 2 2 2 3" xfId="120" xr:uid="{0C3585DA-0A8F-4EC1-8164-7CE8E28A44D4}"/>
    <cellStyle name="Comma [0] 2 2 2 3 2" xfId="121" xr:uid="{D036564D-ADA0-4F86-A9CB-506CF42A050B}"/>
    <cellStyle name="Comma [0] 2 2 2 3 2 2" xfId="122" xr:uid="{6EBA157C-3527-41BC-95D6-ADA9AAF2826D}"/>
    <cellStyle name="Comma [0] 2 2 2 3 2 3" xfId="123" xr:uid="{A7B938FE-9B2A-4725-A78E-7E28F715B05D}"/>
    <cellStyle name="Comma [0] 2 2 2 3 3" xfId="124" xr:uid="{049D1BED-2D3A-4A45-A7E3-5FDDD54031E0}"/>
    <cellStyle name="Comma [0] 2 2 2 3 3 2" xfId="125" xr:uid="{114F3C7E-BD1E-4756-8E7F-EB08313B8E49}"/>
    <cellStyle name="Comma [0] 2 2 2 3 4" xfId="126" xr:uid="{7DB2E162-1A21-4182-AC5D-5669BE4041E1}"/>
    <cellStyle name="Comma [0] 2 2 2 3 4 2" xfId="127" xr:uid="{4BF5BB3E-563B-4F1B-8192-B0753218DB4B}"/>
    <cellStyle name="Comma [0] 2 2 2 3 5" xfId="128" xr:uid="{6315659C-F5D4-4F4E-B4FE-A9A14251F336}"/>
    <cellStyle name="Comma [0] 2 2 2 3 6" xfId="129" xr:uid="{98CA817B-1EA7-4DDC-A1FF-7726B7E1D0A3}"/>
    <cellStyle name="Comma [0] 2 2 2 4" xfId="130" xr:uid="{EDD09CDC-62AA-4A42-8A68-E643476F1D3D}"/>
    <cellStyle name="Comma [0] 2 2 2 4 2" xfId="131" xr:uid="{0B6DAA86-2374-4959-BEB8-F40C8DD9B73E}"/>
    <cellStyle name="Comma [0] 2 2 2 4 2 2" xfId="132" xr:uid="{3324D7E1-7050-45D0-A12F-A81C69F6F222}"/>
    <cellStyle name="Comma [0] 2 2 2 4 2 3" xfId="133" xr:uid="{28BFED2D-EB6F-4AF5-959B-DFCA2BACF2A9}"/>
    <cellStyle name="Comma [0] 2 2 2 4 3" xfId="134" xr:uid="{F76DBC89-3B12-49AC-BE71-05D080BC204B}"/>
    <cellStyle name="Comma [0] 2 2 2 4 3 2" xfId="135" xr:uid="{80024E50-4DED-4A81-8381-4F26F948FFC3}"/>
    <cellStyle name="Comma [0] 2 2 2 4 4" xfId="136" xr:uid="{D05CB5CD-0244-41D1-A44F-88B0F24837C5}"/>
    <cellStyle name="Comma [0] 2 2 2 4 4 2" xfId="137" xr:uid="{52806DCC-7F0A-4EDB-8F97-E0247A1C7A17}"/>
    <cellStyle name="Comma [0] 2 2 2 4 5" xfId="138" xr:uid="{77C39354-B573-4937-9779-F70BE166EC5A}"/>
    <cellStyle name="Comma [0] 2 2 2 4 6" xfId="139" xr:uid="{7E5E5DDB-19E7-45A6-8BC9-717299589289}"/>
    <cellStyle name="Comma [0] 2 2 2 5" xfId="140" xr:uid="{FF524048-0B86-4AB7-8194-28C04220F293}"/>
    <cellStyle name="Comma [0] 2 2 2 5 2" xfId="141" xr:uid="{142DFA42-D879-405D-BDAF-ED5914ED0F91}"/>
    <cellStyle name="Comma [0] 2 2 2 5 3" xfId="142" xr:uid="{98FC3AF5-A316-4D5B-95C0-0AE4366FA54D}"/>
    <cellStyle name="Comma [0] 2 2 2 6" xfId="143" xr:uid="{5EBECF97-D417-40DA-8C54-0846665C670B}"/>
    <cellStyle name="Comma [0] 2 2 2 6 2" xfId="144" xr:uid="{DDA478EA-CEFB-494A-89C4-A8168E3B9C77}"/>
    <cellStyle name="Comma [0] 2 2 2 7" xfId="145" xr:uid="{EC38AF95-FF39-4CF4-AFAD-B604BED73C5A}"/>
    <cellStyle name="Comma [0] 2 2 2 7 2" xfId="146" xr:uid="{4E29316F-27D9-4F07-8C21-6C1D46F65D03}"/>
    <cellStyle name="Comma [0] 2 2 2 8" xfId="147" xr:uid="{DB8F3F61-DDA6-4416-9593-E55B85B2AA7C}"/>
    <cellStyle name="Comma [0] 2 2 2 8 2" xfId="148" xr:uid="{6CF4B832-FBA9-438B-848D-B16D7D94DABA}"/>
    <cellStyle name="Comma [0] 2 2 2 9" xfId="149" xr:uid="{A20BCA42-9293-4979-B7F2-1AC451CBA198}"/>
    <cellStyle name="Comma [0] 2 2 3" xfId="150" xr:uid="{C08B75CC-916E-473E-81AC-BB450BC4AACB}"/>
    <cellStyle name="Comma [0] 2 2 3 2" xfId="151" xr:uid="{55D9C9A7-767C-4AAF-A54B-67B9EC7F465F}"/>
    <cellStyle name="Comma [0] 2 2 3 2 2" xfId="152" xr:uid="{80AE0447-E51B-42C5-A420-7A718C6BF9E5}"/>
    <cellStyle name="Comma [0] 2 2 3 2 2 2" xfId="153" xr:uid="{E840C1FC-8F3A-487C-A557-48BC6785C488}"/>
    <cellStyle name="Comma [0] 2 2 3 2 2 3" xfId="154" xr:uid="{1077EBD8-A843-44EE-8408-D01FECD7FFEE}"/>
    <cellStyle name="Comma [0] 2 2 3 2 3" xfId="155" xr:uid="{DEFC5A22-4CF6-428D-9FA5-F1D1FFFDCDB7}"/>
    <cellStyle name="Comma [0] 2 2 3 2 3 2" xfId="156" xr:uid="{4AB979D5-7CC6-4862-8BDC-1AC4EA2C155F}"/>
    <cellStyle name="Comma [0] 2 2 3 2 4" xfId="157" xr:uid="{E62ABF6F-E672-4736-9ECE-DAD47DDF5361}"/>
    <cellStyle name="Comma [0] 2 2 3 2 4 2" xfId="158" xr:uid="{15D640FD-1DB8-4B23-BD5F-E483F0C7666A}"/>
    <cellStyle name="Comma [0] 2 2 3 2 5" xfId="159" xr:uid="{3D18DB56-FC1A-415E-83EF-A4F385D80BC9}"/>
    <cellStyle name="Comma [0] 2 2 3 2 6" xfId="160" xr:uid="{3DAC2FF6-B6DA-400A-8221-683DED72F045}"/>
    <cellStyle name="Comma [0] 2 2 3 3" xfId="161" xr:uid="{30BB75B4-22FC-483C-842C-91C16C8EB251}"/>
    <cellStyle name="Comma [0] 2 2 3 3 2" xfId="162" xr:uid="{17485A78-7287-4F79-90CC-D50025D6534E}"/>
    <cellStyle name="Comma [0] 2 2 3 3 3" xfId="163" xr:uid="{F7B9E16C-0A2E-4FAD-87F5-6C80BCEC8480}"/>
    <cellStyle name="Comma [0] 2 2 3 4" xfId="164" xr:uid="{D56309EF-8E10-42E9-9DB5-84AF6224E1D7}"/>
    <cellStyle name="Comma [0] 2 2 3 4 2" xfId="165" xr:uid="{AFC8953C-5D10-4239-9FB6-E5516A14D779}"/>
    <cellStyle name="Comma [0] 2 2 3 5" xfId="166" xr:uid="{7A2086BA-D426-49DC-AAB7-4883DF5C9004}"/>
    <cellStyle name="Comma [0] 2 2 3 5 2" xfId="167" xr:uid="{8257AADE-DCE7-4465-B8D2-454A9AA9898C}"/>
    <cellStyle name="Comma [0] 2 2 3 6" xfId="168" xr:uid="{39695AFA-91C2-4229-AFC3-059144816172}"/>
    <cellStyle name="Comma [0] 2 2 3 6 2" xfId="169" xr:uid="{59026B8A-A186-4FA6-96E7-97AA0202293B}"/>
    <cellStyle name="Comma [0] 2 2 3 7" xfId="170" xr:uid="{DD0D0ECA-53F3-42F7-BA63-E75FE0CC6848}"/>
    <cellStyle name="Comma [0] 2 2 3 8" xfId="171" xr:uid="{C52161F6-2A7A-45BC-9AAB-AA1E6DE2462A}"/>
    <cellStyle name="Comma [0] 2 2 4" xfId="172" xr:uid="{F473470B-64DF-4274-83FD-7B766CB3671D}"/>
    <cellStyle name="Comma [0] 2 2 4 2" xfId="173" xr:uid="{93CEDD3E-87A1-41C6-9B82-15E45A2B19EC}"/>
    <cellStyle name="Comma [0] 2 2 4 2 2" xfId="174" xr:uid="{E7BD28A6-6B89-4110-9BC1-169333B4128C}"/>
    <cellStyle name="Comma [0] 2 2 4 2 3" xfId="175" xr:uid="{1D7F04A2-51B0-4338-9371-8B820772F0FE}"/>
    <cellStyle name="Comma [0] 2 2 4 3" xfId="176" xr:uid="{FDF9C763-EF3E-4698-8D8A-4801EFB2EB52}"/>
    <cellStyle name="Comma [0] 2 2 4 3 2" xfId="177" xr:uid="{A553E15D-4C68-4B60-BB1D-60B277DC7F40}"/>
    <cellStyle name="Comma [0] 2 2 4 4" xfId="178" xr:uid="{AAB5A3C5-F0B3-431D-87FD-EB93AA154248}"/>
    <cellStyle name="Comma [0] 2 2 4 4 2" xfId="179" xr:uid="{6A5636F2-76BC-4BC8-9A7D-E2FA96685996}"/>
    <cellStyle name="Comma [0] 2 2 4 5" xfId="180" xr:uid="{95A3146F-1C7F-42A9-96EF-D02DB95E5336}"/>
    <cellStyle name="Comma [0] 2 2 4 5 2" xfId="181" xr:uid="{C4D3A2B9-600D-4517-89E2-16DE7CC802B3}"/>
    <cellStyle name="Comma [0] 2 2 4 6" xfId="182" xr:uid="{BCC51DAC-3EE8-402E-AFAF-6153FED66EBC}"/>
    <cellStyle name="Comma [0] 2 2 4 7" xfId="183" xr:uid="{199819D3-8B93-4230-A00D-CCE58D36766E}"/>
    <cellStyle name="Comma [0] 2 2 5" xfId="184" xr:uid="{FE4EB698-6E5D-4A5D-A0AD-13B3731BC485}"/>
    <cellStyle name="Comma [0] 2 2 5 2" xfId="185" xr:uid="{75005E18-D0DC-40D5-A52F-6C14EC883536}"/>
    <cellStyle name="Comma [0] 2 2 5 2 2" xfId="186" xr:uid="{E3BC34E1-2448-470C-98AB-F1EE21E00B00}"/>
    <cellStyle name="Comma [0] 2 2 5 2 3" xfId="187" xr:uid="{44D5E877-7615-4E7E-9A46-31DD17869D68}"/>
    <cellStyle name="Comma [0] 2 2 5 3" xfId="188" xr:uid="{3A9C5880-7EEC-47D2-A44D-8ED49DF8538F}"/>
    <cellStyle name="Comma [0] 2 2 5 3 2" xfId="189" xr:uid="{CDFDDAB3-FC5C-46B3-9BBA-F65A0AFB09A1}"/>
    <cellStyle name="Comma [0] 2 2 5 4" xfId="190" xr:uid="{3F60B87D-CAAD-4949-8DEC-1ECBD0E9489E}"/>
    <cellStyle name="Comma [0] 2 2 5 4 2" xfId="191" xr:uid="{B0055BC2-8235-4431-AF34-6320A5093249}"/>
    <cellStyle name="Comma [0] 2 2 5 5" xfId="192" xr:uid="{51651393-1F38-4361-8F01-8A4779CBEBEF}"/>
    <cellStyle name="Comma [0] 2 2 5 6" xfId="193" xr:uid="{C0A8FC74-622E-48F4-BD03-39C915AFB494}"/>
    <cellStyle name="Comma [0] 2 2 6" xfId="194" xr:uid="{A934D5B4-4541-4283-9E1C-14E50CF352E2}"/>
    <cellStyle name="Comma [0] 2 2 6 2" xfId="195" xr:uid="{4763724C-275A-4FC0-93E1-5FF553FA0E54}"/>
    <cellStyle name="Comma [0] 2 2 6 3" xfId="196" xr:uid="{084D32AF-E15C-4DAA-9ED0-0D3556759FCB}"/>
    <cellStyle name="Comma [0] 2 2 7" xfId="197" xr:uid="{20FFF517-A406-43FD-BD0E-F29F38E6094D}"/>
    <cellStyle name="Comma [0] 2 2 7 2" xfId="198" xr:uid="{C8F1328D-52BA-4D08-8FE8-610532E9BC0E}"/>
    <cellStyle name="Comma [0] 2 2 8" xfId="199" xr:uid="{85D24AA7-1334-4F82-BC78-3249884D565C}"/>
    <cellStyle name="Comma [0] 2 2 8 2" xfId="200" xr:uid="{9B40536A-DA03-4CCC-9B4A-D9FD23505A05}"/>
    <cellStyle name="Comma [0] 2 2 9" xfId="201" xr:uid="{7DAB0873-FBF5-4C57-B8E8-58A15E8C43F5}"/>
    <cellStyle name="Comma [0] 2 2 9 2" xfId="202" xr:uid="{33C82F1F-8B7D-4A27-984A-28202855446E}"/>
    <cellStyle name="Comma [0] 2 3" xfId="203" xr:uid="{5483ADC1-3605-45FF-BD15-735605DCCA52}"/>
    <cellStyle name="Comma [0] 2 3 10" xfId="204" xr:uid="{690362A0-06A0-4CF1-981E-E805B2A1AA72}"/>
    <cellStyle name="Comma [0] 2 3 2" xfId="205" xr:uid="{2D5C7BEA-B640-4426-AB36-A21138BF0ACC}"/>
    <cellStyle name="Comma [0] 2 3 2 2" xfId="206" xr:uid="{5E8931E9-922F-4CE6-B5AF-87887B85A7DE}"/>
    <cellStyle name="Comma [0] 2 3 2 2 2" xfId="207" xr:uid="{95E904D6-43AA-40AF-9521-CDFC2BAE0D78}"/>
    <cellStyle name="Comma [0] 2 3 2 2 2 2" xfId="208" xr:uid="{943158B8-C62E-403D-9F0A-BBABE4993BDE}"/>
    <cellStyle name="Comma [0] 2 3 2 2 2 3" xfId="209" xr:uid="{EBEE5B06-32EE-4B3F-BFEC-7B63F050A46C}"/>
    <cellStyle name="Comma [0] 2 3 2 2 3" xfId="210" xr:uid="{30EC9154-3A44-4E9B-8902-2E9ED1D6855B}"/>
    <cellStyle name="Comma [0] 2 3 2 2 3 2" xfId="211" xr:uid="{BFBEE80A-0748-496D-91B1-6BF065337CBF}"/>
    <cellStyle name="Comma [0] 2 3 2 2 4" xfId="212" xr:uid="{EEF18A74-1159-4DD6-B185-8CE19244D2BE}"/>
    <cellStyle name="Comma [0] 2 3 2 2 4 2" xfId="213" xr:uid="{9D81B418-1815-4B8C-B469-414E597BF8B4}"/>
    <cellStyle name="Comma [0] 2 3 2 2 5" xfId="214" xr:uid="{3B6B3A02-25EF-40DB-A9A2-43D0A6D5CA45}"/>
    <cellStyle name="Comma [0] 2 3 2 2 6" xfId="215" xr:uid="{3D62D0C6-67C1-4775-8C97-177C5C1D9DF1}"/>
    <cellStyle name="Comma [0] 2 3 2 3" xfId="216" xr:uid="{CB36FBBF-AF31-4CA2-B39B-132BFC51775E}"/>
    <cellStyle name="Comma [0] 2 3 2 3 2" xfId="217" xr:uid="{47E97909-1A4C-450D-A817-DAD2E3AD509C}"/>
    <cellStyle name="Comma [0] 2 3 2 3 3" xfId="218" xr:uid="{7EF3C0A2-9E6A-47B9-AA71-2073CF069500}"/>
    <cellStyle name="Comma [0] 2 3 2 4" xfId="219" xr:uid="{D3453224-62CF-4750-9560-F351321E6DB6}"/>
    <cellStyle name="Comma [0] 2 3 2 4 2" xfId="220" xr:uid="{B883B946-81BF-4880-9410-74FCEFC8CC5E}"/>
    <cellStyle name="Comma [0] 2 3 2 5" xfId="221" xr:uid="{669FC8A6-2BC0-4562-A961-FB59C7B6B889}"/>
    <cellStyle name="Comma [0] 2 3 2 5 2" xfId="222" xr:uid="{8ED2FA2E-49DD-47BF-B77E-7E13B110A08B}"/>
    <cellStyle name="Comma [0] 2 3 2 6" xfId="223" xr:uid="{3B0AD85D-AACB-45C1-8438-B6B3DF6C40DA}"/>
    <cellStyle name="Comma [0] 2 3 2 6 2" xfId="224" xr:uid="{4F763AFF-2F60-470B-949B-AB8E1D486008}"/>
    <cellStyle name="Comma [0] 2 3 2 7" xfId="225" xr:uid="{E0F80009-02D5-4309-A755-5E7E19814123}"/>
    <cellStyle name="Comma [0] 2 3 2 8" xfId="226" xr:uid="{957B027C-36C8-4DCA-8642-008BF1D1750C}"/>
    <cellStyle name="Comma [0] 2 3 3" xfId="227" xr:uid="{D9E311E1-C0F8-4009-AA8C-2C7E9C14EB4D}"/>
    <cellStyle name="Comma [0] 2 3 3 2" xfId="228" xr:uid="{6F81976F-3BD6-4AC5-8C45-9F4793442F98}"/>
    <cellStyle name="Comma [0] 2 3 3 2 2" xfId="229" xr:uid="{726DC77D-A4C0-4C31-9080-09BA2AF4BFF4}"/>
    <cellStyle name="Comma [0] 2 3 3 2 3" xfId="230" xr:uid="{30602D8E-D6C2-44C6-81C4-9288089A6745}"/>
    <cellStyle name="Comma [0] 2 3 3 3" xfId="231" xr:uid="{763F755F-FD11-4732-9658-B8CE95FB3B2B}"/>
    <cellStyle name="Comma [0] 2 3 3 3 2" xfId="232" xr:uid="{02CE05B2-8813-4BEA-BD45-45368A535038}"/>
    <cellStyle name="Comma [0] 2 3 3 4" xfId="233" xr:uid="{902E7242-31A2-4B8F-8D18-B8C0F1237C55}"/>
    <cellStyle name="Comma [0] 2 3 3 4 2" xfId="234" xr:uid="{E8655D0F-1C76-4CC2-AE06-BFE2107751C4}"/>
    <cellStyle name="Comma [0] 2 3 3 5" xfId="235" xr:uid="{20DB5439-10D9-439B-88E6-D4B26C86ECB4}"/>
    <cellStyle name="Comma [0] 2 3 3 6" xfId="236" xr:uid="{6B0B6170-84C6-40BF-87CB-A8DD71092852}"/>
    <cellStyle name="Comma [0] 2 3 4" xfId="237" xr:uid="{F6DF47E2-176F-4412-B6E1-3CAE0AFC6F14}"/>
    <cellStyle name="Comma [0] 2 3 4 2" xfId="238" xr:uid="{E3887B86-3BCC-47F0-B84A-9943538096C7}"/>
    <cellStyle name="Comma [0] 2 3 4 2 2" xfId="239" xr:uid="{74E9218D-67D0-438E-AF8C-4D71E344E2D8}"/>
    <cellStyle name="Comma [0] 2 3 4 2 3" xfId="240" xr:uid="{7219C667-EDF8-47AF-B79B-CC4C223F70F8}"/>
    <cellStyle name="Comma [0] 2 3 4 3" xfId="241" xr:uid="{69B7BEAA-AE5D-43DE-976B-50DC676DFB2E}"/>
    <cellStyle name="Comma [0] 2 3 4 3 2" xfId="242" xr:uid="{3A202556-3BD5-4FF4-BBEB-03630C696EAD}"/>
    <cellStyle name="Comma [0] 2 3 4 4" xfId="243" xr:uid="{0B2C7128-DC8A-4D3F-BA97-BBC3805C720B}"/>
    <cellStyle name="Comma [0] 2 3 4 4 2" xfId="244" xr:uid="{0076C85A-49AD-4391-A033-C4562D325271}"/>
    <cellStyle name="Comma [0] 2 3 4 5" xfId="245" xr:uid="{6A688053-4382-41A9-9FEE-67C68A8E1C42}"/>
    <cellStyle name="Comma [0] 2 3 4 6" xfId="246" xr:uid="{6F82F99E-C97C-4FB6-A269-471984C3F64E}"/>
    <cellStyle name="Comma [0] 2 3 5" xfId="247" xr:uid="{43C88C18-CF69-4762-BD88-31EB5994EAD7}"/>
    <cellStyle name="Comma [0] 2 3 5 2" xfId="248" xr:uid="{67F0C8CC-61B4-45BA-9148-B7C96331C53C}"/>
    <cellStyle name="Comma [0] 2 3 5 3" xfId="249" xr:uid="{4C8AC4D8-7985-4B8F-A7BC-8D7D9D915330}"/>
    <cellStyle name="Comma [0] 2 3 6" xfId="250" xr:uid="{DD4F2EDC-A8B0-4581-91A2-F5AC8B356105}"/>
    <cellStyle name="Comma [0] 2 3 6 2" xfId="251" xr:uid="{43FDB80A-861F-4AF7-AAF7-F2D849A2AD70}"/>
    <cellStyle name="Comma [0] 2 3 7" xfId="252" xr:uid="{D17C330E-0233-4D07-9DAA-E198FA31D28A}"/>
    <cellStyle name="Comma [0] 2 3 7 2" xfId="253" xr:uid="{0C419530-17AA-4500-B120-9EF086FC57F8}"/>
    <cellStyle name="Comma [0] 2 3 8" xfId="254" xr:uid="{4F893ADD-A887-4310-BFB8-F85B9C9F3AA8}"/>
    <cellStyle name="Comma [0] 2 3 8 2" xfId="255" xr:uid="{0749B8FE-E448-440E-81AD-0FA9F05A2CFF}"/>
    <cellStyle name="Comma [0] 2 3 9" xfId="256" xr:uid="{06245722-974B-425B-8CA8-CA920C5A6779}"/>
    <cellStyle name="Comma [0] 2 4" xfId="257" xr:uid="{CFE75FEC-E0D7-48C5-937F-D4F5AA1E40ED}"/>
    <cellStyle name="Comma [0] 2 4 10" xfId="258" xr:uid="{9D7C1D27-C969-4B1E-8162-5BF080FE7776}"/>
    <cellStyle name="Comma [0] 2 4 2" xfId="259" xr:uid="{98B70929-7850-4340-94F0-4FC0422961B8}"/>
    <cellStyle name="Comma [0] 2 4 2 2" xfId="260" xr:uid="{F8F4705B-1197-44F5-8432-CBA212D154F5}"/>
    <cellStyle name="Comma [0] 2 4 2 2 2" xfId="261" xr:uid="{40AFE529-FA5C-40AF-A36A-A79A9A212C2C}"/>
    <cellStyle name="Comma [0] 2 4 2 2 2 2" xfId="262" xr:uid="{337D9CAC-1D25-4CBA-A925-D9BFBFE64450}"/>
    <cellStyle name="Comma [0] 2 4 2 2 2 3" xfId="263" xr:uid="{DD4C9824-CC45-4C8E-A320-DEA93D6A72D7}"/>
    <cellStyle name="Comma [0] 2 4 2 2 3" xfId="264" xr:uid="{D77606A6-A2E5-4A4D-B6B9-DF8BABF55B86}"/>
    <cellStyle name="Comma [0] 2 4 2 2 3 2" xfId="265" xr:uid="{87AE83FE-AAC9-450F-9D09-CFA890EB1F03}"/>
    <cellStyle name="Comma [0] 2 4 2 2 4" xfId="266" xr:uid="{DFC993C0-F47E-4375-9839-84A877904324}"/>
    <cellStyle name="Comma [0] 2 4 2 2 4 2" xfId="267" xr:uid="{2091B91C-7E70-4F06-8282-7CA6D672E312}"/>
    <cellStyle name="Comma [0] 2 4 2 2 5" xfId="268" xr:uid="{2EF22726-BDD9-432A-B1A6-C9124197BF33}"/>
    <cellStyle name="Comma [0] 2 4 2 2 6" xfId="269" xr:uid="{3B7C7AF6-F377-4CB5-BFC9-A0442442AE3C}"/>
    <cellStyle name="Comma [0] 2 4 2 3" xfId="270" xr:uid="{5E70915C-AB74-46BF-9DEF-CB755A44291F}"/>
    <cellStyle name="Comma [0] 2 4 2 3 2" xfId="271" xr:uid="{0E18FA1C-19AD-4D58-9CFC-8A5957A26D76}"/>
    <cellStyle name="Comma [0] 2 4 2 3 3" xfId="272" xr:uid="{E797E675-50BB-478E-BF6D-2D4BA9AEDFF6}"/>
    <cellStyle name="Comma [0] 2 4 2 4" xfId="273" xr:uid="{5C46CFD0-D73F-4947-886F-7C31F63A064D}"/>
    <cellStyle name="Comma [0] 2 4 2 4 2" xfId="274" xr:uid="{2C686DC8-6AC0-493F-81F0-F9BCE8977C4B}"/>
    <cellStyle name="Comma [0] 2 4 2 5" xfId="275" xr:uid="{EA76A0DF-5A17-47E0-8675-6170383F5CEB}"/>
    <cellStyle name="Comma [0] 2 4 2 5 2" xfId="276" xr:uid="{19BDE2A0-7AB0-44E5-90F7-A10CAB79EFEE}"/>
    <cellStyle name="Comma [0] 2 4 2 6" xfId="277" xr:uid="{B461333B-3AF8-48A8-B82C-2D04ABE926E9}"/>
    <cellStyle name="Comma [0] 2 4 2 6 2" xfId="278" xr:uid="{EE59DF42-729C-4F73-B615-722D12DAB1FD}"/>
    <cellStyle name="Comma [0] 2 4 2 7" xfId="279" xr:uid="{D0B61D81-F8CF-47E5-B448-08D457B5EF81}"/>
    <cellStyle name="Comma [0] 2 4 2 8" xfId="280" xr:uid="{16C7C885-FAD9-4C74-8825-964807B52C77}"/>
    <cellStyle name="Comma [0] 2 4 3" xfId="281" xr:uid="{2A6BF8B5-5394-42CC-B105-0F26661BF3AB}"/>
    <cellStyle name="Comma [0] 2 4 3 2" xfId="282" xr:uid="{BE44197B-6ABA-4F50-ACB4-FDFA8BFE9398}"/>
    <cellStyle name="Comma [0] 2 4 3 2 2" xfId="283" xr:uid="{20FEBA80-44CD-4D87-BBDB-FFF381C8CA2A}"/>
    <cellStyle name="Comma [0] 2 4 3 2 3" xfId="284" xr:uid="{468A71E4-95FD-4F1F-A182-44D925FE860A}"/>
    <cellStyle name="Comma [0] 2 4 3 3" xfId="285" xr:uid="{A837B8F2-1A88-4DA0-992E-E2BF976D1047}"/>
    <cellStyle name="Comma [0] 2 4 3 3 2" xfId="286" xr:uid="{FCFC6164-9812-4B67-BCD6-D19316E9BAF1}"/>
    <cellStyle name="Comma [0] 2 4 3 4" xfId="287" xr:uid="{7C8AF5EF-3EE1-4319-9538-8371B1CC8EB0}"/>
    <cellStyle name="Comma [0] 2 4 3 4 2" xfId="288" xr:uid="{EEE3AE3C-995C-46F6-BF9B-6C23F114A990}"/>
    <cellStyle name="Comma [0] 2 4 3 5" xfId="289" xr:uid="{A3B3EFF3-1DF9-4921-BFE2-4EC9870A3990}"/>
    <cellStyle name="Comma [0] 2 4 3 6" xfId="290" xr:uid="{F79D046B-06ED-412B-AF6D-7263B34578B1}"/>
    <cellStyle name="Comma [0] 2 4 4" xfId="291" xr:uid="{8BC4C53E-AD21-4861-8BBA-FEFFFBEA2984}"/>
    <cellStyle name="Comma [0] 2 4 4 2" xfId="292" xr:uid="{A955ADD7-7442-41D2-95D4-15ECD70EEB30}"/>
    <cellStyle name="Comma [0] 2 4 4 2 2" xfId="293" xr:uid="{22B3FFFB-B016-452E-885C-6DD821C71916}"/>
    <cellStyle name="Comma [0] 2 4 4 2 3" xfId="294" xr:uid="{91209362-DFAA-40A9-9548-465F116FE34C}"/>
    <cellStyle name="Comma [0] 2 4 4 3" xfId="295" xr:uid="{DB31A8E1-DF77-4B54-ABA6-F02223A2E575}"/>
    <cellStyle name="Comma [0] 2 4 4 3 2" xfId="296" xr:uid="{0814DA79-034B-4F62-BFEA-BA86B4820BA2}"/>
    <cellStyle name="Comma [0] 2 4 4 4" xfId="297" xr:uid="{EBC73CCC-EF84-4DA2-965C-A87DB3364EB5}"/>
    <cellStyle name="Comma [0] 2 4 4 4 2" xfId="298" xr:uid="{4BED0DA2-8203-4946-9618-D9246828F186}"/>
    <cellStyle name="Comma [0] 2 4 4 5" xfId="299" xr:uid="{3E3E1A9F-7C79-4990-BB80-D005283B7D85}"/>
    <cellStyle name="Comma [0] 2 4 4 6" xfId="300" xr:uid="{5CBEDCED-8703-455C-A349-56F1AF80E230}"/>
    <cellStyle name="Comma [0] 2 4 5" xfId="301" xr:uid="{ECD1AE79-D86A-450A-B613-4E1F1C077E6A}"/>
    <cellStyle name="Comma [0] 2 4 5 2" xfId="302" xr:uid="{AE08EF6B-8ABE-4B3A-A199-E0E58550C47B}"/>
    <cellStyle name="Comma [0] 2 4 5 3" xfId="303" xr:uid="{FC83048C-8119-4F62-BE75-BE60C2DE0EA3}"/>
    <cellStyle name="Comma [0] 2 4 6" xfId="304" xr:uid="{C43821F9-6997-484B-92AA-20F91D0EEE2A}"/>
    <cellStyle name="Comma [0] 2 4 6 2" xfId="305" xr:uid="{76E98FB7-EC27-494A-A999-533B9696F385}"/>
    <cellStyle name="Comma [0] 2 4 7" xfId="306" xr:uid="{D1EB6493-466C-4F59-B949-CC16FEB9D8B4}"/>
    <cellStyle name="Comma [0] 2 4 7 2" xfId="307" xr:uid="{420D1335-B971-4386-B0DA-E49A9E34503A}"/>
    <cellStyle name="Comma [0] 2 4 8" xfId="308" xr:uid="{8F90D4F7-421F-4EEF-9997-034EBFFF13CB}"/>
    <cellStyle name="Comma [0] 2 4 8 2" xfId="309" xr:uid="{BDEAAF76-196D-44CD-9526-87E3C1438774}"/>
    <cellStyle name="Comma [0] 2 4 9" xfId="310" xr:uid="{75EC1ED9-4492-47AE-B096-C332A1D45D19}"/>
    <cellStyle name="Comma [0] 2 5" xfId="311" xr:uid="{FC71F1B2-2637-4390-888D-D2505432820C}"/>
    <cellStyle name="Comma [0] 2 5 2" xfId="312" xr:uid="{974B7805-9529-4FC7-A346-99777F20358B}"/>
    <cellStyle name="Comma [0] 2 5 2 2" xfId="313" xr:uid="{F05E201C-240D-4897-A780-D81CCDF2B02F}"/>
    <cellStyle name="Comma [0] 2 5 2 2 2" xfId="314" xr:uid="{F3E6204E-2E46-4F56-84DC-39DAC88BD357}"/>
    <cellStyle name="Comma [0] 2 5 2 2 3" xfId="315" xr:uid="{047E3C95-97E9-4DD1-A2F5-53650B2F9CEE}"/>
    <cellStyle name="Comma [0] 2 5 2 3" xfId="316" xr:uid="{60ED33B5-BD4D-449B-97DC-EB539119BE76}"/>
    <cellStyle name="Comma [0] 2 5 2 3 2" xfId="317" xr:uid="{E3B8D02E-A346-4A4D-B221-D9F53113A182}"/>
    <cellStyle name="Comma [0] 2 5 2 4" xfId="318" xr:uid="{012F878C-00C1-4E69-B1C7-8B95153C8D70}"/>
    <cellStyle name="Comma [0] 2 5 2 4 2" xfId="319" xr:uid="{39EA2326-B107-47EE-B0D6-5288FAD65DC8}"/>
    <cellStyle name="Comma [0] 2 5 2 5" xfId="320" xr:uid="{1711E973-748D-4A70-A8E0-1B64C585EB32}"/>
    <cellStyle name="Comma [0] 2 5 2 6" xfId="321" xr:uid="{81E05C87-FD65-4176-BFD6-DD689E96F026}"/>
    <cellStyle name="Comma [0] 2 5 3" xfId="322" xr:uid="{FEF37DA5-CA0D-4CFA-BB5C-B38EF8FB4B2B}"/>
    <cellStyle name="Comma [0] 2 5 3 2" xfId="323" xr:uid="{3210F4B7-E014-4914-889A-96B4062B4F6E}"/>
    <cellStyle name="Comma [0] 2 5 3 2 2" xfId="324" xr:uid="{E2FE74D0-A1C9-4F78-A6D0-4038A5669BB6}"/>
    <cellStyle name="Comma [0] 2 5 3 2 3" xfId="325" xr:uid="{2EAEE883-DFCA-42BB-A72B-CF875B937548}"/>
    <cellStyle name="Comma [0] 2 5 3 3" xfId="326" xr:uid="{17956204-FB98-4137-AC5C-773F2004A627}"/>
    <cellStyle name="Comma [0] 2 5 3 3 2" xfId="327" xr:uid="{77C315DC-5B80-4FC6-9903-89C94216F3E8}"/>
    <cellStyle name="Comma [0] 2 5 3 4" xfId="328" xr:uid="{462628D2-9041-4CC9-B44E-A86590A9F1A2}"/>
    <cellStyle name="Comma [0] 2 5 3 4 2" xfId="329" xr:uid="{BA2BEE73-25A2-4627-A2C9-DEE337F4BDA1}"/>
    <cellStyle name="Comma [0] 2 5 3 5" xfId="330" xr:uid="{9939EC3D-CD74-47B1-87B9-CB10AF3A2E2C}"/>
    <cellStyle name="Comma [0] 2 5 3 6" xfId="331" xr:uid="{3E571497-8225-4BF0-8EC3-25C2AB531DB7}"/>
    <cellStyle name="Comma [0] 2 5 4" xfId="332" xr:uid="{BB2C5627-07B9-439D-82A0-578B2B743693}"/>
    <cellStyle name="Comma [0] 2 5 4 2" xfId="333" xr:uid="{02C76F75-7966-429A-8976-896777ABF846}"/>
    <cellStyle name="Comma [0] 2 5 4 3" xfId="334" xr:uid="{A31590A6-F4EB-41AF-B76F-C7B79313A645}"/>
    <cellStyle name="Comma [0] 2 5 5" xfId="335" xr:uid="{E7379F99-01BF-4B32-AD53-BBFA79A7B3F3}"/>
    <cellStyle name="Comma [0] 2 5 5 2" xfId="336" xr:uid="{AF61D34C-8C8F-46E7-A2C0-4058CAC540CD}"/>
    <cellStyle name="Comma [0] 2 5 6" xfId="337" xr:uid="{8C93797F-D85D-42A9-9B78-FE8FCBFF7A50}"/>
    <cellStyle name="Comma [0] 2 5 6 2" xfId="338" xr:uid="{31078E87-D491-4287-A25D-A051F206CAC4}"/>
    <cellStyle name="Comma [0] 2 5 7" xfId="339" xr:uid="{EADB7A30-7C9D-4B08-9E9E-94B72A9A0A22}"/>
    <cellStyle name="Comma [0] 2 5 7 2" xfId="340" xr:uid="{7825C4B0-706C-4223-8D8F-B794C2E4A6C5}"/>
    <cellStyle name="Comma [0] 2 5 8" xfId="341" xr:uid="{D16286A1-923B-41C9-B96E-488D18744820}"/>
    <cellStyle name="Comma [0] 2 5 9" xfId="342" xr:uid="{A016D2B1-3457-44FD-913A-095739A4B103}"/>
    <cellStyle name="Comma [0] 2 6" xfId="343" xr:uid="{644E1B95-F53F-4904-8D8B-6F5FB2B85172}"/>
    <cellStyle name="Comma [0] 2 6 2" xfId="344" xr:uid="{78DCBEB8-BC42-4A27-A248-57F14BD7E309}"/>
    <cellStyle name="Comma [0] 2 6 2 2" xfId="345" xr:uid="{98052DEE-26C4-4224-BD14-E31120BBCFA1}"/>
    <cellStyle name="Comma [0] 2 6 2 2 2" xfId="346" xr:uid="{F8FED62A-5BED-4799-86D2-62B5AF53A43C}"/>
    <cellStyle name="Comma [0] 2 6 2 2 3" xfId="347" xr:uid="{9D3D31BB-34AA-4CC0-AEF0-312C6D231DBA}"/>
    <cellStyle name="Comma [0] 2 6 2 3" xfId="348" xr:uid="{BC7834AB-B977-4E1D-9E3B-9DFD52DE09D1}"/>
    <cellStyle name="Comma [0] 2 6 2 3 2" xfId="349" xr:uid="{26EEA653-CA94-4775-BB94-1E99AB97D265}"/>
    <cellStyle name="Comma [0] 2 6 2 4" xfId="350" xr:uid="{87D94610-A5C4-4D1A-8A44-64FB43C57F18}"/>
    <cellStyle name="Comma [0] 2 6 2 4 2" xfId="351" xr:uid="{C7827269-E110-41F6-888F-33245081E723}"/>
    <cellStyle name="Comma [0] 2 6 2 5" xfId="352" xr:uid="{1E308DD0-60BB-4929-9230-B290D18D17C4}"/>
    <cellStyle name="Comma [0] 2 6 2 6" xfId="353" xr:uid="{2DB6A553-A7DF-4BDC-86A8-6722AF1E176A}"/>
    <cellStyle name="Comma [0] 2 6 3" xfId="354" xr:uid="{DC1ED694-A4FB-4E93-B6D6-73FF38E38411}"/>
    <cellStyle name="Comma [0] 2 6 3 2" xfId="355" xr:uid="{EB667B29-D51A-4A66-A1C7-6810ACB2C43E}"/>
    <cellStyle name="Comma [0] 2 6 3 3" xfId="356" xr:uid="{C9B09AE7-7D1C-44AC-9EEA-4AF419D19002}"/>
    <cellStyle name="Comma [0] 2 6 4" xfId="357" xr:uid="{656D1C9E-670A-4C18-8E8D-8B1A33E8436F}"/>
    <cellStyle name="Comma [0] 2 6 4 2" xfId="358" xr:uid="{B43D68CB-465D-448E-8611-65198A72CDF7}"/>
    <cellStyle name="Comma [0] 2 6 5" xfId="359" xr:uid="{E7D85B96-857F-4860-9440-5AF961C048A5}"/>
    <cellStyle name="Comma [0] 2 6 5 2" xfId="360" xr:uid="{C8BBFE9F-B5F3-4BF0-B976-2FE4B50A94FB}"/>
    <cellStyle name="Comma [0] 2 6 6" xfId="361" xr:uid="{BA2ACB9B-819E-4E68-BBA5-15F9095B0B11}"/>
    <cellStyle name="Comma [0] 2 6 6 2" xfId="362" xr:uid="{40F9AC67-F1E5-40DB-B460-7A23DA126DE1}"/>
    <cellStyle name="Comma [0] 2 6 7" xfId="363" xr:uid="{478D28E8-5789-436E-BA9C-630E5EE20200}"/>
    <cellStyle name="Comma [0] 2 6 8" xfId="364" xr:uid="{67D8E18E-3C57-4EDB-AFBF-E9CCBECA16DC}"/>
    <cellStyle name="Comma [0] 2 7" xfId="365" xr:uid="{0D74AFF4-1DE1-4C56-BCDC-9A41F9E036E9}"/>
    <cellStyle name="Comma [0] 2 7 2" xfId="366" xr:uid="{A828442F-FEF0-48D5-8DBE-F07FEB4D71BC}"/>
    <cellStyle name="Comma [0] 2 7 2 2" xfId="367" xr:uid="{3866680B-2E26-4906-91E9-A9EDFA2DCC69}"/>
    <cellStyle name="Comma [0] 2 7 2 3" xfId="368" xr:uid="{DBE6C9A2-3D62-4FF1-B260-523DAF2DC547}"/>
    <cellStyle name="Comma [0] 2 7 3" xfId="369" xr:uid="{0B69CC21-C64B-4A87-A6F4-3191C02C8049}"/>
    <cellStyle name="Comma [0] 2 7 3 2" xfId="370" xr:uid="{E06492F2-E16D-4B18-B2D7-DA6A57989FAE}"/>
    <cellStyle name="Comma [0] 2 7 3 3" xfId="371" xr:uid="{295815B2-30D0-49B3-BBBD-81F6FEE10737}"/>
    <cellStyle name="Comma [0] 2 7 4" xfId="372" xr:uid="{DA3EB60F-012E-4B30-8600-B0BD2BEF4A3C}"/>
    <cellStyle name="Comma [0] 2 7 4 2" xfId="373" xr:uid="{1C3A2AAA-789F-48E1-A231-AD39DB0F33F0}"/>
    <cellStyle name="Comma [0] 2 7 5" xfId="374" xr:uid="{6F64D332-01FD-4281-9882-C818C4FCA6E4}"/>
    <cellStyle name="Comma [0] 2 7 5 2" xfId="375" xr:uid="{38ACD181-22EB-4FD6-AB8F-40060AA763B6}"/>
    <cellStyle name="Comma [0] 2 7 6" xfId="376" xr:uid="{51306112-339F-4EAC-81A8-12B248230FB6}"/>
    <cellStyle name="Comma [0] 2 7 7" xfId="377" xr:uid="{72A3A235-838A-4B3B-8332-D2EBED776405}"/>
    <cellStyle name="Comma [0] 2 8" xfId="378" xr:uid="{2043396C-A9DA-4706-ABE5-82FBCE817290}"/>
    <cellStyle name="Comma [0] 2 8 2" xfId="379" xr:uid="{7E2EC04D-E32A-45F2-AD78-DDB77207A687}"/>
    <cellStyle name="Comma [0] 2 8 2 2" xfId="380" xr:uid="{7D4EBAFE-3A1D-4BD5-A116-2648A76CA181}"/>
    <cellStyle name="Comma [0] 2 8 2 3" xfId="381" xr:uid="{F47E3CC9-0CDF-4615-A079-0DA539134AA9}"/>
    <cellStyle name="Comma [0] 2 8 3" xfId="382" xr:uid="{4AEC978B-524F-4641-BD6B-A649059C93FD}"/>
    <cellStyle name="Comma [0] 2 8 3 2" xfId="383" xr:uid="{88D7A22B-4852-4C38-98C0-B5C57648D9A1}"/>
    <cellStyle name="Comma [0] 2 8 3 3" xfId="384" xr:uid="{3930C46E-A065-44EE-9F3D-538B86419EC7}"/>
    <cellStyle name="Comma [0] 2 8 4" xfId="385" xr:uid="{0B36498D-C638-4B03-BD5F-31D2DD7CDF1B}"/>
    <cellStyle name="Comma [0] 2 8 4 2" xfId="386" xr:uid="{6C80AF62-0839-443F-BF0C-048B70C3BFE4}"/>
    <cellStyle name="Comma [0] 2 8 5" xfId="387" xr:uid="{27B5487C-7261-426D-B1F4-DD9CE809A706}"/>
    <cellStyle name="Comma [0] 2 8 6" xfId="388" xr:uid="{BFE98D20-290D-4032-A051-657C6842AA0C}"/>
    <cellStyle name="Comma [0] 2 9" xfId="389" xr:uid="{D7C92D64-A052-4E0F-B577-D3327F175A11}"/>
    <cellStyle name="Comma [0] 2 9 2" xfId="390" xr:uid="{95F51444-41A5-41D0-AD13-6454DB81AB40}"/>
    <cellStyle name="Comma [0] 2 9 3" xfId="391" xr:uid="{7DAE57F9-3739-442C-99E5-94E512C320A9}"/>
    <cellStyle name="Comma [0] 20" xfId="1884" xr:uid="{C49DE272-D2F9-41E6-9510-9F5643AA8882}"/>
    <cellStyle name="Comma [0] 3" xfId="392" xr:uid="{77D8784B-FBD3-4DEF-ACA2-E72655CFF3C1}"/>
    <cellStyle name="Comma [0] 3 10" xfId="393" xr:uid="{6609E72F-64C4-4943-B47E-CBAE3661084F}"/>
    <cellStyle name="Comma [0] 3 10 2" xfId="394" xr:uid="{C1999E8A-F0E3-4D53-B366-206E64F04920}"/>
    <cellStyle name="Comma [0] 3 11" xfId="395" xr:uid="{042793CF-8F0B-4619-91D8-EC3EC2E4CB7C}"/>
    <cellStyle name="Comma [0] 3 11 2" xfId="396" xr:uid="{61E8AD61-A25C-4A6D-872E-EAE513FFF9FC}"/>
    <cellStyle name="Comma [0] 3 12" xfId="397" xr:uid="{262E954D-C6DD-4B89-A193-50010864EDF8}"/>
    <cellStyle name="Comma [0] 3 13" xfId="398" xr:uid="{5EE40627-A747-4689-A002-48573845AADD}"/>
    <cellStyle name="Comma [0] 3 14" xfId="1903" xr:uid="{E96DBB05-E259-4FE2-ACDA-9F6DEFD2CBA3}"/>
    <cellStyle name="Comma [0] 3 15" xfId="1888" xr:uid="{8B448497-B769-4522-B93F-5FFC188F684F}"/>
    <cellStyle name="Comma [0] 3 2" xfId="399" xr:uid="{A3DB558E-0E33-4C13-AC22-898B155D3ABE}"/>
    <cellStyle name="Comma [0] 3 2 10" xfId="400" xr:uid="{CC5AFB97-4249-46BE-AF22-F64391B3D2C2}"/>
    <cellStyle name="Comma [0] 3 2 11" xfId="401" xr:uid="{10F0CD69-14F2-4C51-83C4-FDF0CB57FE6E}"/>
    <cellStyle name="Comma [0] 3 2 2" xfId="402" xr:uid="{F49DC69C-F259-4F53-B64C-3D86254B489F}"/>
    <cellStyle name="Comma [0] 3 2 2 10" xfId="403" xr:uid="{E923377A-64A6-48ED-AAEE-81C64D73BA14}"/>
    <cellStyle name="Comma [0] 3 2 2 2" xfId="404" xr:uid="{6F7C8929-887A-4D9F-8AD7-EC2CAAC01C35}"/>
    <cellStyle name="Comma [0] 3 2 2 2 2" xfId="405" xr:uid="{BA6D926B-E0BE-4372-A4D3-C5F079AE3328}"/>
    <cellStyle name="Comma [0] 3 2 2 2 2 2" xfId="406" xr:uid="{79E9F91F-028A-4E31-94DA-7B3E09DE95BD}"/>
    <cellStyle name="Comma [0] 3 2 2 2 2 2 2" xfId="407" xr:uid="{BF9E83DA-CEFA-4F96-A838-85871CECCB61}"/>
    <cellStyle name="Comma [0] 3 2 2 2 2 2 3" xfId="408" xr:uid="{73006DA5-AF1C-4D63-B0DB-7718FE88A81E}"/>
    <cellStyle name="Comma [0] 3 2 2 2 2 3" xfId="409" xr:uid="{E7C8C7BC-5B70-4003-BE0D-E9C87BCF4A87}"/>
    <cellStyle name="Comma [0] 3 2 2 2 2 3 2" xfId="410" xr:uid="{BF6678C5-89CA-49B1-A0F7-483A31122AAB}"/>
    <cellStyle name="Comma [0] 3 2 2 2 2 4" xfId="411" xr:uid="{54711C41-E045-488D-B222-8B45622DC158}"/>
    <cellStyle name="Comma [0] 3 2 2 2 2 4 2" xfId="412" xr:uid="{FECD0C9B-C9B9-4959-8811-86789F9496B6}"/>
    <cellStyle name="Comma [0] 3 2 2 2 2 5" xfId="413" xr:uid="{347C33AC-D973-4615-900D-EB19AB44AFA5}"/>
    <cellStyle name="Comma [0] 3 2 2 2 2 6" xfId="414" xr:uid="{E1855A9D-A418-4D71-9B5A-C5018C3BFBC5}"/>
    <cellStyle name="Comma [0] 3 2 2 2 3" xfId="415" xr:uid="{4298B25E-2F50-4120-8DA3-D9BDCAD3922C}"/>
    <cellStyle name="Comma [0] 3 2 2 2 3 2" xfId="416" xr:uid="{0191BCD6-305E-496C-8F42-E672D4C69A0C}"/>
    <cellStyle name="Comma [0] 3 2 2 2 3 3" xfId="417" xr:uid="{18C7DEEB-0721-4CAB-A651-3BDE108308F0}"/>
    <cellStyle name="Comma [0] 3 2 2 2 4" xfId="418" xr:uid="{ABE01915-FB71-4C38-9607-063452AD839E}"/>
    <cellStyle name="Comma [0] 3 2 2 2 4 2" xfId="419" xr:uid="{5A7C978F-3F43-402A-8F94-1E713B4239CC}"/>
    <cellStyle name="Comma [0] 3 2 2 2 5" xfId="420" xr:uid="{2115A90B-D44F-4930-B8EA-E167EB57DE52}"/>
    <cellStyle name="Comma [0] 3 2 2 2 5 2" xfId="421" xr:uid="{9088D437-C352-4DFB-A215-7B7F4D3211B9}"/>
    <cellStyle name="Comma [0] 3 2 2 2 6" xfId="422" xr:uid="{42814C17-7C60-415B-A482-B9450245CA22}"/>
    <cellStyle name="Comma [0] 3 2 2 2 6 2" xfId="423" xr:uid="{C72702C2-3D57-4AF8-9C6C-7C1AAD07A579}"/>
    <cellStyle name="Comma [0] 3 2 2 2 7" xfId="424" xr:uid="{D6C5B0E9-7128-4A9D-8891-2D729EB6E4A4}"/>
    <cellStyle name="Comma [0] 3 2 2 2 8" xfId="425" xr:uid="{6D5FAF00-E751-4D38-B9CD-7CC26EB9EA94}"/>
    <cellStyle name="Comma [0] 3 2 2 3" xfId="426" xr:uid="{FF4916BE-60F7-4E00-A0E5-49FC060436BE}"/>
    <cellStyle name="Comma [0] 3 2 2 3 2" xfId="427" xr:uid="{9E09A413-AEDB-4C7B-B6D2-C7AC68EE651D}"/>
    <cellStyle name="Comma [0] 3 2 2 3 2 2" xfId="428" xr:uid="{BDB8CA86-3813-4E7B-BE43-6324DD4D7655}"/>
    <cellStyle name="Comma [0] 3 2 2 3 2 3" xfId="429" xr:uid="{7FA3EE38-EA01-4441-BE0F-C68486526E1C}"/>
    <cellStyle name="Comma [0] 3 2 2 3 3" xfId="430" xr:uid="{1B9B6EAA-6007-44E1-BE05-E0F6DC446C86}"/>
    <cellStyle name="Comma [0] 3 2 2 3 3 2" xfId="431" xr:uid="{8F1EF73C-D1D3-417D-AC0B-04493A8B7E88}"/>
    <cellStyle name="Comma [0] 3 2 2 3 4" xfId="432" xr:uid="{9E5AC575-CBDD-462E-A42C-E30BC220DA7D}"/>
    <cellStyle name="Comma [0] 3 2 2 3 4 2" xfId="433" xr:uid="{B0B5E963-DE51-4C1E-9D6C-B5B5279EE7D9}"/>
    <cellStyle name="Comma [0] 3 2 2 3 5" xfId="434" xr:uid="{45EE47B4-C380-42BE-A209-DF58B7877C9D}"/>
    <cellStyle name="Comma [0] 3 2 2 3 6" xfId="435" xr:uid="{6C3529F7-9E7C-43C2-B373-329D372FD7C3}"/>
    <cellStyle name="Comma [0] 3 2 2 4" xfId="436" xr:uid="{6BB7E32C-62F8-41E5-8CDE-B62EC0039F02}"/>
    <cellStyle name="Comma [0] 3 2 2 4 2" xfId="437" xr:uid="{24A04EA3-B895-4010-89D2-C7936B1E37DE}"/>
    <cellStyle name="Comma [0] 3 2 2 4 2 2" xfId="438" xr:uid="{D8308EBA-4EEC-4BB4-A399-0B712144ACB6}"/>
    <cellStyle name="Comma [0] 3 2 2 4 2 3" xfId="439" xr:uid="{C414682F-E10E-4CD3-8188-7C3E143A0CF2}"/>
    <cellStyle name="Comma [0] 3 2 2 4 3" xfId="440" xr:uid="{8416D04D-767B-40D8-AB17-2183CABF41D7}"/>
    <cellStyle name="Comma [0] 3 2 2 4 3 2" xfId="441" xr:uid="{C0DA792B-46FC-4A9A-81A8-8F9BE568730A}"/>
    <cellStyle name="Comma [0] 3 2 2 4 4" xfId="442" xr:uid="{28A31C32-0FB6-424F-AEDF-F0E9328E1B2B}"/>
    <cellStyle name="Comma [0] 3 2 2 4 4 2" xfId="443" xr:uid="{3D40EB4F-D53E-48A1-8EE4-D080BA2BA797}"/>
    <cellStyle name="Comma [0] 3 2 2 4 5" xfId="444" xr:uid="{1F243FBB-5407-48C3-9227-189DE6ABD59B}"/>
    <cellStyle name="Comma [0] 3 2 2 4 6" xfId="445" xr:uid="{4B71C1D2-F9B4-43CB-9EE6-EAC339550236}"/>
    <cellStyle name="Comma [0] 3 2 2 5" xfId="446" xr:uid="{6256CEDC-FAAE-4F0B-815F-F7D6850300FB}"/>
    <cellStyle name="Comma [0] 3 2 2 5 2" xfId="447" xr:uid="{EEDDB044-75EE-4DB1-9E21-8E33FC6AAB13}"/>
    <cellStyle name="Comma [0] 3 2 2 5 3" xfId="448" xr:uid="{F8899038-F365-45B6-806B-3226FEF2775B}"/>
    <cellStyle name="Comma [0] 3 2 2 6" xfId="449" xr:uid="{88C3FBA8-9303-4DD2-B74A-5C50FB95EF6F}"/>
    <cellStyle name="Comma [0] 3 2 2 6 2" xfId="450" xr:uid="{4E6F8E33-EEC3-4CA4-844C-F4CB4937BB09}"/>
    <cellStyle name="Comma [0] 3 2 2 7" xfId="451" xr:uid="{7251A8E2-5494-4851-A7BF-9DF4D31222D6}"/>
    <cellStyle name="Comma [0] 3 2 2 7 2" xfId="452" xr:uid="{7F1A38FB-4D00-412B-A396-298C6601B163}"/>
    <cellStyle name="Comma [0] 3 2 2 8" xfId="453" xr:uid="{D824FB5B-B4E3-44D7-8371-0AA24102DDA9}"/>
    <cellStyle name="Comma [0] 3 2 2 8 2" xfId="454" xr:uid="{33974CDB-B861-4976-A50C-B576865BE765}"/>
    <cellStyle name="Comma [0] 3 2 2 9" xfId="455" xr:uid="{112D5B43-B170-4654-8A13-791952DBC4FA}"/>
    <cellStyle name="Comma [0] 3 2 3" xfId="456" xr:uid="{C316810B-AF11-4CCF-A29D-EA709DF86DD1}"/>
    <cellStyle name="Comma [0] 3 2 3 2" xfId="457" xr:uid="{39156575-EF23-4996-9E79-032F5BF08583}"/>
    <cellStyle name="Comma [0] 3 2 3 2 2" xfId="458" xr:uid="{32949F2A-F97D-4D16-AAE0-1B7494C403B8}"/>
    <cellStyle name="Comma [0] 3 2 3 2 2 2" xfId="459" xr:uid="{A654D73E-8646-4EBA-9E12-D2CAE0A39551}"/>
    <cellStyle name="Comma [0] 3 2 3 2 2 3" xfId="460" xr:uid="{D1258270-3138-402A-BED4-2B38C13EF150}"/>
    <cellStyle name="Comma [0] 3 2 3 2 3" xfId="461" xr:uid="{EAAEE41F-2765-47AF-8621-F6BBC830E082}"/>
    <cellStyle name="Comma [0] 3 2 3 2 3 2" xfId="462" xr:uid="{7634EBC2-66D0-47CC-94CD-8D46DEAC6D6E}"/>
    <cellStyle name="Comma [0] 3 2 3 2 4" xfId="463" xr:uid="{4DB04E89-7723-4291-9963-94A7E1402550}"/>
    <cellStyle name="Comma [0] 3 2 3 2 4 2" xfId="464" xr:uid="{F31C38E2-F0F2-490E-B6FD-E370DA606D61}"/>
    <cellStyle name="Comma [0] 3 2 3 2 5" xfId="465" xr:uid="{30794ECB-BE43-4370-9366-88F962270FA9}"/>
    <cellStyle name="Comma [0] 3 2 3 2 6" xfId="466" xr:uid="{3952F9D2-F837-455C-B59D-D47BDBEDFE84}"/>
    <cellStyle name="Comma [0] 3 2 3 3" xfId="467" xr:uid="{3657E804-8F2B-4672-A675-03AC8CF162DE}"/>
    <cellStyle name="Comma [0] 3 2 3 3 2" xfId="468" xr:uid="{7F279537-F9DE-49E4-91F1-E5E9AA0315BD}"/>
    <cellStyle name="Comma [0] 3 2 3 3 3" xfId="469" xr:uid="{F3D53E80-11E0-494A-B737-B7F36A2720F7}"/>
    <cellStyle name="Comma [0] 3 2 3 4" xfId="470" xr:uid="{87DBE757-7231-4DD0-A4DB-615407B23182}"/>
    <cellStyle name="Comma [0] 3 2 3 4 2" xfId="471" xr:uid="{9A6985F5-105F-40AC-ABF5-CD753DA1795C}"/>
    <cellStyle name="Comma [0] 3 2 3 5" xfId="472" xr:uid="{92D41295-2BAA-4E1D-8F48-290DB163C29D}"/>
    <cellStyle name="Comma [0] 3 2 3 5 2" xfId="473" xr:uid="{69732C81-25FE-4F73-A0E0-0B6CC9BE1C04}"/>
    <cellStyle name="Comma [0] 3 2 3 6" xfId="474" xr:uid="{605D31F6-8DF4-4402-9C55-EC6AABF2A9BB}"/>
    <cellStyle name="Comma [0] 3 2 3 6 2" xfId="475" xr:uid="{209FE993-7C5A-450F-AE43-E8FE27E03FAE}"/>
    <cellStyle name="Comma [0] 3 2 3 7" xfId="476" xr:uid="{DBABD78A-BF35-487B-A3DF-36869E2455EB}"/>
    <cellStyle name="Comma [0] 3 2 3 8" xfId="477" xr:uid="{DCAE493B-BD1D-465E-BC01-03E812A6A8A9}"/>
    <cellStyle name="Comma [0] 3 2 4" xfId="478" xr:uid="{464292AA-0520-4962-81AC-782FD53BE4DC}"/>
    <cellStyle name="Comma [0] 3 2 4 2" xfId="479" xr:uid="{10A53E0A-B051-4723-8EA6-CC4CE5EFDED1}"/>
    <cellStyle name="Comma [0] 3 2 4 2 2" xfId="480" xr:uid="{CE3E0CC5-F1E7-425F-B6D7-4C2DE296C204}"/>
    <cellStyle name="Comma [0] 3 2 4 2 3" xfId="481" xr:uid="{D8E76CC6-4E50-44D4-B30D-F14083C0C848}"/>
    <cellStyle name="Comma [0] 3 2 4 3" xfId="482" xr:uid="{8C64AA01-E6C0-4517-A42B-7D9A803DB255}"/>
    <cellStyle name="Comma [0] 3 2 4 3 2" xfId="483" xr:uid="{A0FA9AE6-8510-43D9-85CD-7B8747494832}"/>
    <cellStyle name="Comma [0] 3 2 4 3 3" xfId="484" xr:uid="{7ED40B7E-A754-4BC4-8095-BBEC1C6201AE}"/>
    <cellStyle name="Comma [0] 3 2 4 4" xfId="485" xr:uid="{7BF45B3D-757C-4B56-B9E9-2965C04D8E68}"/>
    <cellStyle name="Comma [0] 3 2 4 4 2" xfId="486" xr:uid="{D48EB464-51F7-4FF3-BFE8-AAF81284F47B}"/>
    <cellStyle name="Comma [0] 3 2 4 5" xfId="487" xr:uid="{1063E055-1D47-4519-8F71-5DF4EC77842E}"/>
    <cellStyle name="Comma [0] 3 2 4 5 2" xfId="488" xr:uid="{F9EC6D98-FA5F-475B-94A4-713659965A7F}"/>
    <cellStyle name="Comma [0] 3 2 4 6" xfId="489" xr:uid="{DF74936A-C198-4C90-9B9C-39CC479EDBEA}"/>
    <cellStyle name="Comma [0] 3 2 4 7" xfId="490" xr:uid="{5D4D8644-B809-4932-A0E0-A96EBFB57C92}"/>
    <cellStyle name="Comma [0] 3 2 5" xfId="491" xr:uid="{84612869-521A-49C1-BC9B-A477262C78BD}"/>
    <cellStyle name="Comma [0] 3 2 5 2" xfId="492" xr:uid="{17D44935-5839-4522-8DFB-02D81C30B94B}"/>
    <cellStyle name="Comma [0] 3 2 5 2 2" xfId="493" xr:uid="{F07FD6D0-B83F-4B2A-BD37-CE0D009CE52F}"/>
    <cellStyle name="Comma [0] 3 2 5 2 3" xfId="494" xr:uid="{E96F2693-985D-466E-B2B4-633EFFC2D7CC}"/>
    <cellStyle name="Comma [0] 3 2 5 3" xfId="495" xr:uid="{39BA2DEA-7A7D-438D-AE82-410678517274}"/>
    <cellStyle name="Comma [0] 3 2 5 3 2" xfId="496" xr:uid="{3E97B5D0-FA01-4327-AEA9-FB770ADA79F0}"/>
    <cellStyle name="Comma [0] 3 2 5 4" xfId="497" xr:uid="{E2138744-CDE6-441D-B749-D3598DEAD404}"/>
    <cellStyle name="Comma [0] 3 2 5 4 2" xfId="498" xr:uid="{C84EE911-75A3-4099-8541-0249B420E21B}"/>
    <cellStyle name="Comma [0] 3 2 5 5" xfId="499" xr:uid="{83313206-091B-4E18-B1B0-4B15C91D6E97}"/>
    <cellStyle name="Comma [0] 3 2 5 6" xfId="500" xr:uid="{56DDACD3-590F-4AAE-81AD-8E981BE38BA9}"/>
    <cellStyle name="Comma [0] 3 2 6" xfId="501" xr:uid="{0968190E-BCB0-4273-903B-B6E71AB02CEE}"/>
    <cellStyle name="Comma [0] 3 2 6 2" xfId="502" xr:uid="{76975965-C767-4A29-B93C-11D243FBFDA8}"/>
    <cellStyle name="Comma [0] 3 2 6 3" xfId="503" xr:uid="{B9EF8428-A4BC-426F-81B5-8DF936CE0B80}"/>
    <cellStyle name="Comma [0] 3 2 7" xfId="504" xr:uid="{6902CCCD-742C-4AA3-9352-67614D8D2FA6}"/>
    <cellStyle name="Comma [0] 3 2 7 2" xfId="505" xr:uid="{DA4FBC9A-A615-4512-9970-E14F5CB0DC27}"/>
    <cellStyle name="Comma [0] 3 2 8" xfId="506" xr:uid="{721A4F44-773C-4383-95C6-AAF0343637E7}"/>
    <cellStyle name="Comma [0] 3 2 8 2" xfId="507" xr:uid="{3248EAFA-AF8E-4999-ACF8-FBB9DB9C92BF}"/>
    <cellStyle name="Comma [0] 3 2 9" xfId="508" xr:uid="{1FFFAEE2-F029-4289-8BAE-4F564BB97286}"/>
    <cellStyle name="Comma [0] 3 2 9 2" xfId="509" xr:uid="{4354BC88-47EC-4EA6-96F8-A9AE9DBA4BDE}"/>
    <cellStyle name="Comma [0] 3 3" xfId="510" xr:uid="{420015AD-B99C-47F0-BC84-76B02358EADC}"/>
    <cellStyle name="Comma [0] 3 3 10" xfId="511" xr:uid="{6B78EC1C-EDC9-4DAB-90D9-9054AC69057D}"/>
    <cellStyle name="Comma [0] 3 3 2" xfId="512" xr:uid="{62FC7290-02FF-46BA-A8ED-37C748435369}"/>
    <cellStyle name="Comma [0] 3 3 2 2" xfId="513" xr:uid="{B87985E9-2D0F-4FE6-8385-755AAB7B19E0}"/>
    <cellStyle name="Comma [0] 3 3 2 2 2" xfId="514" xr:uid="{B9CF886B-509F-4C8C-80BE-BC5A8E987E33}"/>
    <cellStyle name="Comma [0] 3 3 2 2 2 2" xfId="515" xr:uid="{982D8024-E805-446F-AB47-23BF7034271B}"/>
    <cellStyle name="Comma [0] 3 3 2 2 2 3" xfId="516" xr:uid="{642B00A7-2C46-4394-B90B-DED573666C78}"/>
    <cellStyle name="Comma [0] 3 3 2 2 3" xfId="517" xr:uid="{1B8F6332-933B-45C7-88D2-946E8D409B2F}"/>
    <cellStyle name="Comma [0] 3 3 2 2 3 2" xfId="518" xr:uid="{47F3E18C-71F9-47F2-ACAB-91DF5FFA3E09}"/>
    <cellStyle name="Comma [0] 3 3 2 2 4" xfId="519" xr:uid="{DDF922A2-8C8B-4294-ABEC-44AFFD60A480}"/>
    <cellStyle name="Comma [0] 3 3 2 2 4 2" xfId="520" xr:uid="{795FA59F-68E2-4C4D-B5B0-BA60F5DB15CD}"/>
    <cellStyle name="Comma [0] 3 3 2 2 5" xfId="521" xr:uid="{8F6704F4-B69F-4D9A-B088-1F69951A85A5}"/>
    <cellStyle name="Comma [0] 3 3 2 2 6" xfId="522" xr:uid="{637EC808-1B86-4ABB-B9D0-E5C08B9E13CC}"/>
    <cellStyle name="Comma [0] 3 3 2 3" xfId="523" xr:uid="{4B40547A-CD91-415F-9B0D-215E9C86EC72}"/>
    <cellStyle name="Comma [0] 3 3 2 3 2" xfId="524" xr:uid="{20EC3B50-0B87-4C1C-A93D-D5E4E5D00996}"/>
    <cellStyle name="Comma [0] 3 3 2 3 3" xfId="525" xr:uid="{E58C9448-ABB1-41C8-88EC-58BA764CA4C0}"/>
    <cellStyle name="Comma [0] 3 3 2 4" xfId="526" xr:uid="{B7D4A89A-DF11-484D-A354-78FD87D11527}"/>
    <cellStyle name="Comma [0] 3 3 2 4 2" xfId="527" xr:uid="{3D6D76D6-996B-43BE-8430-8CC03E20FC5A}"/>
    <cellStyle name="Comma [0] 3 3 2 5" xfId="528" xr:uid="{5B0F6685-B658-4877-B86F-6A481AF1CAFE}"/>
    <cellStyle name="Comma [0] 3 3 2 5 2" xfId="529" xr:uid="{5944CDC4-994C-43F1-83B1-5ECA93C8FCA6}"/>
    <cellStyle name="Comma [0] 3 3 2 6" xfId="530" xr:uid="{137DC5EA-3B2F-4D51-AB38-9F5748CA00F2}"/>
    <cellStyle name="Comma [0] 3 3 2 6 2" xfId="531" xr:uid="{C9708D69-48C6-49EF-A493-21A9BE84F5CC}"/>
    <cellStyle name="Comma [0] 3 3 2 7" xfId="532" xr:uid="{93C6194F-9F7E-464F-AF58-BD173387D143}"/>
    <cellStyle name="Comma [0] 3 3 2 8" xfId="533" xr:uid="{F1949602-442D-4A78-808D-D354E52E84AB}"/>
    <cellStyle name="Comma [0] 3 3 3" xfId="534" xr:uid="{208A3DB5-41BF-4588-B504-A8F2647DF169}"/>
    <cellStyle name="Comma [0] 3 3 3 2" xfId="535" xr:uid="{63D8FBBD-93B9-4089-B0F4-19C6754CA419}"/>
    <cellStyle name="Comma [0] 3 3 3 2 2" xfId="536" xr:uid="{66CEC702-6459-4C16-86B2-A8CC7AE03DA1}"/>
    <cellStyle name="Comma [0] 3 3 3 2 3" xfId="537" xr:uid="{C4DCFC95-906F-4505-BD81-4FB267CF5BDC}"/>
    <cellStyle name="Comma [0] 3 3 3 3" xfId="538" xr:uid="{D33304D0-8FA6-4168-88BC-C05AA11DB599}"/>
    <cellStyle name="Comma [0] 3 3 3 3 2" xfId="539" xr:uid="{14619030-3295-43A5-893E-C7914D6DEB5E}"/>
    <cellStyle name="Comma [0] 3 3 3 4" xfId="540" xr:uid="{B98EAB8A-9C13-4E23-8E00-64F888E344AB}"/>
    <cellStyle name="Comma [0] 3 3 3 4 2" xfId="541" xr:uid="{1A547F1F-4BD4-4DF9-BFCE-7AB366909480}"/>
    <cellStyle name="Comma [0] 3 3 3 5" xfId="542" xr:uid="{DDD24E92-9D64-4B70-BAED-205FD8465E55}"/>
    <cellStyle name="Comma [0] 3 3 3 6" xfId="543" xr:uid="{2E3140BC-FB3B-4CC8-AAF3-F0F7FC03B69F}"/>
    <cellStyle name="Comma [0] 3 3 4" xfId="544" xr:uid="{E0DA6C41-5E2B-4C5C-A34D-696F282AC9B4}"/>
    <cellStyle name="Comma [0] 3 3 4 2" xfId="545" xr:uid="{052DD260-82CF-4F37-BE2C-C0DCE4F6EEF9}"/>
    <cellStyle name="Comma [0] 3 3 4 2 2" xfId="546" xr:uid="{EC61A126-25EB-4500-8285-A3CB6EDB2DFF}"/>
    <cellStyle name="Comma [0] 3 3 4 2 3" xfId="547" xr:uid="{44117DCA-C595-4606-AA1F-0DC2BCE7685E}"/>
    <cellStyle name="Comma [0] 3 3 4 3" xfId="548" xr:uid="{74481107-9FFA-47E9-90A9-F7351B201562}"/>
    <cellStyle name="Comma [0] 3 3 4 3 2" xfId="549" xr:uid="{5B5BC7F0-574D-4D15-9DE2-72489A081CEA}"/>
    <cellStyle name="Comma [0] 3 3 4 4" xfId="550" xr:uid="{B1588E27-EF1F-4028-99A7-EA14AF7A0E5F}"/>
    <cellStyle name="Comma [0] 3 3 4 4 2" xfId="551" xr:uid="{398BD816-1748-4B88-82DE-59B4905A2229}"/>
    <cellStyle name="Comma [0] 3 3 4 5" xfId="552" xr:uid="{B3E45D7F-0E3E-4016-9C22-0243C7D38900}"/>
    <cellStyle name="Comma [0] 3 3 4 6" xfId="553" xr:uid="{47461498-6FC2-4E45-B669-A7EAD8A41A1B}"/>
    <cellStyle name="Comma [0] 3 3 5" xfId="554" xr:uid="{831BF0C7-84C9-4E10-9297-F3B2468E4F6A}"/>
    <cellStyle name="Comma [0] 3 3 5 2" xfId="555" xr:uid="{11733015-FC88-4164-BF63-DA1F5808C327}"/>
    <cellStyle name="Comma [0] 3 3 5 3" xfId="556" xr:uid="{073E6D17-B2FA-4572-BCDC-33964941E4EB}"/>
    <cellStyle name="Comma [0] 3 3 6" xfId="557" xr:uid="{CCED49C8-B11A-4324-BC69-EB5590B50E32}"/>
    <cellStyle name="Comma [0] 3 3 6 2" xfId="558" xr:uid="{91BEA887-D1C9-4F7C-9B4F-A16A19F734C9}"/>
    <cellStyle name="Comma [0] 3 3 7" xfId="559" xr:uid="{9F395A44-E017-4B91-AC7E-EA68A2B105C9}"/>
    <cellStyle name="Comma [0] 3 3 7 2" xfId="560" xr:uid="{D7579F56-7C92-4EBB-BDF6-0EABA818BE80}"/>
    <cellStyle name="Comma [0] 3 3 8" xfId="561" xr:uid="{3AB182DB-359D-4E1C-803C-03FF1634A3B0}"/>
    <cellStyle name="Comma [0] 3 3 8 2" xfId="562" xr:uid="{E823023B-1ED7-47C0-A6D5-2E4EF8B95368}"/>
    <cellStyle name="Comma [0] 3 3 9" xfId="563" xr:uid="{0232C3DB-6BB8-4E3F-AD2D-83BFA158D9CB}"/>
    <cellStyle name="Comma [0] 3 4" xfId="564" xr:uid="{9B483015-276E-441A-9840-81B14B829B0A}"/>
    <cellStyle name="Comma [0] 3 4 10" xfId="565" xr:uid="{1B022B03-43D0-4FD8-BF45-ECEE9EEA29F3}"/>
    <cellStyle name="Comma [0] 3 4 2" xfId="566" xr:uid="{5E281203-73AB-4480-91C2-828C2266CF38}"/>
    <cellStyle name="Comma [0] 3 4 2 2" xfId="567" xr:uid="{9544CE03-59BF-4C89-9183-0BAE3738A253}"/>
    <cellStyle name="Comma [0] 3 4 2 2 2" xfId="568" xr:uid="{CC619477-E4BC-4B2D-951D-830477BE517A}"/>
    <cellStyle name="Comma [0] 3 4 2 2 2 2" xfId="569" xr:uid="{69511451-BD61-4DDA-BE13-0F1C21B00133}"/>
    <cellStyle name="Comma [0] 3 4 2 2 2 3" xfId="570" xr:uid="{51EC2856-919B-4B4E-83E7-598582B69C25}"/>
    <cellStyle name="Comma [0] 3 4 2 2 3" xfId="571" xr:uid="{A0AD668D-6A3E-488D-B54D-1EE9538DE3E2}"/>
    <cellStyle name="Comma [0] 3 4 2 2 3 2" xfId="572" xr:uid="{71A573D0-3AA0-48D3-94D5-30C20FB4E527}"/>
    <cellStyle name="Comma [0] 3 4 2 2 4" xfId="573" xr:uid="{EE26E495-6989-443C-A716-7C2DBCC4A70B}"/>
    <cellStyle name="Comma [0] 3 4 2 2 4 2" xfId="574" xr:uid="{505B1F55-21F9-431F-BD9C-8086C91C0B75}"/>
    <cellStyle name="Comma [0] 3 4 2 2 5" xfId="575" xr:uid="{9415E145-6161-4DEC-9DCC-6662C7A28E02}"/>
    <cellStyle name="Comma [0] 3 4 2 2 6" xfId="576" xr:uid="{C03FF686-80A2-42C3-8F2F-6D7AA6DCA027}"/>
    <cellStyle name="Comma [0] 3 4 2 3" xfId="577" xr:uid="{BDE9ABC9-3EC9-49E4-8F03-BBF83A09A729}"/>
    <cellStyle name="Comma [0] 3 4 2 3 2" xfId="578" xr:uid="{1C5956C6-DB7A-490A-847E-8A4BB5DCCED6}"/>
    <cellStyle name="Comma [0] 3 4 2 3 3" xfId="579" xr:uid="{7BD85995-BD49-464F-83DF-292225DE9036}"/>
    <cellStyle name="Comma [0] 3 4 2 4" xfId="580" xr:uid="{F2FFA9FB-B441-4F0A-BDAA-23BD3323CBB7}"/>
    <cellStyle name="Comma [0] 3 4 2 4 2" xfId="581" xr:uid="{9F4269CB-0C2B-4367-A670-AF169A745FB4}"/>
    <cellStyle name="Comma [0] 3 4 2 5" xfId="582" xr:uid="{07D1E220-7FF0-42FC-AB91-3A8DA3063775}"/>
    <cellStyle name="Comma [0] 3 4 2 5 2" xfId="583" xr:uid="{257CF52A-9291-4195-8988-A49E3882FD64}"/>
    <cellStyle name="Comma [0] 3 4 2 6" xfId="584" xr:uid="{46F4E8B8-D8AA-4F43-B543-303E08875B7E}"/>
    <cellStyle name="Comma [0] 3 4 2 6 2" xfId="585" xr:uid="{88837015-1E85-4A08-93E0-4E63595DE15D}"/>
    <cellStyle name="Comma [0] 3 4 2 7" xfId="586" xr:uid="{F776120D-6712-4B22-BD2D-339D9CF0862C}"/>
    <cellStyle name="Comma [0] 3 4 2 8" xfId="587" xr:uid="{B572D281-DFA7-457D-AE8A-8D6AC4938EC1}"/>
    <cellStyle name="Comma [0] 3 4 3" xfId="588" xr:uid="{356CE3A7-E224-4A66-A1D3-FB29C854C452}"/>
    <cellStyle name="Comma [0] 3 4 3 2" xfId="589" xr:uid="{A47D8741-AB04-4171-8C63-1679E311E65E}"/>
    <cellStyle name="Comma [0] 3 4 3 2 2" xfId="590" xr:uid="{F6C718CC-A5F4-4775-B042-50B674F3BDB0}"/>
    <cellStyle name="Comma [0] 3 4 3 2 3" xfId="591" xr:uid="{2E6C20E8-75BC-4DF9-B66B-04FCE68CA879}"/>
    <cellStyle name="Comma [0] 3 4 3 3" xfId="592" xr:uid="{58D0C6E5-D347-477B-80F7-F473D7CDF83D}"/>
    <cellStyle name="Comma [0] 3 4 3 3 2" xfId="593" xr:uid="{81EA01CA-C03A-4848-B86E-40B7D94863BB}"/>
    <cellStyle name="Comma [0] 3 4 3 4" xfId="594" xr:uid="{05DDAB5F-1168-40F0-A8A3-3921811029C0}"/>
    <cellStyle name="Comma [0] 3 4 3 4 2" xfId="595" xr:uid="{10177D48-69B7-4384-A8C3-A325F610314C}"/>
    <cellStyle name="Comma [0] 3 4 3 5" xfId="596" xr:uid="{705D6A67-CA8A-4999-A37D-0D35478876FC}"/>
    <cellStyle name="Comma [0] 3 4 3 6" xfId="597" xr:uid="{2F04C2DE-E866-43ED-9F60-DB5B5D71A002}"/>
    <cellStyle name="Comma [0] 3 4 4" xfId="598" xr:uid="{82699071-44FB-408C-A6F3-7EE95447C0CC}"/>
    <cellStyle name="Comma [0] 3 4 4 2" xfId="599" xr:uid="{991F3B86-B8D7-41E6-AA4A-622C685F2C92}"/>
    <cellStyle name="Comma [0] 3 4 4 2 2" xfId="600" xr:uid="{F8F9058B-1371-4742-A4DD-44D32160DC73}"/>
    <cellStyle name="Comma [0] 3 4 4 2 3" xfId="601" xr:uid="{11E611A3-CC84-4411-85E3-21F3A8B980E7}"/>
    <cellStyle name="Comma [0] 3 4 4 3" xfId="602" xr:uid="{A5F28335-AB74-4CF7-B21F-60F9A9A2E14D}"/>
    <cellStyle name="Comma [0] 3 4 4 3 2" xfId="603" xr:uid="{EA06E604-3CBD-43E2-8DC0-3E753498C027}"/>
    <cellStyle name="Comma [0] 3 4 4 4" xfId="604" xr:uid="{07B4E0BA-7C1C-47C7-BAB7-9030596ECEB9}"/>
    <cellStyle name="Comma [0] 3 4 4 4 2" xfId="605" xr:uid="{9D3D2EF3-18DD-4BCD-8511-C306B2C16575}"/>
    <cellStyle name="Comma [0] 3 4 4 5" xfId="606" xr:uid="{DFB73006-986D-4250-BEF8-7F97AAD7B6DD}"/>
    <cellStyle name="Comma [0] 3 4 4 6" xfId="607" xr:uid="{22209AEF-C082-483A-A3D0-3AC616C470E0}"/>
    <cellStyle name="Comma [0] 3 4 5" xfId="608" xr:uid="{D12E0137-1AC8-4428-8408-E89C1D914CF3}"/>
    <cellStyle name="Comma [0] 3 4 5 2" xfId="609" xr:uid="{351C3031-C98D-4243-B1AE-2E9128B9F495}"/>
    <cellStyle name="Comma [0] 3 4 5 3" xfId="610" xr:uid="{EF7FA9F1-A51F-4B6E-8765-C5F901F04465}"/>
    <cellStyle name="Comma [0] 3 4 6" xfId="611" xr:uid="{F0D0A191-B435-4F22-8DE1-D2ACB41EF235}"/>
    <cellStyle name="Comma [0] 3 4 6 2" xfId="612" xr:uid="{AD9DC3CF-E7E4-46F0-9640-10B2504A4107}"/>
    <cellStyle name="Comma [0] 3 4 7" xfId="613" xr:uid="{30F4F019-21E0-4A6F-89C0-686C4ACE6A5D}"/>
    <cellStyle name="Comma [0] 3 4 7 2" xfId="614" xr:uid="{CB4CBFE4-4693-4D22-9537-BED79E6523B7}"/>
    <cellStyle name="Comma [0] 3 4 8" xfId="615" xr:uid="{256EF5F6-A489-4576-9D11-178DEAF6A9C6}"/>
    <cellStyle name="Comma [0] 3 4 8 2" xfId="616" xr:uid="{246BE844-0037-4BA6-9F85-489B93BFF90C}"/>
    <cellStyle name="Comma [0] 3 4 9" xfId="617" xr:uid="{1D88DC48-39AD-4B44-BB40-25EE88F4AA62}"/>
    <cellStyle name="Comma [0] 3 5" xfId="618" xr:uid="{51D4DF95-00B1-4536-9262-1A15348880B1}"/>
    <cellStyle name="Comma [0] 3 5 2" xfId="619" xr:uid="{668E8FCE-F8E4-4F9D-9D0B-72AB3506664E}"/>
    <cellStyle name="Comma [0] 3 5 2 2" xfId="620" xr:uid="{EB1967F3-F1D5-4EEF-B1F5-F9776256278D}"/>
    <cellStyle name="Comma [0] 3 5 2 2 2" xfId="621" xr:uid="{1789D9FE-2FD5-4675-B078-75EB79558BAC}"/>
    <cellStyle name="Comma [0] 3 5 2 2 3" xfId="622" xr:uid="{0F7AD883-C0BD-4F5F-A1EF-A95F1FD8E427}"/>
    <cellStyle name="Comma [0] 3 5 2 3" xfId="623" xr:uid="{68145753-69BC-4F2B-877A-C3B16E758EA8}"/>
    <cellStyle name="Comma [0] 3 5 2 3 2" xfId="624" xr:uid="{493D85F3-B98E-4CBC-BFD3-4FEEC9A65028}"/>
    <cellStyle name="Comma [0] 3 5 2 4" xfId="625" xr:uid="{7A0AACDE-FFD6-4DDC-A844-05FD273E2A59}"/>
    <cellStyle name="Comma [0] 3 5 2 4 2" xfId="626" xr:uid="{C3E35BB8-4810-4D88-9467-14600B8B6FEA}"/>
    <cellStyle name="Comma [0] 3 5 2 5" xfId="627" xr:uid="{35E224FF-F86C-4609-B622-9CB7BDB21ECF}"/>
    <cellStyle name="Comma [0] 3 5 2 6" xfId="628" xr:uid="{2D68DDA3-8FDF-4C1D-B80F-7FCB545856CD}"/>
    <cellStyle name="Comma [0] 3 5 3" xfId="629" xr:uid="{E5D778E8-F46C-4406-A808-6745C7AC281A}"/>
    <cellStyle name="Comma [0] 3 5 3 2" xfId="630" xr:uid="{50C61239-2D70-4542-9C92-596725F3291E}"/>
    <cellStyle name="Comma [0] 3 5 3 3" xfId="631" xr:uid="{528618CC-D118-43B0-A9F7-CCCF7E5F7E2F}"/>
    <cellStyle name="Comma [0] 3 5 4" xfId="632" xr:uid="{895823FE-DB38-4176-AA43-C16057545795}"/>
    <cellStyle name="Comma [0] 3 5 4 2" xfId="633" xr:uid="{2EFE3D6A-FDCD-4338-B4E7-B78787991F91}"/>
    <cellStyle name="Comma [0] 3 5 5" xfId="634" xr:uid="{7AD61E21-2EAD-43F2-B3EC-02DF664C013E}"/>
    <cellStyle name="Comma [0] 3 5 5 2" xfId="635" xr:uid="{79571D26-C874-49AC-B6EB-DBE4C45FB1D7}"/>
    <cellStyle name="Comma [0] 3 5 6" xfId="636" xr:uid="{152F894A-2E7F-4485-B21C-118D883AC91B}"/>
    <cellStyle name="Comma [0] 3 5 6 2" xfId="637" xr:uid="{03492D13-31D9-46A4-86DB-D2069B49F8E0}"/>
    <cellStyle name="Comma [0] 3 5 7" xfId="638" xr:uid="{C8C84738-ED54-477E-9681-C51A05B3EB29}"/>
    <cellStyle name="Comma [0] 3 5 8" xfId="639" xr:uid="{10BE5D3F-E8A0-4186-A536-442EB9B78C7A}"/>
    <cellStyle name="Comma [0] 3 6" xfId="640" xr:uid="{DF2B77FD-65A7-4075-9D01-8B0E26394FA9}"/>
    <cellStyle name="Comma [0] 3 6 2" xfId="641" xr:uid="{A12EA6B2-7BE5-498F-8BA6-E900FDABB114}"/>
    <cellStyle name="Comma [0] 3 6 2 2" xfId="642" xr:uid="{C6C42CDD-871D-4DF8-A0DA-FF2B823D2F3D}"/>
    <cellStyle name="Comma [0] 3 6 2 3" xfId="643" xr:uid="{4DE73D19-F508-46EA-95C3-3837151AACB8}"/>
    <cellStyle name="Comma [0] 3 6 3" xfId="644" xr:uid="{6C7F222A-EBCE-4BA6-8B83-EEF677C6688F}"/>
    <cellStyle name="Comma [0] 3 6 3 2" xfId="645" xr:uid="{46DF382C-DA84-4F61-AD67-DD45677D84A1}"/>
    <cellStyle name="Comma [0] 3 6 3 3" xfId="646" xr:uid="{61EB9271-5ECC-4335-A619-57F524AD148F}"/>
    <cellStyle name="Comma [0] 3 6 4" xfId="647" xr:uid="{EC5C40D7-78B5-4499-8692-E6C941ABC833}"/>
    <cellStyle name="Comma [0] 3 6 4 2" xfId="648" xr:uid="{A50A1372-9751-4877-B94F-7D7D3602875A}"/>
    <cellStyle name="Comma [0] 3 6 5" xfId="649" xr:uid="{060F959F-00DA-4EFA-AC00-B521F33CF4DB}"/>
    <cellStyle name="Comma [0] 3 6 5 2" xfId="650" xr:uid="{3778C9D3-7E48-4C37-95E3-EA155E43D863}"/>
    <cellStyle name="Comma [0] 3 6 6" xfId="651" xr:uid="{F3998862-15E0-4144-86C6-CF70077BB27B}"/>
    <cellStyle name="Comma [0] 3 6 7" xfId="652" xr:uid="{BE81F026-9E28-4F6E-96C9-BC7D85B0F7DF}"/>
    <cellStyle name="Comma [0] 3 7" xfId="653" xr:uid="{79C5F7C4-0A9C-4F58-A6AE-7FAADD34F58D}"/>
    <cellStyle name="Comma [0] 3 7 2" xfId="654" xr:uid="{48CE73CB-CB11-4F07-9A16-A5AFEAE57C9F}"/>
    <cellStyle name="Comma [0] 3 7 2 2" xfId="655" xr:uid="{3D619050-B030-4354-9871-DC6C4755B227}"/>
    <cellStyle name="Comma [0] 3 7 2 3" xfId="656" xr:uid="{9ADD4B16-845A-499A-ACE8-A2F4E7B494CF}"/>
    <cellStyle name="Comma [0] 3 7 3" xfId="657" xr:uid="{7C3B9144-B3CB-43D5-8E62-C55D483B1098}"/>
    <cellStyle name="Comma [0] 3 7 3 2" xfId="658" xr:uid="{DF7EDDE7-AF84-415D-96E0-D573FF5708D6}"/>
    <cellStyle name="Comma [0] 3 7 4" xfId="659" xr:uid="{ED3DECAD-F3D7-40C3-99EB-4397D3EBFC99}"/>
    <cellStyle name="Comma [0] 3 7 4 2" xfId="660" xr:uid="{07383527-A7F9-4404-ABC9-40F3E8A3E3DE}"/>
    <cellStyle name="Comma [0] 3 7 5" xfId="661" xr:uid="{6E290AD0-79B5-49F8-B92A-0F2B94C24B81}"/>
    <cellStyle name="Comma [0] 3 7 6" xfId="662" xr:uid="{5595A923-FDD3-4C78-80A0-05202537A89B}"/>
    <cellStyle name="Comma [0] 3 8" xfId="663" xr:uid="{E973888F-3382-4923-88DB-E86960B71EFC}"/>
    <cellStyle name="Comma [0] 3 8 2" xfId="664" xr:uid="{6E1BFEAE-A1D6-42B8-B92F-3A22B30F8CB3}"/>
    <cellStyle name="Comma [0] 3 8 3" xfId="665" xr:uid="{A59BCF09-C3F3-4BF9-B768-1EB08CB2AF13}"/>
    <cellStyle name="Comma [0] 3 9" xfId="666" xr:uid="{22C76544-E11D-48BE-ADC7-84BD4ABC6099}"/>
    <cellStyle name="Comma [0] 3 9 2" xfId="667" xr:uid="{6FB10DF4-69E8-4ECC-8B5A-CD09E118C8CE}"/>
    <cellStyle name="Comma [0] 4" xfId="668" xr:uid="{03DF77A0-CE85-4A3F-9C62-7DDC569667D4}"/>
    <cellStyle name="Comma [0] 4 10" xfId="669" xr:uid="{50CDD368-E73D-4F76-8BCA-10ABCF055D69}"/>
    <cellStyle name="Comma [0] 4 10 2" xfId="670" xr:uid="{ABEBC470-EA0B-4FEF-B764-412A3C45877A}"/>
    <cellStyle name="Comma [0] 4 11" xfId="671" xr:uid="{A290FFA6-F579-4427-BB40-48FB37A41905}"/>
    <cellStyle name="Comma [0] 4 12" xfId="672" xr:uid="{AC3E3E75-B4A7-4668-AB39-C7427460068E}"/>
    <cellStyle name="Comma [0] 4 13" xfId="1904" xr:uid="{0CF0FFAE-464A-4C06-B759-855B9B54B1F6}"/>
    <cellStyle name="Comma [0] 4 14" xfId="1895" xr:uid="{2CA99DF4-4295-4C34-A1BA-1DDC35252BAC}"/>
    <cellStyle name="Comma [0] 4 2" xfId="673" xr:uid="{991C16C3-CA74-4B1D-919A-55E961A63396}"/>
    <cellStyle name="Comma [0] 4 2 10" xfId="674" xr:uid="{DFD277C9-5036-41D6-B814-E42E19FCE75E}"/>
    <cellStyle name="Comma [0] 4 2 11" xfId="675" xr:uid="{4D3BFCB6-1F52-453D-BAD6-7BB95D3E51B6}"/>
    <cellStyle name="Comma [0] 4 2 2" xfId="676" xr:uid="{79E199DE-9DC4-429B-B306-022784BA5101}"/>
    <cellStyle name="Comma [0] 4 2 2 10" xfId="677" xr:uid="{7D5300C0-FF59-46D7-ADDC-BD183BA232CD}"/>
    <cellStyle name="Comma [0] 4 2 2 2" xfId="678" xr:uid="{15EA3EA4-7313-4F63-BBA2-D897E98589AE}"/>
    <cellStyle name="Comma [0] 4 2 2 2 2" xfId="679" xr:uid="{58EB99F3-EDF1-43E5-93D7-4E954225EC92}"/>
    <cellStyle name="Comma [0] 4 2 2 2 2 2" xfId="680" xr:uid="{08066020-24B0-45FB-99FC-322CFFBF5DA5}"/>
    <cellStyle name="Comma [0] 4 2 2 2 2 2 2" xfId="681" xr:uid="{5164E397-52D4-4430-9C67-9F5AE2681509}"/>
    <cellStyle name="Comma [0] 4 2 2 2 2 2 3" xfId="682" xr:uid="{C18B6591-36C7-4FD6-BBA3-0F438436D1FA}"/>
    <cellStyle name="Comma [0] 4 2 2 2 2 3" xfId="683" xr:uid="{BD36B0EE-AC10-487E-BAB8-F49907409612}"/>
    <cellStyle name="Comma [0] 4 2 2 2 2 3 2" xfId="684" xr:uid="{ADF774CE-3913-4917-A302-D9B2F61170B9}"/>
    <cellStyle name="Comma [0] 4 2 2 2 2 4" xfId="685" xr:uid="{A322B20A-2585-4FFD-801B-392CEB9C9AA0}"/>
    <cellStyle name="Comma [0] 4 2 2 2 2 4 2" xfId="686" xr:uid="{929B96F0-82A1-476A-8ED0-3F8B9E1EF501}"/>
    <cellStyle name="Comma [0] 4 2 2 2 2 5" xfId="687" xr:uid="{8B87D86F-60D1-458B-A7A0-849D51C6EAFC}"/>
    <cellStyle name="Comma [0] 4 2 2 2 2 6" xfId="688" xr:uid="{F7592A17-800E-45E9-97A8-80CDD00C7381}"/>
    <cellStyle name="Comma [0] 4 2 2 2 3" xfId="689" xr:uid="{F23093DD-CBF3-4B7C-80A0-E699D93E4744}"/>
    <cellStyle name="Comma [0] 4 2 2 2 3 2" xfId="690" xr:uid="{0A221953-7065-444A-BF10-1554F53F353E}"/>
    <cellStyle name="Comma [0] 4 2 2 2 3 3" xfId="691" xr:uid="{F4BAED97-E80F-430A-A0D3-88C757394D14}"/>
    <cellStyle name="Comma [0] 4 2 2 2 4" xfId="692" xr:uid="{FE038912-A918-4483-BBBF-7B3CC9E8D531}"/>
    <cellStyle name="Comma [0] 4 2 2 2 4 2" xfId="693" xr:uid="{66299120-28BB-4190-81A8-2B4A3D6982A4}"/>
    <cellStyle name="Comma [0] 4 2 2 2 5" xfId="694" xr:uid="{90966A4D-0749-4CC6-A5FF-EEB4DFC3A34C}"/>
    <cellStyle name="Comma [0] 4 2 2 2 5 2" xfId="695" xr:uid="{1A7C955B-B72D-445B-B9F2-590219E158E3}"/>
    <cellStyle name="Comma [0] 4 2 2 2 6" xfId="696" xr:uid="{74974085-5B30-4F37-8935-59659A62CB8B}"/>
    <cellStyle name="Comma [0] 4 2 2 2 6 2" xfId="697" xr:uid="{0509D8CB-DE3C-4BAC-9F22-2EF4470C86F0}"/>
    <cellStyle name="Comma [0] 4 2 2 2 7" xfId="698" xr:uid="{BF561679-70F5-424D-8F6F-7D9FB6CE854A}"/>
    <cellStyle name="Comma [0] 4 2 2 2 8" xfId="699" xr:uid="{826A324C-F8DF-44F6-AC04-580A4854CFB1}"/>
    <cellStyle name="Comma [0] 4 2 2 3" xfId="700" xr:uid="{D54C8E5C-FADC-4C11-8F7E-AD4FBF39C03C}"/>
    <cellStyle name="Comma [0] 4 2 2 3 2" xfId="701" xr:uid="{54C067A3-89AA-4A22-9967-3750ABD05E16}"/>
    <cellStyle name="Comma [0] 4 2 2 3 2 2" xfId="702" xr:uid="{BA001354-216C-42DA-8E2F-E071E39486A2}"/>
    <cellStyle name="Comma [0] 4 2 2 3 2 3" xfId="703" xr:uid="{F155C102-9FFC-4F99-8566-1D4D99C9A5F5}"/>
    <cellStyle name="Comma [0] 4 2 2 3 3" xfId="704" xr:uid="{FA4A40F9-4CC6-4B71-8060-6A6A9B97753E}"/>
    <cellStyle name="Comma [0] 4 2 2 3 3 2" xfId="705" xr:uid="{EBE2057B-8D87-46C0-B5B3-233480B44200}"/>
    <cellStyle name="Comma [0] 4 2 2 3 4" xfId="706" xr:uid="{C0605C10-714F-4A3C-ADC0-669894CDCDC0}"/>
    <cellStyle name="Comma [0] 4 2 2 3 4 2" xfId="707" xr:uid="{46A7BC82-DB98-4C03-A9A2-791ACFC33605}"/>
    <cellStyle name="Comma [0] 4 2 2 3 5" xfId="708" xr:uid="{E704C1A4-A60F-48A0-8D88-32561F49567A}"/>
    <cellStyle name="Comma [0] 4 2 2 3 6" xfId="709" xr:uid="{1C3A4410-31D2-4565-BAF7-03E0F5F746FB}"/>
    <cellStyle name="Comma [0] 4 2 2 4" xfId="710" xr:uid="{946F1B48-B1F7-46A0-A021-3DA618CD9E07}"/>
    <cellStyle name="Comma [0] 4 2 2 4 2" xfId="711" xr:uid="{CDA9A7DE-4CAF-4742-9C4A-FB5925CEC2A6}"/>
    <cellStyle name="Comma [0] 4 2 2 4 2 2" xfId="712" xr:uid="{87113446-2C0B-464D-9887-4B5E12ACD3A5}"/>
    <cellStyle name="Comma [0] 4 2 2 4 2 3" xfId="713" xr:uid="{B1013261-A938-4E27-94FE-3007FC0CD704}"/>
    <cellStyle name="Comma [0] 4 2 2 4 3" xfId="714" xr:uid="{89690836-066A-442E-A357-F619F338B9D6}"/>
    <cellStyle name="Comma [0] 4 2 2 4 3 2" xfId="715" xr:uid="{AA572BBE-2131-426A-8A2B-D99C934CC121}"/>
    <cellStyle name="Comma [0] 4 2 2 4 4" xfId="716" xr:uid="{4199C368-D9A2-4E47-832F-94E282A4E76E}"/>
    <cellStyle name="Comma [0] 4 2 2 4 4 2" xfId="717" xr:uid="{B5A464A5-7993-42A9-965B-2DA43994EA60}"/>
    <cellStyle name="Comma [0] 4 2 2 4 5" xfId="718" xr:uid="{23AAFF74-585B-4305-9BD0-BBDE6E997C48}"/>
    <cellStyle name="Comma [0] 4 2 2 4 6" xfId="719" xr:uid="{665862B3-1359-4F64-918A-7C6D6B78E16C}"/>
    <cellStyle name="Comma [0] 4 2 2 5" xfId="720" xr:uid="{F74BEDB0-44E4-4C00-A8B5-E0180AEAF024}"/>
    <cellStyle name="Comma [0] 4 2 2 5 2" xfId="721" xr:uid="{8FB45C0E-6BE4-453A-A421-526475711267}"/>
    <cellStyle name="Comma [0] 4 2 2 5 3" xfId="722" xr:uid="{8451B1E9-B0C0-438A-ACAC-1936EBCB343E}"/>
    <cellStyle name="Comma [0] 4 2 2 6" xfId="723" xr:uid="{458236DD-0927-4E56-9A35-2BE669AA4810}"/>
    <cellStyle name="Comma [0] 4 2 2 6 2" xfId="724" xr:uid="{EEE0BDDD-A6FF-4012-91DC-715CE3C7E366}"/>
    <cellStyle name="Comma [0] 4 2 2 7" xfId="725" xr:uid="{FAEAE360-8D00-432F-B69A-2F0B1275C3FC}"/>
    <cellStyle name="Comma [0] 4 2 2 7 2" xfId="726" xr:uid="{528928FD-02B6-4018-B367-FBD3548BC8DB}"/>
    <cellStyle name="Comma [0] 4 2 2 8" xfId="727" xr:uid="{D829BBDC-B060-49E1-B5B9-C58F23E62DAA}"/>
    <cellStyle name="Comma [0] 4 2 2 8 2" xfId="728" xr:uid="{58B43073-98D5-4D21-B583-86E8FE89C300}"/>
    <cellStyle name="Comma [0] 4 2 2 9" xfId="729" xr:uid="{51ED8749-EE1C-4745-8F28-9CCAFC1A5258}"/>
    <cellStyle name="Comma [0] 4 2 3" xfId="730" xr:uid="{55320A3B-3D9F-481D-80A3-B9E490211219}"/>
    <cellStyle name="Comma [0] 4 2 3 2" xfId="731" xr:uid="{44FAF544-E9A6-488F-AC99-E7C55C9C1C3A}"/>
    <cellStyle name="Comma [0] 4 2 3 2 2" xfId="732" xr:uid="{53FC7248-5CD2-4CEC-A4E2-D95E4185EDA2}"/>
    <cellStyle name="Comma [0] 4 2 3 2 2 2" xfId="733" xr:uid="{A2067636-A6FD-4F7D-9CC0-EB03B863E47D}"/>
    <cellStyle name="Comma [0] 4 2 3 2 2 3" xfId="734" xr:uid="{1F9A6987-AC53-4A9C-AF64-FC360B28E188}"/>
    <cellStyle name="Comma [0] 4 2 3 2 3" xfId="735" xr:uid="{E4319FDA-9BF6-45F9-9C23-D80BDBBE8E80}"/>
    <cellStyle name="Comma [0] 4 2 3 2 3 2" xfId="736" xr:uid="{C23E60C7-5015-44DF-8FCE-321B5DA65129}"/>
    <cellStyle name="Comma [0] 4 2 3 2 4" xfId="737" xr:uid="{34EEE7A5-A287-4404-901C-AAB1119F8DA2}"/>
    <cellStyle name="Comma [0] 4 2 3 2 4 2" xfId="738" xr:uid="{07E97416-43D0-485E-BB25-3EB632F79DCF}"/>
    <cellStyle name="Comma [0] 4 2 3 2 5" xfId="739" xr:uid="{E8D1E268-EF37-434D-B5A6-FA5D090AEDE8}"/>
    <cellStyle name="Comma [0] 4 2 3 2 6" xfId="740" xr:uid="{A7D3DF45-9456-485A-87EF-197E09BB6089}"/>
    <cellStyle name="Comma [0] 4 2 3 3" xfId="741" xr:uid="{5DBEB5BB-AD7F-4DAB-94A8-AD4B446E3F79}"/>
    <cellStyle name="Comma [0] 4 2 3 3 2" xfId="742" xr:uid="{54B20489-1261-4EA5-A58E-17D8F0E37359}"/>
    <cellStyle name="Comma [0] 4 2 3 3 3" xfId="743" xr:uid="{FF4F14BD-E7D5-47C9-A1DE-9EF77219D6A8}"/>
    <cellStyle name="Comma [0] 4 2 3 4" xfId="744" xr:uid="{8FE0D863-0785-4068-8354-D7E954C47281}"/>
    <cellStyle name="Comma [0] 4 2 3 4 2" xfId="745" xr:uid="{F660AD35-BDB8-4BF6-9352-24DBF0EAE793}"/>
    <cellStyle name="Comma [0] 4 2 3 5" xfId="746" xr:uid="{7D2D500E-2288-40A1-9876-567BFED4450C}"/>
    <cellStyle name="Comma [0] 4 2 3 5 2" xfId="747" xr:uid="{6D20840C-1303-4892-BE98-9EE30C37B127}"/>
    <cellStyle name="Comma [0] 4 2 3 6" xfId="748" xr:uid="{3750D5F7-DCB6-4731-950D-894FD1537453}"/>
    <cellStyle name="Comma [0] 4 2 3 6 2" xfId="749" xr:uid="{6CD35CF8-2D41-4E2C-BC04-6FE475C1B4AA}"/>
    <cellStyle name="Comma [0] 4 2 3 7" xfId="750" xr:uid="{9300B9FE-202E-4654-8AE0-F22DBFA8104D}"/>
    <cellStyle name="Comma [0] 4 2 3 8" xfId="751" xr:uid="{AD59AA67-FB8D-488D-A583-4851C92A7CCB}"/>
    <cellStyle name="Comma [0] 4 2 4" xfId="752" xr:uid="{7EC80313-9931-407B-A350-CCF338FF0C51}"/>
    <cellStyle name="Comma [0] 4 2 4 2" xfId="753" xr:uid="{CD473072-2C8B-4373-A47C-829D6D1667C3}"/>
    <cellStyle name="Comma [0] 4 2 4 2 2" xfId="754" xr:uid="{A15F8C3F-54F6-48EB-AB97-0247533F87DD}"/>
    <cellStyle name="Comma [0] 4 2 4 2 3" xfId="755" xr:uid="{4C729C1E-73EC-44FB-A657-D71697BDCEC9}"/>
    <cellStyle name="Comma [0] 4 2 4 3" xfId="756" xr:uid="{C5687113-0535-4CF8-ADFE-7EA940BE423A}"/>
    <cellStyle name="Comma [0] 4 2 4 3 2" xfId="757" xr:uid="{826ADFA2-7963-43E2-9C68-971996FD10F7}"/>
    <cellStyle name="Comma [0] 4 2 4 4" xfId="758" xr:uid="{C5FB71C7-FB95-476C-8551-B36464E4B48C}"/>
    <cellStyle name="Comma [0] 4 2 4 4 2" xfId="759" xr:uid="{80CF79B1-41ED-4321-B069-BE7A577FBCA5}"/>
    <cellStyle name="Comma [0] 4 2 4 5" xfId="760" xr:uid="{616A33AA-76DF-48C7-A8FA-637C28B8D5A5}"/>
    <cellStyle name="Comma [0] 4 2 4 6" xfId="761" xr:uid="{9502223D-F474-4A82-BF77-62FE4051C57A}"/>
    <cellStyle name="Comma [0] 4 2 5" xfId="762" xr:uid="{19ADF7F5-A3A8-4250-BC62-147164B2F460}"/>
    <cellStyle name="Comma [0] 4 2 5 2" xfId="763" xr:uid="{9F3BC998-B6A3-42D9-8D69-45FF5E42BFE6}"/>
    <cellStyle name="Comma [0] 4 2 5 2 2" xfId="764" xr:uid="{A4EA39D6-250B-45C8-B498-7353216A79F1}"/>
    <cellStyle name="Comma [0] 4 2 5 2 3" xfId="765" xr:uid="{559DD623-CE00-4968-8D6E-B07022226B6B}"/>
    <cellStyle name="Comma [0] 4 2 5 3" xfId="766" xr:uid="{EAA2C5CE-D38A-4DE8-AB1A-EF7EAEC53D82}"/>
    <cellStyle name="Comma [0] 4 2 5 3 2" xfId="767" xr:uid="{6D0B6C49-B5FA-4704-A377-C0AFC34B2EC1}"/>
    <cellStyle name="Comma [0] 4 2 5 4" xfId="768" xr:uid="{C190EEB6-DF37-47A5-9BE8-17577BEF71F1}"/>
    <cellStyle name="Comma [0] 4 2 5 4 2" xfId="769" xr:uid="{1E6A1279-5229-4472-8C4D-3DC664710F55}"/>
    <cellStyle name="Comma [0] 4 2 5 5" xfId="770" xr:uid="{A90E4D11-5A74-4C28-8E66-8AD63C97F07B}"/>
    <cellStyle name="Comma [0] 4 2 5 6" xfId="771" xr:uid="{805282F1-1F33-468E-A412-18F5BBDCE578}"/>
    <cellStyle name="Comma [0] 4 2 6" xfId="772" xr:uid="{16A1D303-7BBB-4147-BE34-FBCDEC4261BA}"/>
    <cellStyle name="Comma [0] 4 2 6 2" xfId="773" xr:uid="{6E05AF76-5FED-4035-8789-47D79CDD3E75}"/>
    <cellStyle name="Comma [0] 4 2 6 3" xfId="774" xr:uid="{4CF849AE-B4EE-4661-9C04-6E60570EABFF}"/>
    <cellStyle name="Comma [0] 4 2 7" xfId="775" xr:uid="{5ABF062F-1975-4172-910E-5DBC40B2FF7A}"/>
    <cellStyle name="Comma [0] 4 2 7 2" xfId="776" xr:uid="{0E6A3281-D2E2-49BF-BEF1-2340E4B3D3B7}"/>
    <cellStyle name="Comma [0] 4 2 8" xfId="777" xr:uid="{CA3F08E8-D18B-4721-A673-0896B53E4723}"/>
    <cellStyle name="Comma [0] 4 2 8 2" xfId="778" xr:uid="{E2E942B4-8EED-44CF-84C1-3EF2A5597C8B}"/>
    <cellStyle name="Comma [0] 4 2 9" xfId="779" xr:uid="{98AFE8D3-10DD-4F06-934E-08A570BB2256}"/>
    <cellStyle name="Comma [0] 4 2 9 2" xfId="780" xr:uid="{5967AADC-061A-4E21-81D6-CDE6B536807C}"/>
    <cellStyle name="Comma [0] 4 3" xfId="781" xr:uid="{C3D0E8E9-0B5E-4449-BA04-8DE7F67D12AE}"/>
    <cellStyle name="Comma [0] 4 3 10" xfId="782" xr:uid="{BB580AF4-DA7E-4CAF-ACD9-3E9A5F5F5624}"/>
    <cellStyle name="Comma [0] 4 3 2" xfId="783" xr:uid="{5D97B892-FB6A-49C7-BE67-174F922CCD8C}"/>
    <cellStyle name="Comma [0] 4 3 2 2" xfId="784" xr:uid="{12EC1D22-D2F7-4071-8BF4-9EB89CF6299F}"/>
    <cellStyle name="Comma [0] 4 3 2 2 2" xfId="785" xr:uid="{0ACFE035-C6AF-49A7-AE48-864E48E589E5}"/>
    <cellStyle name="Comma [0] 4 3 2 2 2 2" xfId="786" xr:uid="{B78A4CD2-ECC1-4A72-A0B2-0070A163A587}"/>
    <cellStyle name="Comma [0] 4 3 2 2 2 3" xfId="787" xr:uid="{9C72B97F-92BC-453F-86DF-07879017CEEE}"/>
    <cellStyle name="Comma [0] 4 3 2 2 3" xfId="788" xr:uid="{F3A7FB01-A98D-4C67-8C61-18632A9E56CF}"/>
    <cellStyle name="Comma [0] 4 3 2 2 3 2" xfId="789" xr:uid="{014BA6E0-74F6-430C-B1D4-B73D5BEEF5F5}"/>
    <cellStyle name="Comma [0] 4 3 2 2 4" xfId="790" xr:uid="{2962949E-B38C-444F-82C1-DC22B422EFDF}"/>
    <cellStyle name="Comma [0] 4 3 2 2 4 2" xfId="791" xr:uid="{607D84EF-9D09-4DD3-A86E-D8D92256BDA9}"/>
    <cellStyle name="Comma [0] 4 3 2 2 5" xfId="792" xr:uid="{273E3988-3C3E-445B-8116-672D7803F88F}"/>
    <cellStyle name="Comma [0] 4 3 2 2 6" xfId="793" xr:uid="{D1C04622-E2D1-4049-B100-912359695BAC}"/>
    <cellStyle name="Comma [0] 4 3 2 3" xfId="794" xr:uid="{DD2ECF00-D05E-4E87-93AF-59E750F34828}"/>
    <cellStyle name="Comma [0] 4 3 2 3 2" xfId="795" xr:uid="{11A00DF8-ED2B-46EB-9891-4ED7BA6E1E42}"/>
    <cellStyle name="Comma [0] 4 3 2 3 3" xfId="796" xr:uid="{A7E1DC76-9C88-4356-AC40-4E393A0A0CB0}"/>
    <cellStyle name="Comma [0] 4 3 2 4" xfId="797" xr:uid="{2D0DDA3F-EBD4-46D7-9966-8DE9ED12CDCF}"/>
    <cellStyle name="Comma [0] 4 3 2 4 2" xfId="798" xr:uid="{4E3AD366-4108-45D8-B378-955A2697389C}"/>
    <cellStyle name="Comma [0] 4 3 2 5" xfId="799" xr:uid="{17E940C9-008A-4B08-BE48-95E8E89844AA}"/>
    <cellStyle name="Comma [0] 4 3 2 5 2" xfId="800" xr:uid="{1D106225-8153-45C1-AD9D-0705F63DC2AB}"/>
    <cellStyle name="Comma [0] 4 3 2 6" xfId="801" xr:uid="{845C825B-E97A-4F8C-BB08-54CC0887CA3A}"/>
    <cellStyle name="Comma [0] 4 3 2 6 2" xfId="802" xr:uid="{913BE4BB-D34F-4F22-AD0B-F19E93FD8310}"/>
    <cellStyle name="Comma [0] 4 3 2 7" xfId="803" xr:uid="{6B428B26-2A20-40FA-BC2C-4B6E2629AE42}"/>
    <cellStyle name="Comma [0] 4 3 2 8" xfId="804" xr:uid="{6486AF87-FB6A-4554-AB2D-0CB806D2D268}"/>
    <cellStyle name="Comma [0] 4 3 3" xfId="805" xr:uid="{AFE3EBC7-49E3-4173-9605-781B20483193}"/>
    <cellStyle name="Comma [0] 4 3 3 2" xfId="806" xr:uid="{4DBA0C27-3624-4B35-96D7-B2351E722998}"/>
    <cellStyle name="Comma [0] 4 3 3 2 2" xfId="807" xr:uid="{8626FADE-2757-4E1B-A72F-FC441337ADF8}"/>
    <cellStyle name="Comma [0] 4 3 3 2 3" xfId="808" xr:uid="{73880A10-012A-40C1-B8E3-EB75403F508F}"/>
    <cellStyle name="Comma [0] 4 3 3 3" xfId="809" xr:uid="{E70AD708-2FE6-49E0-A937-93E81D45163E}"/>
    <cellStyle name="Comma [0] 4 3 3 3 2" xfId="810" xr:uid="{02E8396A-633D-4470-AEDD-3E7A5BC32C7B}"/>
    <cellStyle name="Comma [0] 4 3 3 4" xfId="811" xr:uid="{DB5020B1-8F22-4947-8DC6-09BAFCF18A01}"/>
    <cellStyle name="Comma [0] 4 3 3 4 2" xfId="812" xr:uid="{C6BA27D2-D5A9-4F3D-A0B2-1062EF2D4C90}"/>
    <cellStyle name="Comma [0] 4 3 3 5" xfId="813" xr:uid="{967DCB0F-5FE2-4D5D-A6B9-CF1E3FCF351A}"/>
    <cellStyle name="Comma [0] 4 3 3 6" xfId="814" xr:uid="{4373C094-E895-4E72-8451-B54E83D3E1D5}"/>
    <cellStyle name="Comma [0] 4 3 4" xfId="815" xr:uid="{5BF13A5A-4762-4407-86AC-508CF8B1A2EC}"/>
    <cellStyle name="Comma [0] 4 3 4 2" xfId="816" xr:uid="{5DD1C052-8D36-47A3-B7ED-2462BD2585D2}"/>
    <cellStyle name="Comma [0] 4 3 4 2 2" xfId="817" xr:uid="{D8F4541B-6CF3-43D6-9F29-433D9C492AC0}"/>
    <cellStyle name="Comma [0] 4 3 4 2 3" xfId="818" xr:uid="{C7FA35DA-67A9-4C77-A4B1-0CB196E6DE4B}"/>
    <cellStyle name="Comma [0] 4 3 4 3" xfId="819" xr:uid="{88A02A55-A8F4-4FF6-A074-E37499B26AEC}"/>
    <cellStyle name="Comma [0] 4 3 4 3 2" xfId="820" xr:uid="{0A321FB2-F52E-4DB0-B815-A9F22E075C23}"/>
    <cellStyle name="Comma [0] 4 3 4 4" xfId="821" xr:uid="{BCC3A37E-08D1-4AB5-9CEF-81F619981514}"/>
    <cellStyle name="Comma [0] 4 3 4 4 2" xfId="822" xr:uid="{60E762C4-4140-4D90-9A58-97EE631E772D}"/>
    <cellStyle name="Comma [0] 4 3 4 5" xfId="823" xr:uid="{49CA82E7-F140-4EB1-8844-5E800DC30EE9}"/>
    <cellStyle name="Comma [0] 4 3 4 6" xfId="824" xr:uid="{44E90B9E-8248-4354-8A63-D7724C43EBFD}"/>
    <cellStyle name="Comma [0] 4 3 5" xfId="825" xr:uid="{15BA6BBC-182A-4BCC-A0E7-6389B049E532}"/>
    <cellStyle name="Comma [0] 4 3 5 2" xfId="826" xr:uid="{A50E86DC-70E1-4C4C-A0AF-19153B12B56A}"/>
    <cellStyle name="Comma [0] 4 3 5 3" xfId="827" xr:uid="{91671996-F705-4C6D-AC6A-5EAB9637F578}"/>
    <cellStyle name="Comma [0] 4 3 6" xfId="828" xr:uid="{7E7CC488-5D23-4562-A19E-F1B2730823AE}"/>
    <cellStyle name="Comma [0] 4 3 6 2" xfId="829" xr:uid="{E85F9B37-9947-4099-8558-198CAB648FBE}"/>
    <cellStyle name="Comma [0] 4 3 7" xfId="830" xr:uid="{221DF710-49B0-4716-9557-EC2FF2CD628B}"/>
    <cellStyle name="Comma [0] 4 3 7 2" xfId="831" xr:uid="{72851A99-2C2E-4DC6-8070-FA809F3BB968}"/>
    <cellStyle name="Comma [0] 4 3 8" xfId="832" xr:uid="{AE6D6C9D-D66C-476F-AC47-8F50AFA18383}"/>
    <cellStyle name="Comma [0] 4 3 8 2" xfId="833" xr:uid="{0D8B8214-7D8A-437E-998E-BACE66FA3472}"/>
    <cellStyle name="Comma [0] 4 3 9" xfId="834" xr:uid="{E817746F-28D5-4B58-8689-642A1F26D015}"/>
    <cellStyle name="Comma [0] 4 4" xfId="835" xr:uid="{C9A0D431-632E-4192-9907-782B36F83C13}"/>
    <cellStyle name="Comma [0] 4 4 2" xfId="836" xr:uid="{DCAC798F-F3E0-4D1C-9CA1-FF5D51B17930}"/>
    <cellStyle name="Comma [0] 4 4 2 2" xfId="837" xr:uid="{00D53C47-AB2E-4B54-8059-90AF9DD70B56}"/>
    <cellStyle name="Comma [0] 4 4 2 2 2" xfId="838" xr:uid="{C4183D5A-5369-4767-A2D2-69B9952FBF95}"/>
    <cellStyle name="Comma [0] 4 4 2 2 3" xfId="839" xr:uid="{F1B51EA8-FA3D-4DFD-B56E-7F9885034CB4}"/>
    <cellStyle name="Comma [0] 4 4 2 3" xfId="840" xr:uid="{B0DFBED8-C35B-43E2-870A-9A77E276CCF4}"/>
    <cellStyle name="Comma [0] 4 4 2 3 2" xfId="841" xr:uid="{90946620-356A-4E1E-B800-AA949D4F1FC3}"/>
    <cellStyle name="Comma [0] 4 4 2 4" xfId="842" xr:uid="{A36AB837-78D8-4005-9FDB-BCD6DC61C058}"/>
    <cellStyle name="Comma [0] 4 4 2 4 2" xfId="843" xr:uid="{B809772B-CA24-4CEA-9CBD-48FBE17C0A23}"/>
    <cellStyle name="Comma [0] 4 4 2 5" xfId="844" xr:uid="{B8E05AD8-B221-4972-8783-2E0743181256}"/>
    <cellStyle name="Comma [0] 4 4 2 6" xfId="845" xr:uid="{705A1DB2-BA0A-432B-985D-7558D0518B7B}"/>
    <cellStyle name="Comma [0] 4 4 3" xfId="846" xr:uid="{630B7AF1-5BF3-4893-A341-0E7BFF42FF6F}"/>
    <cellStyle name="Comma [0] 4 4 3 2" xfId="847" xr:uid="{0A41FE84-495C-4AD4-B92F-CC163F780DBB}"/>
    <cellStyle name="Comma [0] 4 4 3 3" xfId="848" xr:uid="{AC5ABF8E-C993-4943-B835-F3ED65EBA8C5}"/>
    <cellStyle name="Comma [0] 4 4 4" xfId="849" xr:uid="{02A831DE-E474-497F-A44C-FB37EF1A9706}"/>
    <cellStyle name="Comma [0] 4 4 4 2" xfId="850" xr:uid="{3CD24171-E921-4100-8D99-6E09A641BC56}"/>
    <cellStyle name="Comma [0] 4 4 5" xfId="851" xr:uid="{9BAC6527-D515-452D-AAD4-86104216EBB9}"/>
    <cellStyle name="Comma [0] 4 4 5 2" xfId="852" xr:uid="{5B303A2A-74F5-4C15-8D53-06C57CDE089F}"/>
    <cellStyle name="Comma [0] 4 4 6" xfId="853" xr:uid="{DF1ECC61-2410-472D-952D-685D0B4980FF}"/>
    <cellStyle name="Comma [0] 4 4 6 2" xfId="854" xr:uid="{E8C1AE71-4D4C-410C-A855-83E020C68426}"/>
    <cellStyle name="Comma [0] 4 4 7" xfId="855" xr:uid="{B952873F-5778-4BED-BEDF-60325193CE59}"/>
    <cellStyle name="Comma [0] 4 4 8" xfId="856" xr:uid="{BF68FBA9-9455-465A-B432-15B653FA095B}"/>
    <cellStyle name="Comma [0] 4 5" xfId="857" xr:uid="{80E917CE-20F4-4AC9-8613-8B4B3F1F56D9}"/>
    <cellStyle name="Comma [0] 4 5 2" xfId="858" xr:uid="{C274D7A2-036F-4A17-AA51-D311F8187B96}"/>
    <cellStyle name="Comma [0] 4 5 2 2" xfId="859" xr:uid="{7FE03886-0D57-418C-BF15-6EF28F4B62E4}"/>
    <cellStyle name="Comma [0] 4 5 2 3" xfId="860" xr:uid="{B26FE1FA-B0F1-4C2D-B290-BF31B703B02C}"/>
    <cellStyle name="Comma [0] 4 5 3" xfId="861" xr:uid="{E0EB20F3-D717-4C3B-8252-4F067EAD4429}"/>
    <cellStyle name="Comma [0] 4 5 3 2" xfId="862" xr:uid="{327E77D7-7C25-447D-941B-F21B1E6C4627}"/>
    <cellStyle name="Comma [0] 4 5 4" xfId="863" xr:uid="{514C1110-D43F-468A-904A-409072EC7B73}"/>
    <cellStyle name="Comma [0] 4 5 4 2" xfId="864" xr:uid="{F795F9B8-4F35-4C48-948D-E002F1C71D83}"/>
    <cellStyle name="Comma [0] 4 5 5" xfId="865" xr:uid="{355AC3C7-7EDF-4334-8220-A6FA25E76708}"/>
    <cellStyle name="Comma [0] 4 5 5 2" xfId="866" xr:uid="{61BD7E56-557F-4DF1-8880-A89A676045D4}"/>
    <cellStyle name="Comma [0] 4 5 6" xfId="867" xr:uid="{2F4515AF-27DB-4F85-BB31-AA15943F35EE}"/>
    <cellStyle name="Comma [0] 4 5 7" xfId="868" xr:uid="{78769F00-CC38-4B7D-B9C9-72DCDE71A998}"/>
    <cellStyle name="Comma [0] 4 6" xfId="869" xr:uid="{C03388EC-B398-439B-881E-42CFEFE56F46}"/>
    <cellStyle name="Comma [0] 4 6 2" xfId="870" xr:uid="{20696FE6-E8C2-4370-961C-6F5189CE87F9}"/>
    <cellStyle name="Comma [0] 4 6 2 2" xfId="871" xr:uid="{C37EAE77-AD7F-4D73-BFD1-29B1EF1D8B0D}"/>
    <cellStyle name="Comma [0] 4 6 2 3" xfId="872" xr:uid="{64BEA09B-863D-4496-8217-C8C93168BBE7}"/>
    <cellStyle name="Comma [0] 4 6 3" xfId="873" xr:uid="{E5EAEAAA-3FB7-42F9-8A51-D6843DC52654}"/>
    <cellStyle name="Comma [0] 4 6 3 2" xfId="874" xr:uid="{F676DE07-68F3-4C00-B667-E137F5490F97}"/>
    <cellStyle name="Comma [0] 4 6 4" xfId="875" xr:uid="{C95E3511-372F-4BA2-B545-B2A765E747FD}"/>
    <cellStyle name="Comma [0] 4 6 4 2" xfId="876" xr:uid="{95383481-C182-4908-AEDB-E6CD25B7BD0E}"/>
    <cellStyle name="Comma [0] 4 6 5" xfId="877" xr:uid="{C05A5D10-2819-4B86-9ACF-739DF3CDE822}"/>
    <cellStyle name="Comma [0] 4 6 6" xfId="878" xr:uid="{AB5A8972-43BE-48EF-BCA6-F06BA0494563}"/>
    <cellStyle name="Comma [0] 4 7" xfId="879" xr:uid="{3D3FEB1B-52F1-44A2-8DDD-4BEB574B4DEA}"/>
    <cellStyle name="Comma [0] 4 7 2" xfId="880" xr:uid="{A545C05E-A5F5-4B8E-9326-AD2360DCECFE}"/>
    <cellStyle name="Comma [0] 4 7 3" xfId="881" xr:uid="{52194281-3278-4CBF-A9F5-0A02073F5475}"/>
    <cellStyle name="Comma [0] 4 8" xfId="882" xr:uid="{F493B1D2-EB4F-4870-BBF4-43FF2BDBBF00}"/>
    <cellStyle name="Comma [0] 4 8 2" xfId="883" xr:uid="{07143950-D283-42B3-9387-2F59D4DDCC80}"/>
    <cellStyle name="Comma [0] 4 9" xfId="884" xr:uid="{770845AB-96EF-42C3-A95A-CFF74398E047}"/>
    <cellStyle name="Comma [0] 4 9 2" xfId="885" xr:uid="{FC0579E8-E7E6-4318-A65B-46E015CFC7CB}"/>
    <cellStyle name="Comma [0] 5" xfId="886" xr:uid="{8A0D8986-F60C-4E1D-8C38-2A5E6F3AD9B9}"/>
    <cellStyle name="Comma [0] 5 10" xfId="887" xr:uid="{2EF17C0A-5D4C-4B9D-8F6F-3286B7BB9F87}"/>
    <cellStyle name="Comma [0] 5 10 2" xfId="888" xr:uid="{FDEBF9F1-1DD8-4EB0-ACA3-283B7EE5973A}"/>
    <cellStyle name="Comma [0] 5 11" xfId="889" xr:uid="{135E0442-C84F-4BE3-BA45-5BD5AA3F86F8}"/>
    <cellStyle name="Comma [0] 5 12" xfId="890" xr:uid="{5DBD91B6-558A-4DEF-8C85-54F8278F788B}"/>
    <cellStyle name="Comma [0] 5 2" xfId="891" xr:uid="{10C443D4-3660-495A-8F50-E826E03BB6BE}"/>
    <cellStyle name="Comma [0] 5 2 10" xfId="892" xr:uid="{480A6DDB-3E22-4810-B431-1C831A319D76}"/>
    <cellStyle name="Comma [0] 5 2 11" xfId="893" xr:uid="{54E068BE-442A-4EDE-8A8B-29532B4F862B}"/>
    <cellStyle name="Comma [0] 5 2 2" xfId="894" xr:uid="{03AD2B15-A761-488E-B09F-21B985E23499}"/>
    <cellStyle name="Comma [0] 5 2 2 10" xfId="895" xr:uid="{8FF54CA5-871B-4C6C-86C6-895A378CF048}"/>
    <cellStyle name="Comma [0] 5 2 2 2" xfId="896" xr:uid="{E210EAEB-5373-4849-A40F-AD5195A32D80}"/>
    <cellStyle name="Comma [0] 5 2 2 2 2" xfId="897" xr:uid="{F4DDEFE8-7238-47FB-A71E-47F9CECB6730}"/>
    <cellStyle name="Comma [0] 5 2 2 2 2 2" xfId="898" xr:uid="{F1D79E7F-7AD9-4EF3-9094-3541BFBB0C47}"/>
    <cellStyle name="Comma [0] 5 2 2 2 2 2 2" xfId="899" xr:uid="{5717D87C-E96D-4DCC-8514-A0DBB59D5DD9}"/>
    <cellStyle name="Comma [0] 5 2 2 2 2 2 3" xfId="900" xr:uid="{CF8E2EBE-14E4-4000-9933-E8119D5B0870}"/>
    <cellStyle name="Comma [0] 5 2 2 2 2 3" xfId="901" xr:uid="{A0D76C36-DE56-4AEC-B51E-46161389B0E3}"/>
    <cellStyle name="Comma [0] 5 2 2 2 2 3 2" xfId="902" xr:uid="{77F6650B-6549-4FD2-8597-F75613A08F67}"/>
    <cellStyle name="Comma [0] 5 2 2 2 2 4" xfId="903" xr:uid="{6A689701-FD46-444C-B997-120C514D3A07}"/>
    <cellStyle name="Comma [0] 5 2 2 2 2 4 2" xfId="904" xr:uid="{736B8F4F-3ADA-4769-BD64-60E9B6A210E9}"/>
    <cellStyle name="Comma [0] 5 2 2 2 2 5" xfId="905" xr:uid="{2B10B1CE-A935-4F94-A3DD-16BED507B4AE}"/>
    <cellStyle name="Comma [0] 5 2 2 2 2 6" xfId="906" xr:uid="{F3908261-E7BD-4347-A533-64F0EBF74D7D}"/>
    <cellStyle name="Comma [0] 5 2 2 2 3" xfId="907" xr:uid="{9AE51080-580E-4D77-A0C6-2F1549D09812}"/>
    <cellStyle name="Comma [0] 5 2 2 2 3 2" xfId="908" xr:uid="{07A4382A-8BAB-4368-B123-321DE80E19E7}"/>
    <cellStyle name="Comma [0] 5 2 2 2 3 3" xfId="909" xr:uid="{1F58FE09-F3A7-4874-AE11-B035951FA67E}"/>
    <cellStyle name="Comma [0] 5 2 2 2 4" xfId="910" xr:uid="{9442AF3A-9A4F-44D4-B148-12C90E8CA390}"/>
    <cellStyle name="Comma [0] 5 2 2 2 4 2" xfId="911" xr:uid="{9757420B-36E5-4739-AC8D-33B72E741AA5}"/>
    <cellStyle name="Comma [0] 5 2 2 2 5" xfId="912" xr:uid="{D5907D2C-6614-404E-B042-AA75E65CA48E}"/>
    <cellStyle name="Comma [0] 5 2 2 2 5 2" xfId="913" xr:uid="{3152A29B-4778-446C-B907-251E6363030C}"/>
    <cellStyle name="Comma [0] 5 2 2 2 6" xfId="914" xr:uid="{BA8C20E5-82BC-41CA-AC13-E002C73C6980}"/>
    <cellStyle name="Comma [0] 5 2 2 2 6 2" xfId="915" xr:uid="{F90A1A6D-2099-4661-A2AF-2666354B4813}"/>
    <cellStyle name="Comma [0] 5 2 2 2 7" xfId="916" xr:uid="{055BF6EC-D1BD-4490-97B4-4989D4C8A31A}"/>
    <cellStyle name="Comma [0] 5 2 2 2 8" xfId="917" xr:uid="{3B759FF2-2CDD-4B19-8C56-4EDCEF600C93}"/>
    <cellStyle name="Comma [0] 5 2 2 3" xfId="918" xr:uid="{67C4CD08-A976-45CB-B12F-EA58A550B49F}"/>
    <cellStyle name="Comma [0] 5 2 2 3 2" xfId="919" xr:uid="{204814F6-8A8C-4B25-8C11-04995FF0D3BB}"/>
    <cellStyle name="Comma [0] 5 2 2 3 2 2" xfId="920" xr:uid="{F4C88125-5F65-412B-93B4-9FB83EF2445C}"/>
    <cellStyle name="Comma [0] 5 2 2 3 2 3" xfId="921" xr:uid="{97182A9F-C7D3-4C56-8D31-DB5818A01430}"/>
    <cellStyle name="Comma [0] 5 2 2 3 3" xfId="922" xr:uid="{917C2881-4185-4109-8FB5-8F84F3396517}"/>
    <cellStyle name="Comma [0] 5 2 2 3 3 2" xfId="923" xr:uid="{57CFA0F3-B674-45D8-BED3-87A598C47D24}"/>
    <cellStyle name="Comma [0] 5 2 2 3 4" xfId="924" xr:uid="{2ED2B347-19D5-4C58-A63C-4A42A25E36CC}"/>
    <cellStyle name="Comma [0] 5 2 2 3 4 2" xfId="925" xr:uid="{F8192B24-3E85-447C-B2C5-84DB1417D163}"/>
    <cellStyle name="Comma [0] 5 2 2 3 5" xfId="926" xr:uid="{9830D704-A37F-4465-8C9D-843C597BB49A}"/>
    <cellStyle name="Comma [0] 5 2 2 3 6" xfId="927" xr:uid="{07C53131-B2B0-46CF-A0DF-897A40A69000}"/>
    <cellStyle name="Comma [0] 5 2 2 4" xfId="928" xr:uid="{E7D38111-D4A7-4FEB-9F64-4881705AE3F9}"/>
    <cellStyle name="Comma [0] 5 2 2 4 2" xfId="929" xr:uid="{03E0F850-A823-48BE-9C1E-3A645FA5C71C}"/>
    <cellStyle name="Comma [0] 5 2 2 4 2 2" xfId="930" xr:uid="{638D4CC3-BFD1-4561-9A2F-7AB59FF29FBF}"/>
    <cellStyle name="Comma [0] 5 2 2 4 2 3" xfId="931" xr:uid="{8E0AB0CD-A3DD-447E-825A-963A979A0567}"/>
    <cellStyle name="Comma [0] 5 2 2 4 3" xfId="932" xr:uid="{0D6DB0B1-AFFC-4BF3-B05C-06243F8476AE}"/>
    <cellStyle name="Comma [0] 5 2 2 4 3 2" xfId="933" xr:uid="{A96D6C56-6D68-439C-9577-5ACE04FC5D6B}"/>
    <cellStyle name="Comma [0] 5 2 2 4 4" xfId="934" xr:uid="{74D6B3D6-6523-4D35-B03C-04F679465A9D}"/>
    <cellStyle name="Comma [0] 5 2 2 4 4 2" xfId="935" xr:uid="{6A539E29-18E7-47EE-BFFF-8EBA70409870}"/>
    <cellStyle name="Comma [0] 5 2 2 4 5" xfId="936" xr:uid="{BF47EB0E-BC21-4135-B2A5-43C14E4C9AE9}"/>
    <cellStyle name="Comma [0] 5 2 2 4 6" xfId="937" xr:uid="{7A0BFFF0-5F75-48E3-ADF3-4D6B852DCB87}"/>
    <cellStyle name="Comma [0] 5 2 2 5" xfId="938" xr:uid="{D6400482-056A-470E-B2E7-4BB1032CE583}"/>
    <cellStyle name="Comma [0] 5 2 2 5 2" xfId="939" xr:uid="{D40F4BB9-FCEB-412C-A2ED-DCEF92D94564}"/>
    <cellStyle name="Comma [0] 5 2 2 5 3" xfId="940" xr:uid="{C0589308-2751-4B59-89A0-393BDAB64976}"/>
    <cellStyle name="Comma [0] 5 2 2 6" xfId="941" xr:uid="{6DA3475F-55A6-4D6A-B09D-96E7EDAB1926}"/>
    <cellStyle name="Comma [0] 5 2 2 6 2" xfId="942" xr:uid="{937D4998-5E65-4184-836F-B53DEB088B48}"/>
    <cellStyle name="Comma [0] 5 2 2 7" xfId="943" xr:uid="{F85C94B6-E606-4717-B17C-63D437FE9B11}"/>
    <cellStyle name="Comma [0] 5 2 2 7 2" xfId="944" xr:uid="{B16659E6-5346-4BC9-B1F7-52A8166DA80A}"/>
    <cellStyle name="Comma [0] 5 2 2 8" xfId="945" xr:uid="{0DC1E600-9C74-4844-840D-68C00714FA58}"/>
    <cellStyle name="Comma [0] 5 2 2 8 2" xfId="946" xr:uid="{936E0242-4864-4B88-AA24-399D531A91BC}"/>
    <cellStyle name="Comma [0] 5 2 2 9" xfId="947" xr:uid="{F7B2C21E-22EE-417D-9FD6-FB8B4BFD1D69}"/>
    <cellStyle name="Comma [0] 5 2 3" xfId="948" xr:uid="{23D56848-308E-4AEB-997B-025B0A51CCC2}"/>
    <cellStyle name="Comma [0] 5 2 3 2" xfId="949" xr:uid="{FF3489DE-D81F-4267-ACD7-F57D8349227E}"/>
    <cellStyle name="Comma [0] 5 2 3 2 2" xfId="950" xr:uid="{1DD613B8-B583-49DC-9F74-9443FEDD59DC}"/>
    <cellStyle name="Comma [0] 5 2 3 2 2 2" xfId="951" xr:uid="{4F52EE77-9059-4961-A763-E152D5BD9CFA}"/>
    <cellStyle name="Comma [0] 5 2 3 2 2 3" xfId="952" xr:uid="{E315254E-ACEC-4BA5-AEF0-2B4FE15190DD}"/>
    <cellStyle name="Comma [0] 5 2 3 2 3" xfId="953" xr:uid="{1BB3C7F7-4D20-435C-963C-2B3C63E91B03}"/>
    <cellStyle name="Comma [0] 5 2 3 2 3 2" xfId="954" xr:uid="{00AF0A20-61F0-417E-A4E6-D49D326F81E7}"/>
    <cellStyle name="Comma [0] 5 2 3 2 4" xfId="955" xr:uid="{16BAAA8E-DDD3-4A70-9580-019B5563C9D1}"/>
    <cellStyle name="Comma [0] 5 2 3 2 4 2" xfId="956" xr:uid="{BB189581-22DA-4B31-88AC-BD0A80782014}"/>
    <cellStyle name="Comma [0] 5 2 3 2 5" xfId="957" xr:uid="{992FD688-5718-468B-A6E5-5B6E97AC3FEC}"/>
    <cellStyle name="Comma [0] 5 2 3 2 6" xfId="958" xr:uid="{94FF1646-8B80-419C-B8CB-ADE5397C6A81}"/>
    <cellStyle name="Comma [0] 5 2 3 3" xfId="959" xr:uid="{86E13278-9404-4DA3-A8C3-1A1A250F4999}"/>
    <cellStyle name="Comma [0] 5 2 3 3 2" xfId="960" xr:uid="{0CC9F104-1C84-4346-B14D-2F1FF2B3A4F9}"/>
    <cellStyle name="Comma [0] 5 2 3 3 3" xfId="961" xr:uid="{AF0B5F98-D16D-4635-A1C1-693425CB7FEC}"/>
    <cellStyle name="Comma [0] 5 2 3 4" xfId="962" xr:uid="{2199011F-BE86-40E3-8C9E-C0F978F0A633}"/>
    <cellStyle name="Comma [0] 5 2 3 4 2" xfId="963" xr:uid="{26A7461E-CD15-45FE-981D-4BF289D71FE9}"/>
    <cellStyle name="Comma [0] 5 2 3 5" xfId="964" xr:uid="{947A964C-A847-475D-BE05-8B518AF8B08F}"/>
    <cellStyle name="Comma [0] 5 2 3 5 2" xfId="965" xr:uid="{7DE3A410-B048-4D06-A454-CDD2BD6B5F81}"/>
    <cellStyle name="Comma [0] 5 2 3 6" xfId="966" xr:uid="{436DDFD6-3B5F-40EB-ACC0-9D53184940EC}"/>
    <cellStyle name="Comma [0] 5 2 3 6 2" xfId="967" xr:uid="{F8800A47-FE91-4476-865B-94E514D9C368}"/>
    <cellStyle name="Comma [0] 5 2 3 7" xfId="968" xr:uid="{5ABC2E76-3265-467D-81E4-853D2A7D006C}"/>
    <cellStyle name="Comma [0] 5 2 3 8" xfId="969" xr:uid="{8AEBCA7B-B9A7-4A5D-9DC3-18492F846827}"/>
    <cellStyle name="Comma [0] 5 2 4" xfId="970" xr:uid="{7EA340BA-1ABB-40C8-ABC1-D1E4D3ABE398}"/>
    <cellStyle name="Comma [0] 5 2 4 2" xfId="971" xr:uid="{C959803C-D35E-4600-AB59-B6B38E465942}"/>
    <cellStyle name="Comma [0] 5 2 4 2 2" xfId="972" xr:uid="{A588B7EF-5AD3-4D79-938B-327D231837E7}"/>
    <cellStyle name="Comma [0] 5 2 4 2 3" xfId="973" xr:uid="{C4D78607-BC94-4A08-BA66-D52D506756E8}"/>
    <cellStyle name="Comma [0] 5 2 4 3" xfId="974" xr:uid="{E4AECE93-56A4-4A6A-B295-BCA5B0092D86}"/>
    <cellStyle name="Comma [0] 5 2 4 3 2" xfId="975" xr:uid="{C28586BE-D38F-470C-825F-62EE78C66370}"/>
    <cellStyle name="Comma [0] 5 2 4 4" xfId="976" xr:uid="{CD36038F-E364-4B22-8DFE-C2AC0C0B0CA6}"/>
    <cellStyle name="Comma [0] 5 2 4 4 2" xfId="977" xr:uid="{9BBAAF50-0528-4010-B3CC-EA2E99BC7BFE}"/>
    <cellStyle name="Comma [0] 5 2 4 5" xfId="978" xr:uid="{A0E43BD4-5C24-4222-8721-5E5328432EF3}"/>
    <cellStyle name="Comma [0] 5 2 4 6" xfId="979" xr:uid="{C5BCBF9A-4FEA-4C50-90FE-6212E1758290}"/>
    <cellStyle name="Comma [0] 5 2 5" xfId="980" xr:uid="{035077A5-192B-44F2-A819-03B695A3A88E}"/>
    <cellStyle name="Comma [0] 5 2 5 2" xfId="981" xr:uid="{EAC22C5C-02AB-413F-9A29-760C147C5BA5}"/>
    <cellStyle name="Comma [0] 5 2 5 2 2" xfId="982" xr:uid="{D1776E40-17EE-4B82-AEAC-4E8C900EE745}"/>
    <cellStyle name="Comma [0] 5 2 5 2 3" xfId="983" xr:uid="{511F2652-26ED-47C8-B49C-942DC9793D59}"/>
    <cellStyle name="Comma [0] 5 2 5 3" xfId="984" xr:uid="{51E828DD-F925-4254-8B95-DF5DCEF3ECED}"/>
    <cellStyle name="Comma [0] 5 2 5 3 2" xfId="985" xr:uid="{B2BC5168-0E58-4FB5-9B8A-98006EDDB328}"/>
    <cellStyle name="Comma [0] 5 2 5 4" xfId="986" xr:uid="{F0731F86-E1AE-49F8-A036-A6A57F68E2DB}"/>
    <cellStyle name="Comma [0] 5 2 5 4 2" xfId="987" xr:uid="{F525240D-0F7E-4C8F-AAC2-B93C17EE99DC}"/>
    <cellStyle name="Comma [0] 5 2 5 5" xfId="988" xr:uid="{47D786E2-633F-4E80-9797-BEBA9E8241D5}"/>
    <cellStyle name="Comma [0] 5 2 5 6" xfId="989" xr:uid="{54EC86B5-003E-4D95-A33D-DB9AAB7A9E22}"/>
    <cellStyle name="Comma [0] 5 2 6" xfId="990" xr:uid="{2C473375-9A7C-41D0-9DAD-54071CB7C6D6}"/>
    <cellStyle name="Comma [0] 5 2 6 2" xfId="991" xr:uid="{BA2E779E-CDC2-473C-8D35-B462015D5A9A}"/>
    <cellStyle name="Comma [0] 5 2 6 3" xfId="992" xr:uid="{412743A0-02AE-4B3C-B507-D5683FBCD57D}"/>
    <cellStyle name="Comma [0] 5 2 7" xfId="993" xr:uid="{2F45D648-3207-4A12-86CD-39FE8CDEB0AB}"/>
    <cellStyle name="Comma [0] 5 2 7 2" xfId="994" xr:uid="{F36721C1-AB26-452C-A448-50E79E1DDA1E}"/>
    <cellStyle name="Comma [0] 5 2 8" xfId="995" xr:uid="{B905917B-AEB6-4D3B-8E2F-7893C7682F73}"/>
    <cellStyle name="Comma [0] 5 2 8 2" xfId="996" xr:uid="{5DEB86A5-593F-478B-8BC2-1A662EF60339}"/>
    <cellStyle name="Comma [0] 5 2 9" xfId="997" xr:uid="{16D3252F-3679-4A93-8C2A-4A93523684E3}"/>
    <cellStyle name="Comma [0] 5 2 9 2" xfId="998" xr:uid="{72069355-42C8-474E-BBF4-6526B69768B6}"/>
    <cellStyle name="Comma [0] 5 3" xfId="999" xr:uid="{A151977C-FD00-43DA-A54A-AB54A85AB7BD}"/>
    <cellStyle name="Comma [0] 5 3 10" xfId="1000" xr:uid="{D4CA3F0F-539F-4C14-BD60-9D20FEFABCA3}"/>
    <cellStyle name="Comma [0] 5 3 2" xfId="1001" xr:uid="{80B8C24D-4698-4A42-853C-52AD1D002EC7}"/>
    <cellStyle name="Comma [0] 5 3 2 2" xfId="1002" xr:uid="{261403AD-EE22-4A0D-91B3-CCA12D4FF98B}"/>
    <cellStyle name="Comma [0] 5 3 2 2 2" xfId="1003" xr:uid="{9A906CA6-36C0-40DA-8034-7C18F6F85AD2}"/>
    <cellStyle name="Comma [0] 5 3 2 2 2 2" xfId="1004" xr:uid="{B1534B1D-5F76-4065-A2A4-8F5F79C64713}"/>
    <cellStyle name="Comma [0] 5 3 2 2 2 3" xfId="1005" xr:uid="{B9FCD93F-C12D-41C0-97A9-23CC4A1A8554}"/>
    <cellStyle name="Comma [0] 5 3 2 2 3" xfId="1006" xr:uid="{521D676F-23D0-413C-B834-FB63F3E5A8DB}"/>
    <cellStyle name="Comma [0] 5 3 2 2 3 2" xfId="1007" xr:uid="{775A324B-D8A3-4D53-9F6D-D269F3019E00}"/>
    <cellStyle name="Comma [0] 5 3 2 2 4" xfId="1008" xr:uid="{32434341-EC4E-4401-83B1-E18F8232E4A6}"/>
    <cellStyle name="Comma [0] 5 3 2 2 4 2" xfId="1009" xr:uid="{B39A0DBE-9CAA-4E48-A597-5416905424EC}"/>
    <cellStyle name="Comma [0] 5 3 2 2 5" xfId="1010" xr:uid="{3540C09F-0068-4248-ABDF-DE3E72181531}"/>
    <cellStyle name="Comma [0] 5 3 2 2 6" xfId="1011" xr:uid="{663D41DF-BC88-45A1-A91A-63A5DD5AB6E6}"/>
    <cellStyle name="Comma [0] 5 3 2 3" xfId="1012" xr:uid="{F169739C-4F53-4955-A25B-1620FBCB23F0}"/>
    <cellStyle name="Comma [0] 5 3 2 3 2" xfId="1013" xr:uid="{D91203F0-BB9E-4CBC-BBAE-B580A1706079}"/>
    <cellStyle name="Comma [0] 5 3 2 3 3" xfId="1014" xr:uid="{640A5AEA-DD6C-40F4-9A5B-65D1613BF8AE}"/>
    <cellStyle name="Comma [0] 5 3 2 4" xfId="1015" xr:uid="{2CEF0657-D933-4DD4-915C-95A206B9B84D}"/>
    <cellStyle name="Comma [0] 5 3 2 4 2" xfId="1016" xr:uid="{0080F9D2-001A-4BB5-B33C-7F43B6B86EEA}"/>
    <cellStyle name="Comma [0] 5 3 2 5" xfId="1017" xr:uid="{E777DD28-69EA-40B7-B5DC-EB1136BE4CC8}"/>
    <cellStyle name="Comma [0] 5 3 2 5 2" xfId="1018" xr:uid="{5B23A629-09B3-4B3B-9E5C-6BCB4FC97D5D}"/>
    <cellStyle name="Comma [0] 5 3 2 6" xfId="1019" xr:uid="{9C64D9FF-51D5-475B-83BA-9DB1C6C8365B}"/>
    <cellStyle name="Comma [0] 5 3 2 6 2" xfId="1020" xr:uid="{28AFD82D-9071-4BC9-88E7-AD38F8ED42D9}"/>
    <cellStyle name="Comma [0] 5 3 2 7" xfId="1021" xr:uid="{64BC2C26-7B27-4BB4-AAE5-EAB569F6FD14}"/>
    <cellStyle name="Comma [0] 5 3 2 8" xfId="1022" xr:uid="{ADFAAAA8-7BF0-42E7-A171-D25EE9CA2478}"/>
    <cellStyle name="Comma [0] 5 3 3" xfId="1023" xr:uid="{D7B77444-AD30-4433-A483-67CD95FE2C01}"/>
    <cellStyle name="Comma [0] 5 3 3 2" xfId="1024" xr:uid="{08CAEEC8-1E41-4213-8031-FE1CD06E34DD}"/>
    <cellStyle name="Comma [0] 5 3 3 2 2" xfId="1025" xr:uid="{6D12B036-4533-4689-9135-53D4FE10F82E}"/>
    <cellStyle name="Comma [0] 5 3 3 2 3" xfId="1026" xr:uid="{E2C28F86-A34B-4511-AEE0-3BA357F3C920}"/>
    <cellStyle name="Comma [0] 5 3 3 3" xfId="1027" xr:uid="{1EB2C0BF-EACA-4274-B8A7-25453805AE1C}"/>
    <cellStyle name="Comma [0] 5 3 3 3 2" xfId="1028" xr:uid="{3FDF2DB6-B313-4C87-9486-2703DEB5AAD5}"/>
    <cellStyle name="Comma [0] 5 3 3 4" xfId="1029" xr:uid="{B4F4399A-37DF-47EB-BFE8-26DA6A033FB2}"/>
    <cellStyle name="Comma [0] 5 3 3 4 2" xfId="1030" xr:uid="{E44860A3-65EE-41AD-9C60-444FCDE9C0CC}"/>
    <cellStyle name="Comma [0] 5 3 3 5" xfId="1031" xr:uid="{C077EBA6-3574-4BC0-B31E-AAA6661DBE0F}"/>
    <cellStyle name="Comma [0] 5 3 3 6" xfId="1032" xr:uid="{065CF5D2-70ED-47BF-9891-1BE47F2D5252}"/>
    <cellStyle name="Comma [0] 5 3 4" xfId="1033" xr:uid="{02330107-C74C-4F90-BDFE-D6A54DC78F0A}"/>
    <cellStyle name="Comma [0] 5 3 4 2" xfId="1034" xr:uid="{B74BF67B-4F1A-4E56-A59D-5B6C3767E575}"/>
    <cellStyle name="Comma [0] 5 3 4 2 2" xfId="1035" xr:uid="{4BF1AAE9-F1B8-4804-BE3B-8C029D87A663}"/>
    <cellStyle name="Comma [0] 5 3 4 2 3" xfId="1036" xr:uid="{136DCE8B-41BA-4A1A-8D5B-BE7C5226DAA2}"/>
    <cellStyle name="Comma [0] 5 3 4 3" xfId="1037" xr:uid="{79EED099-ED6F-4E83-AF4A-109632851907}"/>
    <cellStyle name="Comma [0] 5 3 4 3 2" xfId="1038" xr:uid="{4091D69B-7637-4E74-A8B6-578B403E58B4}"/>
    <cellStyle name="Comma [0] 5 3 4 4" xfId="1039" xr:uid="{56F4B347-742F-4E6D-8186-90AA6DEFC4C2}"/>
    <cellStyle name="Comma [0] 5 3 4 4 2" xfId="1040" xr:uid="{458259D9-6012-4DC9-8591-BDC9F547C2EE}"/>
    <cellStyle name="Comma [0] 5 3 4 5" xfId="1041" xr:uid="{42698A69-7734-4C4F-9EE7-4BAAA6625670}"/>
    <cellStyle name="Comma [0] 5 3 4 6" xfId="1042" xr:uid="{42893705-5134-4389-91CD-5B03346CB0F0}"/>
    <cellStyle name="Comma [0] 5 3 5" xfId="1043" xr:uid="{E88F81EF-7C6D-4A02-BB2A-F0B6D19B20EC}"/>
    <cellStyle name="Comma [0] 5 3 5 2" xfId="1044" xr:uid="{A89037D4-3520-4502-9132-208681C2C398}"/>
    <cellStyle name="Comma [0] 5 3 5 3" xfId="1045" xr:uid="{C2D08C62-EE13-418B-8E23-09D17DFC1510}"/>
    <cellStyle name="Comma [0] 5 3 6" xfId="1046" xr:uid="{77FC923B-4C0C-417B-9CC5-9975DE5BBDF3}"/>
    <cellStyle name="Comma [0] 5 3 6 2" xfId="1047" xr:uid="{A37FCDF5-B504-4ED1-BA77-C30E0A6104DD}"/>
    <cellStyle name="Comma [0] 5 3 7" xfId="1048" xr:uid="{CECFEE57-8B94-4C24-AF60-E6BFEC91F9B4}"/>
    <cellStyle name="Comma [0] 5 3 7 2" xfId="1049" xr:uid="{C4D032DF-F4C2-4973-86D8-954F6E4CC608}"/>
    <cellStyle name="Comma [0] 5 3 8" xfId="1050" xr:uid="{BFE0C281-DD4D-4333-AB74-26AE2F005680}"/>
    <cellStyle name="Comma [0] 5 3 8 2" xfId="1051" xr:uid="{31549B19-9C65-41E9-9367-2C8EE9815C30}"/>
    <cellStyle name="Comma [0] 5 3 9" xfId="1052" xr:uid="{933ED4BB-E7A1-4C78-A4C1-9B680B3ED318}"/>
    <cellStyle name="Comma [0] 5 4" xfId="1053" xr:uid="{048B484C-DE92-4D0C-B56D-58BA3D02780E}"/>
    <cellStyle name="Comma [0] 5 4 2" xfId="1054" xr:uid="{831DBB97-4FCC-4371-B2D2-486BB68ED7E9}"/>
    <cellStyle name="Comma [0] 5 4 2 2" xfId="1055" xr:uid="{E3865B5A-DA3C-4882-98A2-0B9F6CE6BD5D}"/>
    <cellStyle name="Comma [0] 5 4 2 2 2" xfId="1056" xr:uid="{2BE401A7-D5BE-43FE-A8D0-58341702F340}"/>
    <cellStyle name="Comma [0] 5 4 2 2 3" xfId="1057" xr:uid="{F236E6EC-C8CF-4770-B00E-EE2C933A1BEC}"/>
    <cellStyle name="Comma [0] 5 4 2 3" xfId="1058" xr:uid="{C4A85863-AE99-4095-8DF8-E45E78B23FEB}"/>
    <cellStyle name="Comma [0] 5 4 2 3 2" xfId="1059" xr:uid="{5C55CC00-D3FA-46D7-A278-190367F3A71F}"/>
    <cellStyle name="Comma [0] 5 4 2 4" xfId="1060" xr:uid="{92FFEDBB-7641-4E98-8117-DB7553119FE4}"/>
    <cellStyle name="Comma [0] 5 4 2 4 2" xfId="1061" xr:uid="{B94433D0-F82A-4B35-A5D7-93804A49E228}"/>
    <cellStyle name="Comma [0] 5 4 2 5" xfId="1062" xr:uid="{996F42BB-C713-473B-B386-D0E6F1A0285E}"/>
    <cellStyle name="Comma [0] 5 4 2 6" xfId="1063" xr:uid="{ABF2BB66-462E-498B-9EF4-93A0E935BDCB}"/>
    <cellStyle name="Comma [0] 5 4 3" xfId="1064" xr:uid="{B0094630-D7EB-49F6-B0A3-F8516E967D1D}"/>
    <cellStyle name="Comma [0] 5 4 3 2" xfId="1065" xr:uid="{644A2735-3268-4915-9777-70078E7FA9AB}"/>
    <cellStyle name="Comma [0] 5 4 3 3" xfId="1066" xr:uid="{E473B631-51B5-4188-A927-58CE930ADB0E}"/>
    <cellStyle name="Comma [0] 5 4 4" xfId="1067" xr:uid="{000A36E2-5843-4B83-8D7B-57973112DE77}"/>
    <cellStyle name="Comma [0] 5 4 4 2" xfId="1068" xr:uid="{41C1DFE3-CD6B-4249-A6B8-57EDC413FADE}"/>
    <cellStyle name="Comma [0] 5 4 5" xfId="1069" xr:uid="{B7B14FFF-2474-42E6-ABF9-AF8EE5F65010}"/>
    <cellStyle name="Comma [0] 5 4 5 2" xfId="1070" xr:uid="{09CD1E59-F0BC-4951-96CD-183A89AD6FDB}"/>
    <cellStyle name="Comma [0] 5 4 6" xfId="1071" xr:uid="{DDBB7715-70CB-4C5D-9856-C06367461A6A}"/>
    <cellStyle name="Comma [0] 5 4 6 2" xfId="1072" xr:uid="{447680C9-B643-41E8-B602-BC77086E1253}"/>
    <cellStyle name="Comma [0] 5 4 7" xfId="1073" xr:uid="{5A38DF93-1D3F-46C7-B70D-408CC519CC99}"/>
    <cellStyle name="Comma [0] 5 4 8" xfId="1074" xr:uid="{0C41A2AE-C4ED-41FC-AEA0-0194D564CE63}"/>
    <cellStyle name="Comma [0] 5 5" xfId="1075" xr:uid="{0AB63CAF-7D79-43F3-9471-C2D6FE9B1951}"/>
    <cellStyle name="Comma [0] 5 5 2" xfId="1076" xr:uid="{DC59ADEE-64FE-42A6-BC7E-71EEE7E45B79}"/>
    <cellStyle name="Comma [0] 5 5 2 2" xfId="1077" xr:uid="{8C8B295B-4536-4BC0-B93E-B73C6A41624E}"/>
    <cellStyle name="Comma [0] 5 5 2 3" xfId="1078" xr:uid="{7A56E173-5C4E-4B4E-98F2-00E5A49F8226}"/>
    <cellStyle name="Comma [0] 5 5 3" xfId="1079" xr:uid="{887D7ABE-88D8-48E5-8FA4-82F2502B27E5}"/>
    <cellStyle name="Comma [0] 5 5 3 2" xfId="1080" xr:uid="{2D0CDDD0-7201-4B66-BB4E-49B6FCD53E4A}"/>
    <cellStyle name="Comma [0] 5 5 3 3" xfId="1081" xr:uid="{A4EEB1E4-0EED-4736-B373-2F34A0D108DD}"/>
    <cellStyle name="Comma [0] 5 5 4" xfId="1082" xr:uid="{FE005900-980E-47A1-82CE-445FB7D3DC5F}"/>
    <cellStyle name="Comma [0] 5 5 4 2" xfId="1083" xr:uid="{78E557AE-7A40-404A-8061-55E8161815A4}"/>
    <cellStyle name="Comma [0] 5 5 5" xfId="1084" xr:uid="{FEBA8243-DAFC-40FA-A638-C7D382333A78}"/>
    <cellStyle name="Comma [0] 5 5 5 2" xfId="1085" xr:uid="{ECF272AE-4BDD-40AC-9D86-25371B6D9C26}"/>
    <cellStyle name="Comma [0] 5 5 6" xfId="1086" xr:uid="{FB0AF64B-943F-4FF1-AC5A-350941054783}"/>
    <cellStyle name="Comma [0] 5 5 7" xfId="1087" xr:uid="{97683E7B-2C32-4550-9705-6DD1298D13FC}"/>
    <cellStyle name="Comma [0] 5 6" xfId="1088" xr:uid="{E8B34A55-196F-4761-B919-F69168D140B8}"/>
    <cellStyle name="Comma [0] 5 6 2" xfId="1089" xr:uid="{0735D0CB-75F3-41F5-A7F2-4658503F9B4C}"/>
    <cellStyle name="Comma [0] 5 6 2 2" xfId="1090" xr:uid="{41B73294-DCA1-4627-90D4-E1767A336BCC}"/>
    <cellStyle name="Comma [0] 5 6 2 3" xfId="1091" xr:uid="{84BC614D-7BC1-4F94-BFD6-3B318D900534}"/>
    <cellStyle name="Comma [0] 5 6 3" xfId="1092" xr:uid="{B4B66AC8-AA60-4C1E-9A33-0A39EE27A7BA}"/>
    <cellStyle name="Comma [0] 5 6 3 2" xfId="1093" xr:uid="{52BBB3D2-7A48-404F-A9EC-2BE2310769EC}"/>
    <cellStyle name="Comma [0] 5 6 4" xfId="1094" xr:uid="{BE40FF6B-341A-4466-9731-61DF9A2345C6}"/>
    <cellStyle name="Comma [0] 5 6 4 2" xfId="1095" xr:uid="{266ECBBD-5A57-4CFF-8CF2-9000F872D31E}"/>
    <cellStyle name="Comma [0] 5 6 5" xfId="1096" xr:uid="{0E58DF45-7A6D-4AA0-AED3-4A78E547C418}"/>
    <cellStyle name="Comma [0] 5 6 6" xfId="1097" xr:uid="{89C14C3B-E3EB-49D4-8C6F-EFA3CFFC6879}"/>
    <cellStyle name="Comma [0] 5 7" xfId="1098" xr:uid="{CE0E2645-59DD-4784-B8B9-18D63A63D0AA}"/>
    <cellStyle name="Comma [0] 5 7 2" xfId="1099" xr:uid="{A40301FC-0369-4A07-BC9F-E3D818B75609}"/>
    <cellStyle name="Comma [0] 5 7 3" xfId="1100" xr:uid="{737C19AF-1C7D-4A9F-88D2-CECE0FE41299}"/>
    <cellStyle name="Comma [0] 5 8" xfId="1101" xr:uid="{92B8C465-9597-48F8-8D14-B34DEFE01EF7}"/>
    <cellStyle name="Comma [0] 5 8 2" xfId="1102" xr:uid="{EDE862F0-75CF-4409-9948-6BEB348A7CA9}"/>
    <cellStyle name="Comma [0] 5 9" xfId="1103" xr:uid="{E661AC79-7E16-47D4-83CE-E40B03DA77FA}"/>
    <cellStyle name="Comma [0] 5 9 2" xfId="1104" xr:uid="{0D04B7D0-57D2-4F5C-BE18-7FE4B16F95B9}"/>
    <cellStyle name="Comma [0] 6" xfId="1105" xr:uid="{F081A569-22CC-411A-BF84-1432A9314D62}"/>
    <cellStyle name="Comma [0] 6 10" xfId="1106" xr:uid="{5FF459C2-1904-4602-9026-6171D91FB037}"/>
    <cellStyle name="Comma [0] 6 11" xfId="1107" xr:uid="{1EBF2C73-D93A-4748-82CB-D9A74A206C1A}"/>
    <cellStyle name="Comma [0] 6 2" xfId="1108" xr:uid="{0240D957-0563-4EF5-8B6C-DD5742379415}"/>
    <cellStyle name="Comma [0] 6 2 10" xfId="1109" xr:uid="{A257774C-458B-4729-A734-3E5588168FE0}"/>
    <cellStyle name="Comma [0] 6 2 2" xfId="1110" xr:uid="{A87AADA4-539B-484A-955B-2B8884697567}"/>
    <cellStyle name="Comma [0] 6 2 2 2" xfId="1111" xr:uid="{2CA79085-0195-4FCA-8075-5B725BFB7FF7}"/>
    <cellStyle name="Comma [0] 6 2 2 2 2" xfId="1112" xr:uid="{2C8AC113-DB34-40BD-B725-0B71AF8F16AB}"/>
    <cellStyle name="Comma [0] 6 2 2 2 2 2" xfId="1113" xr:uid="{3AEC750E-6F3F-4C08-89B2-785C9CCBD997}"/>
    <cellStyle name="Comma [0] 6 2 2 2 2 3" xfId="1114" xr:uid="{7D9F591A-4292-4C6C-810E-6205C4E3D06D}"/>
    <cellStyle name="Comma [0] 6 2 2 2 3" xfId="1115" xr:uid="{6C946DFF-6289-4EA0-BB30-AC30C4926354}"/>
    <cellStyle name="Comma [0] 6 2 2 2 3 2" xfId="1116" xr:uid="{C09298D7-3251-4FCD-B6BE-7154EBFC6294}"/>
    <cellStyle name="Comma [0] 6 2 2 2 4" xfId="1117" xr:uid="{82A09291-9FF0-4601-9508-9C01CA5583C6}"/>
    <cellStyle name="Comma [0] 6 2 2 2 4 2" xfId="1118" xr:uid="{81F6492E-9931-46D3-9341-B1AAF0C1E079}"/>
    <cellStyle name="Comma [0] 6 2 2 2 5" xfId="1119" xr:uid="{E02D9C6A-4B4B-4882-8060-8D5A8622EC02}"/>
    <cellStyle name="Comma [0] 6 2 2 2 6" xfId="1120" xr:uid="{4C57D3BA-36B2-4A15-ADB7-8F44F23E4BD0}"/>
    <cellStyle name="Comma [0] 6 2 2 3" xfId="1121" xr:uid="{9B5A8E0B-EA85-4F81-97CB-16AE05032E41}"/>
    <cellStyle name="Comma [0] 6 2 2 3 2" xfId="1122" xr:uid="{796FCD5E-D5C3-4D17-BC4A-9883BE2B325D}"/>
    <cellStyle name="Comma [0] 6 2 2 3 3" xfId="1123" xr:uid="{4852C592-4C6E-4790-A2D8-01C2245B2210}"/>
    <cellStyle name="Comma [0] 6 2 2 4" xfId="1124" xr:uid="{29355E28-6500-4611-8F66-AC78D9205EFE}"/>
    <cellStyle name="Comma [0] 6 2 2 4 2" xfId="1125" xr:uid="{6497EDF8-8F59-44A7-8743-BCD9AF999A42}"/>
    <cellStyle name="Comma [0] 6 2 2 5" xfId="1126" xr:uid="{6AE36940-02FD-4C70-A5AB-747C235E0765}"/>
    <cellStyle name="Comma [0] 6 2 2 5 2" xfId="1127" xr:uid="{73E8A257-0F8B-4021-A84A-4D31DE8E5DD6}"/>
    <cellStyle name="Comma [0] 6 2 2 6" xfId="1128" xr:uid="{D7FCA2BC-59B7-49B6-A00A-AABC9898FC65}"/>
    <cellStyle name="Comma [0] 6 2 2 6 2" xfId="1129" xr:uid="{C6663339-92AF-4D2B-9773-DB0EDBA60B95}"/>
    <cellStyle name="Comma [0] 6 2 2 7" xfId="1130" xr:uid="{68DD8F4B-308D-4DAF-9B16-455C3E88CFD8}"/>
    <cellStyle name="Comma [0] 6 2 2 8" xfId="1131" xr:uid="{0C6EB39D-3002-4601-97B9-8071F10422C1}"/>
    <cellStyle name="Comma [0] 6 2 3" xfId="1132" xr:uid="{369E0A71-5C51-44F0-828E-8736D900ACD0}"/>
    <cellStyle name="Comma [0] 6 2 3 2" xfId="1133" xr:uid="{B4E8690A-357C-444E-9001-33AFA9492F05}"/>
    <cellStyle name="Comma [0] 6 2 3 2 2" xfId="1134" xr:uid="{507D436A-A789-4DBF-B73A-861F3C5A04C2}"/>
    <cellStyle name="Comma [0] 6 2 3 2 3" xfId="1135" xr:uid="{6DEDFBE2-8BBA-41BC-8759-5CD35C4DE8BF}"/>
    <cellStyle name="Comma [0] 6 2 3 3" xfId="1136" xr:uid="{F8FD035F-75D7-4435-A4DC-4C9ACAE7F4CA}"/>
    <cellStyle name="Comma [0] 6 2 3 3 2" xfId="1137" xr:uid="{07B7330B-8981-459B-935B-EDCD49CD26B3}"/>
    <cellStyle name="Comma [0] 6 2 3 4" xfId="1138" xr:uid="{AFD08C40-98AF-4557-AC56-44FE941AD99B}"/>
    <cellStyle name="Comma [0] 6 2 3 4 2" xfId="1139" xr:uid="{A5C79D19-DAA8-4925-85FE-D6AE28EEBDDF}"/>
    <cellStyle name="Comma [0] 6 2 3 5" xfId="1140" xr:uid="{1EBE7F14-C62D-4EE8-89CB-AEB859C1EDF2}"/>
    <cellStyle name="Comma [0] 6 2 3 6" xfId="1141" xr:uid="{032508B9-FDB9-4C6C-9676-E85932A54119}"/>
    <cellStyle name="Comma [0] 6 2 4" xfId="1142" xr:uid="{7A68DF60-2DA1-430F-9CE7-49A3D27C2613}"/>
    <cellStyle name="Comma [0] 6 2 4 2" xfId="1143" xr:uid="{BA608D16-720E-411A-9839-A5AB498EAF55}"/>
    <cellStyle name="Comma [0] 6 2 4 2 2" xfId="1144" xr:uid="{FD71F222-9A83-4FC5-81F4-C44380E5051F}"/>
    <cellStyle name="Comma [0] 6 2 4 2 3" xfId="1145" xr:uid="{B27EFE95-1C9E-4BF6-BB35-0E3052C3E0E0}"/>
    <cellStyle name="Comma [0] 6 2 4 3" xfId="1146" xr:uid="{75CA1538-846B-4942-B1AA-C4161C200B66}"/>
    <cellStyle name="Comma [0] 6 2 4 3 2" xfId="1147" xr:uid="{6A41C624-928D-4B5B-A116-D8DC7960544E}"/>
    <cellStyle name="Comma [0] 6 2 4 4" xfId="1148" xr:uid="{9FCF5808-BAB8-4408-8CB5-53B770686526}"/>
    <cellStyle name="Comma [0] 6 2 4 4 2" xfId="1149" xr:uid="{29467E74-8728-4E66-8C1B-2E959E2BC592}"/>
    <cellStyle name="Comma [0] 6 2 4 5" xfId="1150" xr:uid="{F6274A7D-0737-4F5D-9896-34DF78B9DA61}"/>
    <cellStyle name="Comma [0] 6 2 4 6" xfId="1151" xr:uid="{ADA38C8A-6271-4D1A-B8DA-C4568189CBEB}"/>
    <cellStyle name="Comma [0] 6 2 5" xfId="1152" xr:uid="{97DA0064-767A-4A71-8087-6ABCA1A77AB5}"/>
    <cellStyle name="Comma [0] 6 2 5 2" xfId="1153" xr:uid="{7146BA4F-23F7-4AA2-A5E2-7088C7BCE1AC}"/>
    <cellStyle name="Comma [0] 6 2 5 3" xfId="1154" xr:uid="{A733C820-1442-481E-9780-B1D0341244E5}"/>
    <cellStyle name="Comma [0] 6 2 6" xfId="1155" xr:uid="{75F764CD-7827-42E9-9BEE-83FF29A1B332}"/>
    <cellStyle name="Comma [0] 6 2 6 2" xfId="1156" xr:uid="{B1B132C4-98DB-457F-8208-D3EAAF58DB54}"/>
    <cellStyle name="Comma [0] 6 2 7" xfId="1157" xr:uid="{848BC569-11D7-44CB-873A-53A5C7E827AD}"/>
    <cellStyle name="Comma [0] 6 2 7 2" xfId="1158" xr:uid="{337D0916-1D0B-4428-84F0-AC7A6DB165F5}"/>
    <cellStyle name="Comma [0] 6 2 8" xfId="1159" xr:uid="{D16A5108-9BAF-4BF5-8E50-56EC220C3DC2}"/>
    <cellStyle name="Comma [0] 6 2 8 2" xfId="1160" xr:uid="{D8B2CFE4-D4BE-4AB6-BBCB-568EBD9A0968}"/>
    <cellStyle name="Comma [0] 6 2 9" xfId="1161" xr:uid="{D4790235-CCF6-40BA-9547-B4A4AC0FD1F9}"/>
    <cellStyle name="Comma [0] 6 3" xfId="1162" xr:uid="{35710BC7-D159-4274-9E54-68651D0E2F0A}"/>
    <cellStyle name="Comma [0] 6 3 2" xfId="1163" xr:uid="{3AC976E3-9753-47A8-BC9C-44C874668757}"/>
    <cellStyle name="Comma [0] 6 3 2 2" xfId="1164" xr:uid="{666051D0-6658-4909-8D40-9EDD2A01E81C}"/>
    <cellStyle name="Comma [0] 6 3 2 2 2" xfId="1165" xr:uid="{491A120F-75B1-4B70-A8E5-A3FA7C9079E5}"/>
    <cellStyle name="Comma [0] 6 3 2 2 3" xfId="1166" xr:uid="{A42C8D96-4ADB-4E2D-BDCC-04EA16D6F46B}"/>
    <cellStyle name="Comma [0] 6 3 2 3" xfId="1167" xr:uid="{FECA158A-6FEB-40FC-B045-F26C549045A6}"/>
    <cellStyle name="Comma [0] 6 3 2 3 2" xfId="1168" xr:uid="{862E6806-E6F1-44FA-BB98-521FFE05DF47}"/>
    <cellStyle name="Comma [0] 6 3 2 4" xfId="1169" xr:uid="{E4072329-FE76-4599-943C-57422AACA4AB}"/>
    <cellStyle name="Comma [0] 6 3 2 4 2" xfId="1170" xr:uid="{769B2FC2-524A-4003-8121-35649EBB9BF0}"/>
    <cellStyle name="Comma [0] 6 3 2 5" xfId="1171" xr:uid="{254BC921-3BAE-4D27-940E-516F55BB1D23}"/>
    <cellStyle name="Comma [0] 6 3 2 6" xfId="1172" xr:uid="{4B7EA121-60AF-4F6B-9607-EEAE6ED5BA28}"/>
    <cellStyle name="Comma [0] 6 3 3" xfId="1173" xr:uid="{8B061D1F-40C3-40E4-AF08-432259AFC5B4}"/>
    <cellStyle name="Comma [0] 6 3 3 2" xfId="1174" xr:uid="{0BD89FC3-E7D0-4BFD-8DA9-B65D5890C5D8}"/>
    <cellStyle name="Comma [0] 6 3 3 3" xfId="1175" xr:uid="{807685CF-4A73-4191-BF4D-202E32773249}"/>
    <cellStyle name="Comma [0] 6 3 4" xfId="1176" xr:uid="{F2480307-E14D-4FD0-8DD6-195FD5EBD0D6}"/>
    <cellStyle name="Comma [0] 6 3 4 2" xfId="1177" xr:uid="{C6734CF1-3F55-4D4E-975C-9E4700141AB4}"/>
    <cellStyle name="Comma [0] 6 3 5" xfId="1178" xr:uid="{889BDE29-DF70-403B-B604-2C8D0BE3976D}"/>
    <cellStyle name="Comma [0] 6 3 5 2" xfId="1179" xr:uid="{2F68B24F-761C-422A-B787-70B2D893DBF1}"/>
    <cellStyle name="Comma [0] 6 3 6" xfId="1180" xr:uid="{9E0B9E7E-7375-4D67-B5B9-73CEA1F790C0}"/>
    <cellStyle name="Comma [0] 6 3 6 2" xfId="1181" xr:uid="{01EDEEAF-99B3-40ED-8DD0-D48042164BA9}"/>
    <cellStyle name="Comma [0] 6 3 7" xfId="1182" xr:uid="{EC1B56E4-F03D-4546-BF23-312D26D03A3F}"/>
    <cellStyle name="Comma [0] 6 3 8" xfId="1183" xr:uid="{6365C20E-FBCA-4634-BEB0-E82C600AABFB}"/>
    <cellStyle name="Comma [0] 6 4" xfId="1184" xr:uid="{199528A9-61AD-4AC5-BCB2-C17745CA564C}"/>
    <cellStyle name="Comma [0] 6 4 2" xfId="1185" xr:uid="{7E1460C1-47E7-4939-AAB9-135755E662D0}"/>
    <cellStyle name="Comma [0] 6 4 2 2" xfId="1186" xr:uid="{38004AF4-7FA8-45A4-8976-F82479D719A8}"/>
    <cellStyle name="Comma [0] 6 4 2 3" xfId="1187" xr:uid="{F9B0A0B4-A4CE-4722-B8F0-35822605C184}"/>
    <cellStyle name="Comma [0] 6 4 3" xfId="1188" xr:uid="{DB6957C7-5B52-45F8-A463-DA173E457F7B}"/>
    <cellStyle name="Comma [0] 6 4 3 2" xfId="1189" xr:uid="{BCED9BBC-BD7F-4ACB-B07E-F8810A580D9C}"/>
    <cellStyle name="Comma [0] 6 4 4" xfId="1190" xr:uid="{88F9DCFF-1FFF-4D02-979E-F9D332D99D5F}"/>
    <cellStyle name="Comma [0] 6 4 4 2" xfId="1191" xr:uid="{C4E6F972-4730-46C7-BBA3-74A4078ECF52}"/>
    <cellStyle name="Comma [0] 6 4 5" xfId="1192" xr:uid="{E0091FD9-A584-4332-ABFB-2337296B4D91}"/>
    <cellStyle name="Comma [0] 6 4 5 2" xfId="1193" xr:uid="{26B8BE3D-B270-4498-8CF3-67B7CB6A7FC2}"/>
    <cellStyle name="Comma [0] 6 4 6" xfId="1194" xr:uid="{679199DF-43D8-455F-BC7F-8CD474D634AF}"/>
    <cellStyle name="Comma [0] 6 4 7" xfId="1195" xr:uid="{71141775-D065-4024-871C-6968F3DAE5FC}"/>
    <cellStyle name="Comma [0] 6 5" xfId="1196" xr:uid="{CE0A9752-5880-40D4-B02F-67A0DB4A94C7}"/>
    <cellStyle name="Comma [0] 6 5 2" xfId="1197" xr:uid="{CE9931A3-E50F-4AE5-93C9-36F99FED535E}"/>
    <cellStyle name="Comma [0] 6 5 2 2" xfId="1198" xr:uid="{F188D5ED-0117-4CD6-B160-68C8CE10B29D}"/>
    <cellStyle name="Comma [0] 6 5 2 3" xfId="1199" xr:uid="{8FB959DA-7ACA-4952-A521-C70A662F15DA}"/>
    <cellStyle name="Comma [0] 6 5 3" xfId="1200" xr:uid="{002DEF65-6DF6-4146-93B7-F48FAB989E0D}"/>
    <cellStyle name="Comma [0] 6 5 3 2" xfId="1201" xr:uid="{B4C98557-EDBA-43BA-BB6F-29D55459E3AA}"/>
    <cellStyle name="Comma [0] 6 5 4" xfId="1202" xr:uid="{65B53196-7CBC-4316-841D-2FDBDC9DD608}"/>
    <cellStyle name="Comma [0] 6 5 4 2" xfId="1203" xr:uid="{B97383D7-C99B-4470-867D-22C11EE3CDAA}"/>
    <cellStyle name="Comma [0] 6 5 5" xfId="1204" xr:uid="{104316C9-5D88-4CDA-A1E5-1968A43FE0F0}"/>
    <cellStyle name="Comma [0] 6 5 6" xfId="1205" xr:uid="{D280DE31-B964-4749-9D85-F9B2F2A84A10}"/>
    <cellStyle name="Comma [0] 6 6" xfId="1206" xr:uid="{F7D7DCA7-2703-43D2-A9BD-29FC0102C709}"/>
    <cellStyle name="Comma [0] 6 6 2" xfId="1207" xr:uid="{BD98ADF5-69A4-423E-A003-D91A747766EC}"/>
    <cellStyle name="Comma [0] 6 6 3" xfId="1208" xr:uid="{02A1BE8C-D4E3-4E32-86D8-39C62A640559}"/>
    <cellStyle name="Comma [0] 6 7" xfId="1209" xr:uid="{9AA363DF-17C0-4A20-A534-F20A9E04C10C}"/>
    <cellStyle name="Comma [0] 6 7 2" xfId="1210" xr:uid="{BEE1E112-A0BF-45FE-8E7E-87642925139E}"/>
    <cellStyle name="Comma [0] 6 8" xfId="1211" xr:uid="{C56518CE-36D7-42BB-A5D9-83E02B4511AD}"/>
    <cellStyle name="Comma [0] 6 8 2" xfId="1212" xr:uid="{93044D5D-96F8-4AED-92BA-6272A6DE4050}"/>
    <cellStyle name="Comma [0] 6 9" xfId="1213" xr:uid="{D8921519-7F39-407F-B04D-69810994B2A4}"/>
    <cellStyle name="Comma [0] 6 9 2" xfId="1214" xr:uid="{D702D888-98DC-4451-A541-11A80E34927F}"/>
    <cellStyle name="Comma [0] 7" xfId="1215" xr:uid="{137595FE-0B6A-49EF-B980-07F4F013DC40}"/>
    <cellStyle name="Comma [0] 7 10" xfId="1216" xr:uid="{A576899B-6D04-4583-A104-0ADC850C4B16}"/>
    <cellStyle name="Comma [0] 7 11" xfId="1217" xr:uid="{69001D3A-DB3C-47EE-9ABE-CA10F0B0A2F7}"/>
    <cellStyle name="Comma [0] 7 2" xfId="1218" xr:uid="{27C93496-3E91-451C-A893-DE8E2A0ACD73}"/>
    <cellStyle name="Comma [0] 7 2 10" xfId="1219" xr:uid="{934E17F2-C4F6-4BDD-9EEA-A273DEFDBD72}"/>
    <cellStyle name="Comma [0] 7 2 2" xfId="1220" xr:uid="{D02F0765-13EB-4680-99D7-45F7BA91B4D1}"/>
    <cellStyle name="Comma [0] 7 2 2 2" xfId="1221" xr:uid="{B21E5A11-B129-40E7-812A-B1D3D82671DD}"/>
    <cellStyle name="Comma [0] 7 2 2 2 2" xfId="1222" xr:uid="{BEF1FD9C-D9F1-4485-B9BA-8D48EBC458FF}"/>
    <cellStyle name="Comma [0] 7 2 2 2 2 2" xfId="1223" xr:uid="{F116BB22-91A0-4407-B717-350F99857C7A}"/>
    <cellStyle name="Comma [0] 7 2 2 2 2 3" xfId="1224" xr:uid="{F2FEBDC3-AD72-4D4D-B521-CEE4C704DAD2}"/>
    <cellStyle name="Comma [0] 7 2 2 2 3" xfId="1225" xr:uid="{3DD6A312-E1EF-43F7-B41C-5360ACC7584F}"/>
    <cellStyle name="Comma [0] 7 2 2 2 3 2" xfId="1226" xr:uid="{D347BB94-94B0-4057-8D83-994F311832E8}"/>
    <cellStyle name="Comma [0] 7 2 2 2 4" xfId="1227" xr:uid="{374F779B-5775-4C0A-91E3-120AE4EBDFE7}"/>
    <cellStyle name="Comma [0] 7 2 2 2 4 2" xfId="1228" xr:uid="{A40AF46E-5476-48BB-BCC5-50EFEC069F26}"/>
    <cellStyle name="Comma [0] 7 2 2 2 5" xfId="1229" xr:uid="{952AEDFA-689C-4D6A-B2C6-EE89AADDCB51}"/>
    <cellStyle name="Comma [0] 7 2 2 2 6" xfId="1230" xr:uid="{704175A6-EBC6-4F59-8259-C5423F39F69A}"/>
    <cellStyle name="Comma [0] 7 2 2 3" xfId="1231" xr:uid="{C8DDDE3A-E06D-4A15-A0B2-07848DFB060E}"/>
    <cellStyle name="Comma [0] 7 2 2 3 2" xfId="1232" xr:uid="{F78E48A3-2A39-4C59-AFF8-FB481B263420}"/>
    <cellStyle name="Comma [0] 7 2 2 3 3" xfId="1233" xr:uid="{D1A6CE26-93E1-4EA4-971F-8D06DDE808FF}"/>
    <cellStyle name="Comma [0] 7 2 2 4" xfId="1234" xr:uid="{C649AFDE-05AD-43E4-8540-1D3620E868AA}"/>
    <cellStyle name="Comma [0] 7 2 2 4 2" xfId="1235" xr:uid="{3B873AF8-2276-4A3A-88B7-C88C1340D87C}"/>
    <cellStyle name="Comma [0] 7 2 2 5" xfId="1236" xr:uid="{0E21A155-C1A6-4A96-8B34-0BBB92969BD8}"/>
    <cellStyle name="Comma [0] 7 2 2 5 2" xfId="1237" xr:uid="{3182AB1E-5A0E-480F-BFFF-F2C729A666F1}"/>
    <cellStyle name="Comma [0] 7 2 2 6" xfId="1238" xr:uid="{0440C0E5-BAD5-4E9D-9F10-77AB1F439C24}"/>
    <cellStyle name="Comma [0] 7 2 2 6 2" xfId="1239" xr:uid="{945D68A7-F6A3-4690-BF90-339BAE77B97C}"/>
    <cellStyle name="Comma [0] 7 2 2 7" xfId="1240" xr:uid="{F03C63BC-FC8B-46D6-A073-BBFFA6D4D48A}"/>
    <cellStyle name="Comma [0] 7 2 2 8" xfId="1241" xr:uid="{BEF0AEFC-192A-4165-8009-7796F522441D}"/>
    <cellStyle name="Comma [0] 7 2 3" xfId="1242" xr:uid="{C35B16BD-4DEB-43ED-938B-13608F59AD3C}"/>
    <cellStyle name="Comma [0] 7 2 3 2" xfId="1243" xr:uid="{DBC8F804-F704-45FC-A13C-F15C0C26F7EE}"/>
    <cellStyle name="Comma [0] 7 2 3 2 2" xfId="1244" xr:uid="{AA20E00E-C3CC-4161-A8E3-46A4B33EFBDC}"/>
    <cellStyle name="Comma [0] 7 2 3 2 3" xfId="1245" xr:uid="{AF4FAD2F-593A-4140-BF58-691859C553C6}"/>
    <cellStyle name="Comma [0] 7 2 3 3" xfId="1246" xr:uid="{DFE90A94-D820-45CA-B130-801CCB6DC01C}"/>
    <cellStyle name="Comma [0] 7 2 3 3 2" xfId="1247" xr:uid="{488B08E4-FED6-4937-AC36-E2AD88276350}"/>
    <cellStyle name="Comma [0] 7 2 3 4" xfId="1248" xr:uid="{A6CC9889-0434-4523-BF18-BB380597AF0B}"/>
    <cellStyle name="Comma [0] 7 2 3 4 2" xfId="1249" xr:uid="{58C0402D-BD56-4202-B398-A8D7BCF970E7}"/>
    <cellStyle name="Comma [0] 7 2 3 5" xfId="1250" xr:uid="{463DD5F7-721E-4505-ABB0-8E3D08E31F8E}"/>
    <cellStyle name="Comma [0] 7 2 3 6" xfId="1251" xr:uid="{F28DFB5E-4A89-41AF-BD48-8BFF0C2891A7}"/>
    <cellStyle name="Comma [0] 7 2 4" xfId="1252" xr:uid="{81A4CDD6-1E5A-4FFE-869A-2B18C5E3A9D6}"/>
    <cellStyle name="Comma [0] 7 2 4 2" xfId="1253" xr:uid="{84559079-0DD3-4F62-8860-908AB41BFC22}"/>
    <cellStyle name="Comma [0] 7 2 4 2 2" xfId="1254" xr:uid="{F0C4ACE1-530C-465F-9EC8-6EDDCF7658F9}"/>
    <cellStyle name="Comma [0] 7 2 4 2 3" xfId="1255" xr:uid="{AE0257A6-C97B-4D4B-BCAF-329A334A4A86}"/>
    <cellStyle name="Comma [0] 7 2 4 3" xfId="1256" xr:uid="{4A550B9C-B9B6-407B-9B41-83CAA1F03088}"/>
    <cellStyle name="Comma [0] 7 2 4 3 2" xfId="1257" xr:uid="{7BB0BD81-D375-4AC5-A6DF-8B3A4AA85EFB}"/>
    <cellStyle name="Comma [0] 7 2 4 4" xfId="1258" xr:uid="{4C65D38C-0676-452C-B529-D7886812A906}"/>
    <cellStyle name="Comma [0] 7 2 4 4 2" xfId="1259" xr:uid="{82D3A1F0-5565-4C94-B724-658BD272E5C0}"/>
    <cellStyle name="Comma [0] 7 2 4 5" xfId="1260" xr:uid="{CDA242E4-DA35-4875-B97C-A55DF9EAB326}"/>
    <cellStyle name="Comma [0] 7 2 4 6" xfId="1261" xr:uid="{DB80F23E-CE61-4D97-9330-87C54D89F7F0}"/>
    <cellStyle name="Comma [0] 7 2 5" xfId="1262" xr:uid="{53E4B7A7-A72C-47C2-9C76-433C21C6958D}"/>
    <cellStyle name="Comma [0] 7 2 5 2" xfId="1263" xr:uid="{6906D4A6-8B0F-4924-98B7-5FF663731B4D}"/>
    <cellStyle name="Comma [0] 7 2 5 3" xfId="1264" xr:uid="{059B4650-0B7D-4B90-88D8-918293F5AB21}"/>
    <cellStyle name="Comma [0] 7 2 6" xfId="1265" xr:uid="{53EE2BFE-EC85-4DFE-87AD-DBBA1AE90E0B}"/>
    <cellStyle name="Comma [0] 7 2 6 2" xfId="1266" xr:uid="{E58173C2-023C-4B2C-9766-16D7945E45CC}"/>
    <cellStyle name="Comma [0] 7 2 7" xfId="1267" xr:uid="{BA5E0920-B4F6-425D-BA4B-C03D09754A18}"/>
    <cellStyle name="Comma [0] 7 2 7 2" xfId="1268" xr:uid="{1206410E-81BF-4BC7-9EB8-81FB253F275D}"/>
    <cellStyle name="Comma [0] 7 2 8" xfId="1269" xr:uid="{ABE7D665-A5AC-43B8-9F73-3920F30CE4F0}"/>
    <cellStyle name="Comma [0] 7 2 8 2" xfId="1270" xr:uid="{9FF0359A-0E16-45DF-BD31-BAB05D963F71}"/>
    <cellStyle name="Comma [0] 7 2 9" xfId="1271" xr:uid="{339A277A-94E3-4A40-BCCC-EA2FFAF66F89}"/>
    <cellStyle name="Comma [0] 7 3" xfId="1272" xr:uid="{A3DE87DE-BBC0-4E8A-9CAD-26A0CEB97A9B}"/>
    <cellStyle name="Comma [0] 7 3 2" xfId="1273" xr:uid="{6B9E3719-38D3-4191-B845-BACD3503D0D7}"/>
    <cellStyle name="Comma [0] 7 3 2 2" xfId="1274" xr:uid="{18333E72-8E3E-488E-A9DB-661AE0FD5943}"/>
    <cellStyle name="Comma [0] 7 3 2 2 2" xfId="1275" xr:uid="{A5A0D079-E9A9-4E5D-B005-ABCC04EE8FFC}"/>
    <cellStyle name="Comma [0] 7 3 2 2 3" xfId="1276" xr:uid="{6B331C5E-2C12-48C2-9519-3BC958D009DA}"/>
    <cellStyle name="Comma [0] 7 3 2 3" xfId="1277" xr:uid="{E4C79F52-D5B3-4E66-AE09-C2DCC7958A16}"/>
    <cellStyle name="Comma [0] 7 3 2 3 2" xfId="1278" xr:uid="{EAE3C456-5727-4C30-89FE-8F99DFD6E1C8}"/>
    <cellStyle name="Comma [0] 7 3 2 4" xfId="1279" xr:uid="{6679D013-421B-48E8-8281-133196E8E69E}"/>
    <cellStyle name="Comma [0] 7 3 2 4 2" xfId="1280" xr:uid="{E311062A-7D66-4D71-982D-AF9AF2506777}"/>
    <cellStyle name="Comma [0] 7 3 2 5" xfId="1281" xr:uid="{A5733A7F-7E78-4178-B9DA-CEC98312999F}"/>
    <cellStyle name="Comma [0] 7 3 2 6" xfId="1282" xr:uid="{EED9509D-A5DC-474B-8DA1-58BB1F952264}"/>
    <cellStyle name="Comma [0] 7 3 3" xfId="1283" xr:uid="{F03BFCE4-9D14-477A-BB77-A129C084FB12}"/>
    <cellStyle name="Comma [0] 7 3 3 2" xfId="1284" xr:uid="{1EBB0E84-233F-4C46-8226-64521670C58E}"/>
    <cellStyle name="Comma [0] 7 3 3 2 2" xfId="1285" xr:uid="{F9683A21-8F56-4A3A-9969-E7029EDDACEF}"/>
    <cellStyle name="Comma [0] 7 3 3 2 3" xfId="1286" xr:uid="{ED3E048A-A440-48BB-896D-287B94682AB5}"/>
    <cellStyle name="Comma [0] 7 3 3 3" xfId="1287" xr:uid="{E3C156E0-F8C7-4174-B1E0-72EFC11D2F80}"/>
    <cellStyle name="Comma [0] 7 3 3 3 2" xfId="1288" xr:uid="{4E040766-052E-460C-9930-9E7AACB5E90A}"/>
    <cellStyle name="Comma [0] 7 3 3 4" xfId="1289" xr:uid="{87996573-F290-4674-9FF0-305FC34C48A4}"/>
    <cellStyle name="Comma [0] 7 3 3 4 2" xfId="1290" xr:uid="{5DDD03E7-8F07-4066-869D-BF2651BD0CEB}"/>
    <cellStyle name="Comma [0] 7 3 3 5" xfId="1291" xr:uid="{62DA86C7-48F6-43CD-B264-7912DB7569F1}"/>
    <cellStyle name="Comma [0] 7 3 3 6" xfId="1292" xr:uid="{73567817-03EB-47F3-A936-D251DC0A3172}"/>
    <cellStyle name="Comma [0] 7 3 4" xfId="1293" xr:uid="{9EB8A19B-5E53-4506-9838-3CEB207D32F1}"/>
    <cellStyle name="Comma [0] 7 3 4 2" xfId="1294" xr:uid="{05E216D4-392E-4625-AED9-ABB716F4F737}"/>
    <cellStyle name="Comma [0] 7 3 4 3" xfId="1295" xr:uid="{524FC0D5-42AA-4810-A627-9F3FB3E67EDA}"/>
    <cellStyle name="Comma [0] 7 3 5" xfId="1296" xr:uid="{10F63125-34E9-4312-A141-249D57BD4AEE}"/>
    <cellStyle name="Comma [0] 7 3 5 2" xfId="1297" xr:uid="{A5F28D42-8A20-4FC3-BF81-06751E11E628}"/>
    <cellStyle name="Comma [0] 7 3 5 3" xfId="1298" xr:uid="{720F1D10-FD2A-42CC-926E-A5A2C446DE0F}"/>
    <cellStyle name="Comma [0] 7 3 6" xfId="1299" xr:uid="{E351D7C0-4419-464C-AE53-2C8D62131A84}"/>
    <cellStyle name="Comma [0] 7 3 6 2" xfId="1300" xr:uid="{2B9DC050-832B-416A-82C3-29FF469B4BE4}"/>
    <cellStyle name="Comma [0] 7 3 7" xfId="1301" xr:uid="{8A144A51-2844-4B7A-A5E7-AAB10306E506}"/>
    <cellStyle name="Comma [0] 7 3 7 2" xfId="1302" xr:uid="{02E63B80-6489-4F7F-8597-CB37D701BF29}"/>
    <cellStyle name="Comma [0] 7 3 8" xfId="1303" xr:uid="{B5D5FE0B-5D35-4666-BE5D-B262C7D7057E}"/>
    <cellStyle name="Comma [0] 7 3 9" xfId="1304" xr:uid="{30132D4B-1174-406E-B287-16606A280735}"/>
    <cellStyle name="Comma [0] 7 4" xfId="1305" xr:uid="{44E54FB4-EBF7-473F-919C-5037E4309CC4}"/>
    <cellStyle name="Comma [0] 7 4 2" xfId="1306" xr:uid="{B8D428DB-06C5-4942-92B1-06DAAA0CA5E1}"/>
    <cellStyle name="Comma [0] 7 4 2 2" xfId="1307" xr:uid="{9A3EA3EE-0D89-4339-8DA4-E134D5DD049D}"/>
    <cellStyle name="Comma [0] 7 4 2 3" xfId="1308" xr:uid="{89C8E1D3-6E16-4B3E-9CF1-DD3E669EF410}"/>
    <cellStyle name="Comma [0] 7 4 3" xfId="1309" xr:uid="{C7C5983D-0180-4648-B290-2DD56A8A7B58}"/>
    <cellStyle name="Comma [0] 7 4 3 2" xfId="1310" xr:uid="{4CE32AD1-0C60-4B52-8E2A-F69472DB460E}"/>
    <cellStyle name="Comma [0] 7 4 4" xfId="1311" xr:uid="{AA5A6D42-D28A-4CEC-A5B0-68C83DDE1857}"/>
    <cellStyle name="Comma [0] 7 4 4 2" xfId="1312" xr:uid="{1033A49A-3180-421C-A056-1BBD64D0A3A8}"/>
    <cellStyle name="Comma [0] 7 4 5" xfId="1313" xr:uid="{F217E30B-1803-4220-A7B0-5289C82D644B}"/>
    <cellStyle name="Comma [0] 7 4 6" xfId="1314" xr:uid="{52D7B184-A386-4C8D-A7D0-358A7BA57FDD}"/>
    <cellStyle name="Comma [0] 7 5" xfId="1315" xr:uid="{3FA23C1A-5F61-4C9D-9BBB-003027A36FB5}"/>
    <cellStyle name="Comma [0] 7 5 2" xfId="1316" xr:uid="{6C3CAEF7-2816-48FF-9E2A-EDBF6A725B30}"/>
    <cellStyle name="Comma [0] 7 5 2 2" xfId="1317" xr:uid="{2882D4FE-8929-48D9-B7E5-52476B3A7DEB}"/>
    <cellStyle name="Comma [0] 7 5 2 3" xfId="1318" xr:uid="{1772B147-6AFF-4E07-B495-8E1B52396686}"/>
    <cellStyle name="Comma [0] 7 5 3" xfId="1319" xr:uid="{AB0ECC5A-E22C-4A50-A92B-5FA5274B41D9}"/>
    <cellStyle name="Comma [0] 7 5 3 2" xfId="1320" xr:uid="{F568F496-2B0C-469C-870D-64F2C5F46C4E}"/>
    <cellStyle name="Comma [0] 7 5 4" xfId="1321" xr:uid="{B8FE3C4D-D866-4C8D-9AED-DB6ADB51B6A7}"/>
    <cellStyle name="Comma [0] 7 5 4 2" xfId="1322" xr:uid="{80ED815C-6A4C-4AD8-A5E0-81DFE50943BC}"/>
    <cellStyle name="Comma [0] 7 5 5" xfId="1323" xr:uid="{1EC6D81B-5F94-45AA-AD18-7C791A95C015}"/>
    <cellStyle name="Comma [0] 7 5 6" xfId="1324" xr:uid="{8E9F6F63-5E0F-4882-9332-7528AF6681C2}"/>
    <cellStyle name="Comma [0] 7 6" xfId="1325" xr:uid="{84915DB7-EDB1-4BC5-8375-48B421BE5F64}"/>
    <cellStyle name="Comma [0] 7 6 2" xfId="1326" xr:uid="{DAFB9217-7487-4477-8AD3-DDAC16DF8BDB}"/>
    <cellStyle name="Comma [0] 7 6 3" xfId="1327" xr:uid="{21593A58-4464-4E8D-81F7-5D26B7169D46}"/>
    <cellStyle name="Comma [0] 7 7" xfId="1328" xr:uid="{896ABC01-088C-4142-A9EB-1B6747231A3B}"/>
    <cellStyle name="Comma [0] 7 7 2" xfId="1329" xr:uid="{F5B8A5A6-44C1-4565-B9DC-2AC405C31B0B}"/>
    <cellStyle name="Comma [0] 7 8" xfId="1330" xr:uid="{35A4548B-0ECE-4C9D-B746-5A87D26BCEA5}"/>
    <cellStyle name="Comma [0] 7 8 2" xfId="1331" xr:uid="{184D9B9C-766A-4DC7-B4DA-E9C7CB641ED1}"/>
    <cellStyle name="Comma [0] 7 9" xfId="1332" xr:uid="{F83C7372-9869-445C-8651-8CC43F5879B0}"/>
    <cellStyle name="Comma [0] 7 9 2" xfId="1333" xr:uid="{1FE05955-A764-4C21-96CE-7BE867078C55}"/>
    <cellStyle name="Comma [0] 8" xfId="1334" xr:uid="{361271E8-C809-4322-A83C-AAD423436DBF}"/>
    <cellStyle name="Comma [0] 8 10" xfId="1335" xr:uid="{0C7A84F6-D926-46D9-9227-6831627AB1D5}"/>
    <cellStyle name="Comma [0] 8 2" xfId="1336" xr:uid="{544DCC40-FD95-4C31-B003-344CBB77A5D1}"/>
    <cellStyle name="Comma [0] 8 2 2" xfId="1337" xr:uid="{94D14CB0-80A9-4EB8-AD55-BE9F9A188E20}"/>
    <cellStyle name="Comma [0] 8 2 2 2" xfId="1338" xr:uid="{AA8FAC8A-C474-49A0-8DEB-1CD3D70A50FE}"/>
    <cellStyle name="Comma [0] 8 2 2 2 2" xfId="1339" xr:uid="{C82363BD-43C2-4146-861B-F1482D4A521A}"/>
    <cellStyle name="Comma [0] 8 2 2 2 3" xfId="1340" xr:uid="{6C435D06-CCFF-44DB-8D8D-E8F3935DB6AB}"/>
    <cellStyle name="Comma [0] 8 2 2 3" xfId="1341" xr:uid="{C9E83DCC-EDE6-471E-93DE-97B2EC7E1BB3}"/>
    <cellStyle name="Comma [0] 8 2 2 3 2" xfId="1342" xr:uid="{DC8D4F47-6F35-4336-9761-E7DE4C9C5F0B}"/>
    <cellStyle name="Comma [0] 8 2 2 4" xfId="1343" xr:uid="{8EE8FA95-386C-4045-9F20-B8DC54CD4F42}"/>
    <cellStyle name="Comma [0] 8 2 2 4 2" xfId="1344" xr:uid="{CCC78606-8097-4670-9522-0E28437866A7}"/>
    <cellStyle name="Comma [0] 8 2 2 5" xfId="1345" xr:uid="{9C43298D-471E-4581-8F01-879AA6A19B5B}"/>
    <cellStyle name="Comma [0] 8 2 2 6" xfId="1346" xr:uid="{79449821-BB89-4633-BD82-F4F2AC4E72BE}"/>
    <cellStyle name="Comma [0] 8 2 3" xfId="1347" xr:uid="{3E7BD0B7-202E-4730-8F5B-242552CEE8BE}"/>
    <cellStyle name="Comma [0] 8 2 3 2" xfId="1348" xr:uid="{2F554230-C6FE-49CC-B206-7A28E4992A57}"/>
    <cellStyle name="Comma [0] 8 2 3 3" xfId="1349" xr:uid="{10EED2D9-BCD1-4F70-888C-FC9B3A79D663}"/>
    <cellStyle name="Comma [0] 8 2 4" xfId="1350" xr:uid="{AF0AE708-B737-46EF-A1FD-00B3CFBA96A7}"/>
    <cellStyle name="Comma [0] 8 2 4 2" xfId="1351" xr:uid="{097CE364-44EF-4A73-97B2-B130D9B63FDD}"/>
    <cellStyle name="Comma [0] 8 2 5" xfId="1352" xr:uid="{26C4FAB0-13CF-46ED-BC87-7B6336C9D8DE}"/>
    <cellStyle name="Comma [0] 8 2 5 2" xfId="1353" xr:uid="{4F9D298D-C59D-4117-8826-F181B89E8ECC}"/>
    <cellStyle name="Comma [0] 8 2 6" xfId="1354" xr:uid="{25FC85FA-6C3F-48FD-9BCD-5C5110A91276}"/>
    <cellStyle name="Comma [0] 8 2 6 2" xfId="1355" xr:uid="{B7B2C264-54DE-47DD-BFA0-9B7D4D13D21B}"/>
    <cellStyle name="Comma [0] 8 2 7" xfId="1356" xr:uid="{82BF7105-9C2C-4E09-807D-50D4BFD88D1B}"/>
    <cellStyle name="Comma [0] 8 2 8" xfId="1357" xr:uid="{E7CBF62D-447F-45CD-850F-8EBC75929D0C}"/>
    <cellStyle name="Comma [0] 8 3" xfId="1358" xr:uid="{209EBC9E-A2B0-4103-A7B3-52F6C2851A4C}"/>
    <cellStyle name="Comma [0] 8 3 2" xfId="1359" xr:uid="{32888839-11AB-4B49-BED8-86ACA1D0E155}"/>
    <cellStyle name="Comma [0] 8 3 2 2" xfId="1360" xr:uid="{A3AED8FD-79C8-4F0C-B961-B76698FD67D2}"/>
    <cellStyle name="Comma [0] 8 3 2 3" xfId="1361" xr:uid="{1CAA85C5-1B5F-4EA4-994E-BFB8EB49CA9D}"/>
    <cellStyle name="Comma [0] 8 3 3" xfId="1362" xr:uid="{65F4DD54-36AE-4448-B8C2-94722A22ABB8}"/>
    <cellStyle name="Comma [0] 8 3 3 2" xfId="1363" xr:uid="{E092A3F6-09F3-4ABC-BA2A-9A8C659DF20A}"/>
    <cellStyle name="Comma [0] 8 3 4" xfId="1364" xr:uid="{E8F22BF2-BF4F-4AE7-9C73-046EE0071670}"/>
    <cellStyle name="Comma [0] 8 3 4 2" xfId="1365" xr:uid="{56B78712-659C-41EA-ABC8-0139A9941134}"/>
    <cellStyle name="Comma [0] 8 3 5" xfId="1366" xr:uid="{24349682-BC60-4369-9487-122D9B5691E8}"/>
    <cellStyle name="Comma [0] 8 3 6" xfId="1367" xr:uid="{06201477-DE80-4517-80D2-32288BFECEC5}"/>
    <cellStyle name="Comma [0] 8 4" xfId="1368" xr:uid="{6646001C-3FEF-42C7-8DAA-07CFE9D11DC7}"/>
    <cellStyle name="Comma [0] 8 4 2" xfId="1369" xr:uid="{A8E514F4-8FE8-423E-8F42-6DB82D1D25DF}"/>
    <cellStyle name="Comma [0] 8 4 2 2" xfId="1370" xr:uid="{6CB42ED7-2435-480C-A906-89EC461071A3}"/>
    <cellStyle name="Comma [0] 8 4 2 3" xfId="1371" xr:uid="{F745285C-112B-4668-A5D2-0EEB1031CEF0}"/>
    <cellStyle name="Comma [0] 8 4 3" xfId="1372" xr:uid="{D8D6C1CA-A74F-4808-91A3-8DAF3A2C7E28}"/>
    <cellStyle name="Comma [0] 8 4 3 2" xfId="1373" xr:uid="{8A863E8C-D9D8-49EE-97DF-61017F5A7A86}"/>
    <cellStyle name="Comma [0] 8 4 4" xfId="1374" xr:uid="{87600ECD-B455-40F8-A63F-EAD03282C0D6}"/>
    <cellStyle name="Comma [0] 8 4 4 2" xfId="1375" xr:uid="{88AFDC74-C425-437C-926A-7347CF4F76C1}"/>
    <cellStyle name="Comma [0] 8 4 5" xfId="1376" xr:uid="{063035CC-16C0-425D-AD7A-D12D5235A748}"/>
    <cellStyle name="Comma [0] 8 4 6" xfId="1377" xr:uid="{27A0F542-08DC-4D0C-9EF4-319C2188307C}"/>
    <cellStyle name="Comma [0] 8 5" xfId="1378" xr:uid="{A65CEEC5-89A1-46F8-9041-E6CCD101D060}"/>
    <cellStyle name="Comma [0] 8 5 2" xfId="1379" xr:uid="{E61B42E9-D996-46DC-8388-C1DBFBB4BB3F}"/>
    <cellStyle name="Comma [0] 8 5 3" xfId="1380" xr:uid="{3F4A594E-4E8D-4B12-BEEC-926B036D2020}"/>
    <cellStyle name="Comma [0] 8 6" xfId="1381" xr:uid="{D5CD5906-936C-4A2C-89ED-0BA278035250}"/>
    <cellStyle name="Comma [0] 8 6 2" xfId="1382" xr:uid="{4229456D-C706-4A60-BBB0-CA1C49C75F06}"/>
    <cellStyle name="Comma [0] 8 7" xfId="1383" xr:uid="{7B74D026-F918-4DF5-95BA-E65A9369F800}"/>
    <cellStyle name="Comma [0] 8 7 2" xfId="1384" xr:uid="{88F6D0C4-6CDF-4155-A641-B6BD66214396}"/>
    <cellStyle name="Comma [0] 8 8" xfId="1385" xr:uid="{FFA7FBFC-8FC6-42E2-B575-775847110D32}"/>
    <cellStyle name="Comma [0] 8 8 2" xfId="1386" xr:uid="{200FF34C-4409-4660-8BA9-2CC9BFEFCF92}"/>
    <cellStyle name="Comma [0] 8 9" xfId="1387" xr:uid="{6F419E25-B95E-4B0E-B5EA-AAB8960BFF64}"/>
    <cellStyle name="Comma [0] 9" xfId="1388" xr:uid="{4EA1570E-7E70-44A3-BAA3-FF9886D1B246}"/>
    <cellStyle name="Comma [0] 9 10" xfId="1389" xr:uid="{9D5AC925-C8FC-4BAD-B529-488DD33C5218}"/>
    <cellStyle name="Comma [0] 9 2" xfId="1390" xr:uid="{00A201DC-FC6D-4CAF-9E25-B596D17C4F90}"/>
    <cellStyle name="Comma [0] 9 2 2" xfId="1391" xr:uid="{4C53BAFD-21FF-47EC-A602-C7F2A5C9781C}"/>
    <cellStyle name="Comma [0] 9 2 2 2" xfId="1392" xr:uid="{486D4A01-F942-4B92-9C70-BA0EFE6E0D92}"/>
    <cellStyle name="Comma [0] 9 2 2 2 2" xfId="1393" xr:uid="{FA6DADCA-D69E-4364-A97B-D96D31992513}"/>
    <cellStyle name="Comma [0] 9 2 2 2 3" xfId="1394" xr:uid="{0758A5DE-E6EA-4762-A48E-5CC4248A608F}"/>
    <cellStyle name="Comma [0] 9 2 2 3" xfId="1395" xr:uid="{2FEDF797-69A6-43C1-9F6D-9D655397CB2B}"/>
    <cellStyle name="Comma [0] 9 2 2 3 2" xfId="1396" xr:uid="{C3AF5159-2CF9-414A-9009-455540240D28}"/>
    <cellStyle name="Comma [0] 9 2 2 4" xfId="1397" xr:uid="{B0486466-7BE3-4DC4-85A6-40D5AD5B40B5}"/>
    <cellStyle name="Comma [0] 9 2 2 4 2" xfId="1398" xr:uid="{7BD324C5-70B9-45EA-BCCA-210EFE5E1B22}"/>
    <cellStyle name="Comma [0] 9 2 2 5" xfId="1399" xr:uid="{28BFF27C-9E69-46CE-8CF8-C0F6920590CE}"/>
    <cellStyle name="Comma [0] 9 2 2 6" xfId="1400" xr:uid="{186EDEE2-32D0-411B-9A76-D4B2EC6A1104}"/>
    <cellStyle name="Comma [0] 9 2 3" xfId="1401" xr:uid="{991F1E1D-8021-4305-9F41-68D716812EC7}"/>
    <cellStyle name="Comma [0] 9 2 3 2" xfId="1402" xr:uid="{9C3DBD27-D94F-4A97-99F8-873503D88263}"/>
    <cellStyle name="Comma [0] 9 2 3 3" xfId="1403" xr:uid="{077AFE55-6D7B-4246-87C3-CB33C8647821}"/>
    <cellStyle name="Comma [0] 9 2 4" xfId="1404" xr:uid="{5D92ECEF-8F03-4D95-97CD-3A374E410BA6}"/>
    <cellStyle name="Comma [0] 9 2 4 2" xfId="1405" xr:uid="{310586CE-1A02-4838-9AB5-62267A5A4D5C}"/>
    <cellStyle name="Comma [0] 9 2 5" xfId="1406" xr:uid="{F205C223-77CF-46E9-BA5C-E23F8ED8DF67}"/>
    <cellStyle name="Comma [0] 9 2 5 2" xfId="1407" xr:uid="{9089C166-18EA-4DB1-9DF3-EEC41E296CD3}"/>
    <cellStyle name="Comma [0] 9 2 6" xfId="1408" xr:uid="{72531E9F-588D-46AF-A343-815D5F4786F8}"/>
    <cellStyle name="Comma [0] 9 2 6 2" xfId="1409" xr:uid="{FAC0753C-512C-4043-AA2D-AEB924F242A1}"/>
    <cellStyle name="Comma [0] 9 2 7" xfId="1410" xr:uid="{60F683D8-629B-41BF-9CF4-8B5869CC41F1}"/>
    <cellStyle name="Comma [0] 9 2 8" xfId="1411" xr:uid="{E17D6C6D-2107-4369-BC1E-4E6C4DE537E1}"/>
    <cellStyle name="Comma [0] 9 3" xfId="1412" xr:uid="{97E1B5BD-237B-4616-9521-65DC327D040D}"/>
    <cellStyle name="Comma [0] 9 3 2" xfId="1413" xr:uid="{A1A18A13-2D75-4F1E-B766-04AB3CAF35E4}"/>
    <cellStyle name="Comma [0] 9 3 2 2" xfId="1414" xr:uid="{0EC19496-8634-497D-85D5-F55658466088}"/>
    <cellStyle name="Comma [0] 9 3 2 3" xfId="1415" xr:uid="{1BF0BA5F-5E72-4F04-9A57-EAED1D91CCCA}"/>
    <cellStyle name="Comma [0] 9 3 3" xfId="1416" xr:uid="{6EAE9554-A9B6-4648-B50B-F4EEAA96A451}"/>
    <cellStyle name="Comma [0] 9 3 3 2" xfId="1417" xr:uid="{978C50B5-6943-4293-8FE4-175E0A1347D4}"/>
    <cellStyle name="Comma [0] 9 3 4" xfId="1418" xr:uid="{0CAA720E-4122-47CC-8A1A-13C4F8286859}"/>
    <cellStyle name="Comma [0] 9 3 4 2" xfId="1419" xr:uid="{7E0AD1C3-AC0C-498F-AFF5-FAA6C0DA3841}"/>
    <cellStyle name="Comma [0] 9 3 5" xfId="1420" xr:uid="{48A25FC6-7A58-4913-BD7E-EE3BB91BA6E3}"/>
    <cellStyle name="Comma [0] 9 3 6" xfId="1421" xr:uid="{96592692-0B39-4882-8188-97854D8010FD}"/>
    <cellStyle name="Comma [0] 9 4" xfId="1422" xr:uid="{0FD09627-198D-4433-BD77-BA22F31D31F7}"/>
    <cellStyle name="Comma [0] 9 4 2" xfId="1423" xr:uid="{4CC41DBE-08EB-42B9-93D9-E06BC9E7C853}"/>
    <cellStyle name="Comma [0] 9 4 2 2" xfId="1424" xr:uid="{3038DC90-5BD9-4D5A-9888-70DA71BA0F0F}"/>
    <cellStyle name="Comma [0] 9 4 2 3" xfId="1425" xr:uid="{1D719601-288A-4173-9A0D-4C95C1EC212E}"/>
    <cellStyle name="Comma [0] 9 4 3" xfId="1426" xr:uid="{115CD31B-E916-4396-A5C6-214E3B68FDDB}"/>
    <cellStyle name="Comma [0] 9 4 3 2" xfId="1427" xr:uid="{C429845C-3F57-4C3E-A527-C79E2B86326D}"/>
    <cellStyle name="Comma [0] 9 4 4" xfId="1428" xr:uid="{3B965CD8-B29C-47FF-9FA9-8D3F86950DA7}"/>
    <cellStyle name="Comma [0] 9 4 4 2" xfId="1429" xr:uid="{6AE6D357-0D86-4F60-A539-74F56F72721F}"/>
    <cellStyle name="Comma [0] 9 4 5" xfId="1430" xr:uid="{E64E5CCF-BAF4-455E-BDF9-FB63E7518244}"/>
    <cellStyle name="Comma [0] 9 4 6" xfId="1431" xr:uid="{93494E80-8269-41AB-AC81-1B3CDB41B241}"/>
    <cellStyle name="Comma [0] 9 5" xfId="1432" xr:uid="{091DB0D1-B1A5-4473-BFCE-B8E01F48DF63}"/>
    <cellStyle name="Comma [0] 9 5 2" xfId="1433" xr:uid="{578DBB81-05B0-44CB-9B2B-DB127041ECC3}"/>
    <cellStyle name="Comma [0] 9 5 3" xfId="1434" xr:uid="{E9D1E77D-8935-49FF-A9D7-C6F94EC85AC7}"/>
    <cellStyle name="Comma [0] 9 6" xfId="1435" xr:uid="{1C7F4DEA-04BC-4076-87DF-213BC0521676}"/>
    <cellStyle name="Comma [0] 9 6 2" xfId="1436" xr:uid="{769C431C-654D-4670-9DEF-13CB3C649718}"/>
    <cellStyle name="Comma [0] 9 7" xfId="1437" xr:uid="{3EF676B1-9474-46BB-8E40-0AA49E4F606B}"/>
    <cellStyle name="Comma [0] 9 7 2" xfId="1438" xr:uid="{6A2EC789-C195-41BE-B082-ECF223EA2297}"/>
    <cellStyle name="Comma [0] 9 8" xfId="1439" xr:uid="{A544FC51-36C0-4BA3-B44E-91096430497E}"/>
    <cellStyle name="Comma [0] 9 8 2" xfId="1440" xr:uid="{3290D55F-3712-4677-845A-D4EA3B933D33}"/>
    <cellStyle name="Comma [0] 9 9" xfId="1441" xr:uid="{BD611417-0E5B-4B1D-9916-CC02141A71C9}"/>
    <cellStyle name="Comma 10" xfId="1442" xr:uid="{0D9FACB2-2FE5-4907-9C7E-B9F9A00D3596}"/>
    <cellStyle name="Comma 10 2" xfId="1443" xr:uid="{70C09D8E-393D-431D-8C48-EDD7E7C4CFBC}"/>
    <cellStyle name="Comma 10 3" xfId="1444" xr:uid="{008DF68A-C4D0-4391-A42E-DB58017053F9}"/>
    <cellStyle name="Comma 11" xfId="1445" xr:uid="{CA4940B3-D163-4D73-B8F3-5AED226AA213}"/>
    <cellStyle name="Comma 11 2" xfId="1446" xr:uid="{98FEC01D-6568-4AAB-B77A-FDEDA50F5BDC}"/>
    <cellStyle name="Comma 11 3" xfId="1447" xr:uid="{301ACE87-C323-4BA5-B55F-A7EBE8C885D2}"/>
    <cellStyle name="Comma 12" xfId="1448" xr:uid="{E7E07D81-B0BC-460F-A1E5-2E0C101C90FC}"/>
    <cellStyle name="Comma 12 2" xfId="1449" xr:uid="{64DCB505-53AD-4B74-B904-613B4CE5F671}"/>
    <cellStyle name="Comma 13" xfId="1450" xr:uid="{B8D93F5A-2629-497C-985B-B66019B69A50}"/>
    <cellStyle name="Comma 14" xfId="1451" xr:uid="{3CCB4506-D2C4-4161-9341-F7C252E1F4E3}"/>
    <cellStyle name="Comma 15" xfId="1452" xr:uid="{DE013847-89F6-4E03-A51B-CFE19FE73735}"/>
    <cellStyle name="Comma 16" xfId="1453" xr:uid="{BFEB1E10-D41B-417C-B07D-14401C38C3ED}"/>
    <cellStyle name="Comma 17" xfId="1454" xr:uid="{72442874-0847-49E2-A62D-84394E6C27BE}"/>
    <cellStyle name="Comma 18" xfId="1455" xr:uid="{5465ED20-5499-4EDC-B737-144EFF787488}"/>
    <cellStyle name="Comma 19" xfId="1456" xr:uid="{93EAF01A-85C3-4C63-BD00-5FB211AD8845}"/>
    <cellStyle name="Comma 2" xfId="3" xr:uid="{00000000-0005-0000-0000-000001000000}"/>
    <cellStyle name="Comma 2 2" xfId="1458" xr:uid="{F808E9A8-27F4-4BE9-A6D4-CE589F87B86F}"/>
    <cellStyle name="Comma 2 2 10" xfId="1459" xr:uid="{2FF70B2F-E3AA-4CA0-890A-D13AB6FB9981}"/>
    <cellStyle name="Comma 2 2 11" xfId="1460" xr:uid="{1507AB04-EC86-464F-BC2D-F5660F3FF35F}"/>
    <cellStyle name="Comma 2 2 2" xfId="1461" xr:uid="{25EDB01A-D3EB-4691-9435-2A97F1AAD6E7}"/>
    <cellStyle name="Comma 2 2 2 10" xfId="1462" xr:uid="{905E7B74-1C59-441E-A81E-DEB28C4F7D7F}"/>
    <cellStyle name="Comma 2 2 2 2" xfId="1463" xr:uid="{3852BFD1-1B1B-49F7-A61D-9D6C3B4CC96E}"/>
    <cellStyle name="Comma 2 2 2 2 2" xfId="1464" xr:uid="{FE01BF9F-CD55-4972-A6DA-CEDAB1489049}"/>
    <cellStyle name="Comma 2 2 2 2 2 2" xfId="1465" xr:uid="{61954580-C09C-4B32-BE82-975140767CE6}"/>
    <cellStyle name="Comma 2 2 2 2 2 2 2" xfId="1466" xr:uid="{9D4F8E1B-916C-4D06-8F52-0F9D6AB135A5}"/>
    <cellStyle name="Comma 2 2 2 2 2 2 3" xfId="1467" xr:uid="{F51C5B59-BB00-4C9C-A19F-5D490C3A1286}"/>
    <cellStyle name="Comma 2 2 2 2 2 3" xfId="1468" xr:uid="{9E768BD2-0309-4D9B-8DCC-696BC6B9F1CD}"/>
    <cellStyle name="Comma 2 2 2 2 2 3 2" xfId="1469" xr:uid="{0038C589-E827-4B62-82F6-CF6E4F61E0F3}"/>
    <cellStyle name="Comma 2 2 2 2 2 4" xfId="1470" xr:uid="{3C3DC10B-B691-46AE-B870-7B4ADD7339F3}"/>
    <cellStyle name="Comma 2 2 2 2 2 4 2" xfId="1471" xr:uid="{4007B39D-39EA-4441-BEB9-273D480CB74E}"/>
    <cellStyle name="Comma 2 2 2 2 2 5" xfId="1472" xr:uid="{26E44B1F-1E55-4DDB-96CE-5F2B63E0D77F}"/>
    <cellStyle name="Comma 2 2 2 2 2 6" xfId="1473" xr:uid="{9D923863-DF6C-41D3-9FD6-EC9C2044E61B}"/>
    <cellStyle name="Comma 2 2 2 2 3" xfId="1474" xr:uid="{7EFE3AC9-4011-416B-AD4B-7047CBC23385}"/>
    <cellStyle name="Comma 2 2 2 2 3 2" xfId="1475" xr:uid="{8A2D2D0E-0567-4CFB-8DFB-A0D41C3A393F}"/>
    <cellStyle name="Comma 2 2 2 2 3 3" xfId="1476" xr:uid="{6BA15D5C-06B4-4DF9-8343-EB163D86F43F}"/>
    <cellStyle name="Comma 2 2 2 2 4" xfId="1477" xr:uid="{172F3690-F603-4D74-B47D-ECE287B410B0}"/>
    <cellStyle name="Comma 2 2 2 2 4 2" xfId="1478" xr:uid="{0B48A7AD-1F7C-4CDA-9EE8-BF1B54EAE6CF}"/>
    <cellStyle name="Comma 2 2 2 2 4 3" xfId="1479" xr:uid="{056176CC-80CC-47A2-A1D2-44CEC832B15F}"/>
    <cellStyle name="Comma 2 2 2 2 5" xfId="1480" xr:uid="{B67212FB-2857-42E6-AE7B-60A97B767C6F}"/>
    <cellStyle name="Comma 2 2 2 2 5 2" xfId="1481" xr:uid="{E1A46B7A-9DE4-4CF0-B08E-149B178E22E8}"/>
    <cellStyle name="Comma 2 2 2 2 6" xfId="1482" xr:uid="{37F35DA9-D36B-4346-BA10-A7289DE3C190}"/>
    <cellStyle name="Comma 2 2 2 2 6 2" xfId="1483" xr:uid="{467AF6FD-6FC6-47E3-B6C3-14848E993BB7}"/>
    <cellStyle name="Comma 2 2 2 2 7" xfId="1484" xr:uid="{2635A122-DD3C-4AB6-BA49-32AC6F179D03}"/>
    <cellStyle name="Comma 2 2 2 2 8" xfId="1485" xr:uid="{094D3450-7F68-458B-B784-6B4181590638}"/>
    <cellStyle name="Comma 2 2 2 3" xfId="1486" xr:uid="{F729C834-B110-4182-BBAC-ED09254B7476}"/>
    <cellStyle name="Comma 2 2 2 3 2" xfId="1487" xr:uid="{ED0B07C3-0A76-47E5-91CA-91D8B7013162}"/>
    <cellStyle name="Comma 2 2 2 3 2 2" xfId="1488" xr:uid="{617A2611-7501-4032-B2F4-CCD0C6E8DA79}"/>
    <cellStyle name="Comma 2 2 2 3 2 3" xfId="1489" xr:uid="{0E708333-5C3D-4505-8248-A699B67FCAFD}"/>
    <cellStyle name="Comma 2 2 2 3 3" xfId="1490" xr:uid="{08E9D647-822A-4AD4-B7D9-1709D42F8EC5}"/>
    <cellStyle name="Comma 2 2 2 3 3 2" xfId="1491" xr:uid="{F2CD30FA-40FB-4E14-A5CE-AB985F36354E}"/>
    <cellStyle name="Comma 2 2 2 3 4" xfId="1492" xr:uid="{4FF3AA82-ABC0-42EE-8EF9-739F812D74AE}"/>
    <cellStyle name="Comma 2 2 2 3 4 2" xfId="1493" xr:uid="{7E5A5BB7-E277-4A3B-A078-53226C522D61}"/>
    <cellStyle name="Comma 2 2 2 3 5" xfId="1494" xr:uid="{A6AA8929-1F24-47E6-A931-D6C1F9620121}"/>
    <cellStyle name="Comma 2 2 2 3 6" xfId="1495" xr:uid="{A68C577F-481C-4189-874C-0F41DEF5C1B4}"/>
    <cellStyle name="Comma 2 2 2 4" xfId="1496" xr:uid="{E0CFEAB5-50A2-44B6-BB6E-5B3142C150B1}"/>
    <cellStyle name="Comma 2 2 2 4 2" xfId="1497" xr:uid="{51581CC1-F5F8-454F-A147-38E587041942}"/>
    <cellStyle name="Comma 2 2 2 4 2 2" xfId="1498" xr:uid="{E50D52DB-8050-429B-96F0-64846593B174}"/>
    <cellStyle name="Comma 2 2 2 4 2 3" xfId="1499" xr:uid="{4154C36D-B379-4848-AF4D-23F032134775}"/>
    <cellStyle name="Comma 2 2 2 4 3" xfId="1500" xr:uid="{A92D5911-0B32-47E5-9531-644D7E13CC87}"/>
    <cellStyle name="Comma 2 2 2 4 3 2" xfId="1501" xr:uid="{E8B86907-0BB7-40C1-BBE0-E6CAFE34377E}"/>
    <cellStyle name="Comma 2 2 2 4 4" xfId="1502" xr:uid="{8524EBB2-1F22-4349-BFEB-05EE50BD173D}"/>
    <cellStyle name="Comma 2 2 2 4 4 2" xfId="1503" xr:uid="{737A5951-1A2C-4FCB-A1ED-AFA827E2D11B}"/>
    <cellStyle name="Comma 2 2 2 4 5" xfId="1504" xr:uid="{884F2892-D6A4-441C-A9E9-85F056E5C374}"/>
    <cellStyle name="Comma 2 2 2 4 6" xfId="1505" xr:uid="{34BF26A7-A2A9-4CE0-B8C8-97C80EE79815}"/>
    <cellStyle name="Comma 2 2 2 5" xfId="1506" xr:uid="{D16ABCC6-A302-4D9C-95A8-4369D18FA6D6}"/>
    <cellStyle name="Comma 2 2 2 5 2" xfId="1507" xr:uid="{E5155349-9678-4CD5-AA65-FE6695503928}"/>
    <cellStyle name="Comma 2 2 2 5 3" xfId="1508" xr:uid="{4D5E4431-0873-4936-9C41-E1FEF5E8C6F5}"/>
    <cellStyle name="Comma 2 2 2 6" xfId="1509" xr:uid="{114F210F-E073-4376-9421-8957C6F46902}"/>
    <cellStyle name="Comma 2 2 2 6 2" xfId="1510" xr:uid="{69F9F148-6ECC-4AF0-93C3-383FD6A68BF3}"/>
    <cellStyle name="Comma 2 2 2 7" xfId="1511" xr:uid="{4C2022AB-9200-42EA-8B5D-C608AA61284E}"/>
    <cellStyle name="Comma 2 2 2 7 2" xfId="1512" xr:uid="{4133AF48-B934-43C5-96CE-207CB36DFA91}"/>
    <cellStyle name="Comma 2 2 2 8" xfId="1513" xr:uid="{69E2F6D3-6ABF-4503-A4AF-EE9D85C3007F}"/>
    <cellStyle name="Comma 2 2 2 8 2" xfId="1514" xr:uid="{B0BF50A7-7364-416C-BF28-C52E89423D89}"/>
    <cellStyle name="Comma 2 2 2 9" xfId="1515" xr:uid="{35B7A39E-CA37-4FBB-82C4-7B0162D8160E}"/>
    <cellStyle name="Comma 2 2 3" xfId="1516" xr:uid="{EBD5494E-9E8F-49F9-A0B9-330B05B1D997}"/>
    <cellStyle name="Comma 2 2 3 2" xfId="1517" xr:uid="{CEDCFA82-54E3-458E-857F-D8567E25BA05}"/>
    <cellStyle name="Comma 2 2 3 2 2" xfId="1518" xr:uid="{8DD6500C-7701-4CE1-859A-36C9A4769500}"/>
    <cellStyle name="Comma 2 2 3 2 2 2" xfId="1519" xr:uid="{08B6339B-D6B4-4297-B657-EBEF6F1E2D01}"/>
    <cellStyle name="Comma 2 2 3 2 2 3" xfId="1520" xr:uid="{D1AC1AED-86F0-415E-B69C-AF93BACB8BF3}"/>
    <cellStyle name="Comma 2 2 3 2 3" xfId="1521" xr:uid="{DC77FEAA-D016-433C-BB50-DF7AFAC9D118}"/>
    <cellStyle name="Comma 2 2 3 2 3 2" xfId="1522" xr:uid="{DF393FB2-1F3C-4747-AF20-C05A04D7AE52}"/>
    <cellStyle name="Comma 2 2 3 2 4" xfId="1523" xr:uid="{0ACC11BF-9EBA-4EE8-918A-B1CCAF00F8BA}"/>
    <cellStyle name="Comma 2 2 3 2 4 2" xfId="1524" xr:uid="{AC896C82-98C2-4B95-95CD-B97231310A74}"/>
    <cellStyle name="Comma 2 2 3 2 5" xfId="1525" xr:uid="{A7309C8E-3B78-4EF5-92D4-8BA518210DD7}"/>
    <cellStyle name="Comma 2 2 3 2 6" xfId="1526" xr:uid="{FB3D9D22-D369-4909-A527-0D0922C5908A}"/>
    <cellStyle name="Comma 2 2 3 3" xfId="1527" xr:uid="{BF0C988F-EB57-424A-8C24-2EF052E4910E}"/>
    <cellStyle name="Comma 2 2 3 3 2" xfId="1528" xr:uid="{F4E3BFAF-1C12-4364-828E-CBED06F7D835}"/>
    <cellStyle name="Comma 2 2 3 3 3" xfId="1529" xr:uid="{FEC3237D-AFE9-4D64-B11E-6E88EDC60077}"/>
    <cellStyle name="Comma 2 2 3 4" xfId="1530" xr:uid="{5E1636EB-AE07-41F8-886F-CA8F2DD08B08}"/>
    <cellStyle name="Comma 2 2 3 4 2" xfId="1531" xr:uid="{5FDF1241-BDA8-4C85-A634-E32DFC2FF989}"/>
    <cellStyle name="Comma 2 2 3 5" xfId="1532" xr:uid="{4D212954-7734-4F73-A80B-DF88E4C0212E}"/>
    <cellStyle name="Comma 2 2 3 5 2" xfId="1533" xr:uid="{3C3AF1A8-1F63-4F58-A908-9182042A7587}"/>
    <cellStyle name="Comma 2 2 3 6" xfId="1534" xr:uid="{9EDC9E7E-5B2D-4FE3-BD76-B10EF9B03070}"/>
    <cellStyle name="Comma 2 2 3 6 2" xfId="1535" xr:uid="{71E71041-B1AD-4804-AAA1-E63916166AE0}"/>
    <cellStyle name="Comma 2 2 3 7" xfId="1536" xr:uid="{4B23622B-D0ED-41BB-8518-596AA0D1CE5C}"/>
    <cellStyle name="Comma 2 2 3 8" xfId="1537" xr:uid="{CFB95BAD-D945-41F9-9A1A-C4D8F9988F8F}"/>
    <cellStyle name="Comma 2 2 4" xfId="1538" xr:uid="{64B1331B-211A-441A-A26E-75E7F3F44FB1}"/>
    <cellStyle name="Comma 2 2 4 2" xfId="1539" xr:uid="{7712C6E5-D21F-430F-B30F-B646001ED2C2}"/>
    <cellStyle name="Comma 2 2 4 2 2" xfId="1540" xr:uid="{9CCA0074-B95B-4A71-9C4C-D88D2A3FCEC6}"/>
    <cellStyle name="Comma 2 2 4 2 3" xfId="1541" xr:uid="{36DF8517-0EF0-4BD1-AD8C-C1206CC7BD9F}"/>
    <cellStyle name="Comma 2 2 4 3" xfId="1542" xr:uid="{C5E04A50-C937-470A-95C1-FF5A8965AECB}"/>
    <cellStyle name="Comma 2 2 4 3 2" xfId="1543" xr:uid="{B1D990BB-E8EA-4851-ACB5-6EE4EBE72075}"/>
    <cellStyle name="Comma 2 2 4 4" xfId="1544" xr:uid="{83A9BEC7-B8BC-458C-9F87-FF1561607F11}"/>
    <cellStyle name="Comma 2 2 4 4 2" xfId="1545" xr:uid="{E771599B-12A7-4362-B0F5-DB2BEB99B035}"/>
    <cellStyle name="Comma 2 2 4 5" xfId="1546" xr:uid="{40083BD9-2EF1-4DDC-AC71-50E12BC2824D}"/>
    <cellStyle name="Comma 2 2 4 6" xfId="1547" xr:uid="{3EE9189B-34AF-4342-A300-D65814B1E679}"/>
    <cellStyle name="Comma 2 2 5" xfId="1548" xr:uid="{2C69FAB9-FDF3-4399-92B9-484583FE6082}"/>
    <cellStyle name="Comma 2 2 5 2" xfId="1549" xr:uid="{A6170C0A-FED1-4A22-8E21-109F52116CD5}"/>
    <cellStyle name="Comma 2 2 5 2 2" xfId="1550" xr:uid="{4CA9BE25-876B-4703-8637-703C97AC9E40}"/>
    <cellStyle name="Comma 2 2 5 2 3" xfId="1551" xr:uid="{159E7044-791F-415E-9330-6900110519FB}"/>
    <cellStyle name="Comma 2 2 5 3" xfId="1552" xr:uid="{DF794901-DF03-4154-98D0-DF48051C1531}"/>
    <cellStyle name="Comma 2 2 5 3 2" xfId="1553" xr:uid="{3E3D9F70-7468-4694-B8B0-70106EEDCD93}"/>
    <cellStyle name="Comma 2 2 5 4" xfId="1554" xr:uid="{F7EDB790-0C28-42DF-9BCB-CA2BAB6FB249}"/>
    <cellStyle name="Comma 2 2 5 4 2" xfId="1555" xr:uid="{801E1509-2B60-48E7-89AF-7648562A5FA2}"/>
    <cellStyle name="Comma 2 2 5 5" xfId="1556" xr:uid="{F76745B4-A252-40B0-8255-1E7BD585862D}"/>
    <cellStyle name="Comma 2 2 5 6" xfId="1557" xr:uid="{9D35B2AD-83FE-4F20-BF9F-F6BF4F0A6144}"/>
    <cellStyle name="Comma 2 2 6" xfId="1558" xr:uid="{BABA2045-020A-49E7-8C74-F93E53B57B99}"/>
    <cellStyle name="Comma 2 2 6 2" xfId="1559" xr:uid="{9E132EFF-96C4-4A5C-A150-F50681F62806}"/>
    <cellStyle name="Comma 2 2 6 3" xfId="1560" xr:uid="{2F2BAA0D-398A-459B-8AEF-0AC770B0D722}"/>
    <cellStyle name="Comma 2 2 7" xfId="1561" xr:uid="{CF661A92-1EF8-4BC4-8AEC-E3FAB2459D89}"/>
    <cellStyle name="Comma 2 2 7 2" xfId="1562" xr:uid="{BB677D85-04D6-4FF6-9A90-8F987C03446B}"/>
    <cellStyle name="Comma 2 2 8" xfId="1563" xr:uid="{A1E8A2C9-E055-46EC-8D5F-563AA225D529}"/>
    <cellStyle name="Comma 2 2 8 2" xfId="1564" xr:uid="{40D423B8-D432-41D7-95CF-423BED7EEE81}"/>
    <cellStyle name="Comma 2 2 9" xfId="1565" xr:uid="{4B5F50AE-BFAF-41E3-BEDB-666936FB10BC}"/>
    <cellStyle name="Comma 2 2 9 2" xfId="1566" xr:uid="{705F2F9D-9C5A-4F93-973C-13B6294C71DD}"/>
    <cellStyle name="Comma 2 3" xfId="1567" xr:uid="{ECA5043E-FBCE-468B-A600-1FC750E05C7D}"/>
    <cellStyle name="Comma 2 3 10" xfId="1568" xr:uid="{7B51E245-8BC0-48F0-98A1-446BBB64092A}"/>
    <cellStyle name="Comma 2 3 2" xfId="1569" xr:uid="{859D472E-1168-4548-85E8-C1122222B708}"/>
    <cellStyle name="Comma 2 3 2 2" xfId="1570" xr:uid="{804F406C-46A4-47A9-880D-598696A246F7}"/>
    <cellStyle name="Comma 2 3 2 2 2" xfId="1571" xr:uid="{272906CF-1401-444E-BA02-3E4463E32548}"/>
    <cellStyle name="Comma 2 3 2 2 2 2" xfId="1572" xr:uid="{F458EC51-32B2-49E4-BFC8-D89909FD2095}"/>
    <cellStyle name="Comma 2 3 2 2 2 3" xfId="1573" xr:uid="{267BB17B-4172-4991-A58E-2D7821E1DC4C}"/>
    <cellStyle name="Comma 2 3 2 2 3" xfId="1574" xr:uid="{6034AE35-9B3E-46E1-A34D-B528344A266B}"/>
    <cellStyle name="Comma 2 3 2 2 3 2" xfId="1575" xr:uid="{0C9DED5D-38BD-43AE-92FF-CEA56EC80A65}"/>
    <cellStyle name="Comma 2 3 2 2 4" xfId="1576" xr:uid="{E63B6F56-C22D-4897-AFB7-846DC91FB9D6}"/>
    <cellStyle name="Comma 2 3 2 2 4 2" xfId="1577" xr:uid="{F20328A4-5C3B-4DDC-9A95-5DE6B164BFD1}"/>
    <cellStyle name="Comma 2 3 2 2 5" xfId="1578" xr:uid="{9168FD06-5643-4B9B-BE84-D650439CC804}"/>
    <cellStyle name="Comma 2 3 2 2 6" xfId="1579" xr:uid="{7314B477-4AB6-477E-BCB2-A5D4095D2AB7}"/>
    <cellStyle name="Comma 2 3 2 3" xfId="1580" xr:uid="{6902BA1E-BBF4-4AF5-BC32-AE3453FD3777}"/>
    <cellStyle name="Comma 2 3 2 3 2" xfId="1581" xr:uid="{0332CA71-6CB6-4886-9420-3FB4F3753125}"/>
    <cellStyle name="Comma 2 3 2 3 3" xfId="1582" xr:uid="{8F232A34-F0A1-4480-9085-4EB6EAF0F335}"/>
    <cellStyle name="Comma 2 3 2 4" xfId="1583" xr:uid="{B3CB020D-A8B9-4DF7-A771-0E30D60EB396}"/>
    <cellStyle name="Comma 2 3 2 4 2" xfId="1584" xr:uid="{FB31C72B-FB0B-4926-B1A2-F05FF7484E3E}"/>
    <cellStyle name="Comma 2 3 2 4 3" xfId="1585" xr:uid="{851E6AD5-5895-41A0-AE79-49BE6D6B404D}"/>
    <cellStyle name="Comma 2 3 2 5" xfId="1586" xr:uid="{D234C1B7-8178-4DC6-A62C-38295568239C}"/>
    <cellStyle name="Comma 2 3 2 5 2" xfId="1587" xr:uid="{3F946085-D912-486A-B0D7-3C4FB97A4ED8}"/>
    <cellStyle name="Comma 2 3 2 6" xfId="1588" xr:uid="{5651AD9B-48F9-4612-90DB-8115933787F3}"/>
    <cellStyle name="Comma 2 3 2 6 2" xfId="1589" xr:uid="{43637FD8-4494-44D5-8C6B-969CDFD696CC}"/>
    <cellStyle name="Comma 2 3 2 7" xfId="1590" xr:uid="{6EDDA095-51CC-40ED-B7B6-0CB142013C51}"/>
    <cellStyle name="Comma 2 3 2 8" xfId="1591" xr:uid="{3B90913C-885C-4FA9-A5A5-773C85189246}"/>
    <cellStyle name="Comma 2 3 3" xfId="1592" xr:uid="{BDC0A2EF-EFEC-47E7-9339-2EA6232A1F57}"/>
    <cellStyle name="Comma 2 3 3 2" xfId="1593" xr:uid="{0E24C9DE-B2EC-4A7C-B87B-1E86ABD9D907}"/>
    <cellStyle name="Comma 2 3 3 2 2" xfId="1594" xr:uid="{D2DA0252-60FF-4ACD-BE6B-340C0709D886}"/>
    <cellStyle name="Comma 2 3 3 2 3" xfId="1595" xr:uid="{CE88ED53-CD58-4D9A-AF3B-AFABDA1933AF}"/>
    <cellStyle name="Comma 2 3 3 3" xfId="1596" xr:uid="{49039709-E330-49EC-A775-6064596561A9}"/>
    <cellStyle name="Comma 2 3 3 3 2" xfId="1597" xr:uid="{1D40B392-DC6D-49A6-8635-7CBF6FB54CB9}"/>
    <cellStyle name="Comma 2 3 3 4" xfId="1598" xr:uid="{B7918CE2-2D7F-402C-A693-5D974592646E}"/>
    <cellStyle name="Comma 2 3 3 4 2" xfId="1599" xr:uid="{355491CA-12C2-4D06-8339-8484B76A6339}"/>
    <cellStyle name="Comma 2 3 3 5" xfId="1600" xr:uid="{B65BE10F-1F63-494A-82CB-9B3CFEC4F6CE}"/>
    <cellStyle name="Comma 2 3 3 6" xfId="1601" xr:uid="{F0F749CF-0B0B-4071-8373-E1D8F34808AA}"/>
    <cellStyle name="Comma 2 3 4" xfId="1602" xr:uid="{5FDEF8FF-D516-4A71-BF28-1FB4D2BD4B8A}"/>
    <cellStyle name="Comma 2 3 4 2" xfId="1603" xr:uid="{59D97C33-FD70-432E-AFCF-16ECD9F6A85A}"/>
    <cellStyle name="Comma 2 3 4 2 2" xfId="1604" xr:uid="{7AC0341C-5690-4F4A-871E-D5DD5FF23662}"/>
    <cellStyle name="Comma 2 3 4 2 3" xfId="1605" xr:uid="{9C578A85-8811-48A6-918F-EACCD86EAAEB}"/>
    <cellStyle name="Comma 2 3 4 3" xfId="1606" xr:uid="{27BFD222-9ACE-41EE-8C94-3AA805C78C84}"/>
    <cellStyle name="Comma 2 3 4 3 2" xfId="1607" xr:uid="{2BA7C2E5-7406-4B74-B26E-D4CF171A2900}"/>
    <cellStyle name="Comma 2 3 4 4" xfId="1608" xr:uid="{FDB15E2B-C287-40C9-8B2C-E41B8ECE8F59}"/>
    <cellStyle name="Comma 2 3 4 4 2" xfId="1609" xr:uid="{78114BBC-9991-49C5-AC69-4E430004CC71}"/>
    <cellStyle name="Comma 2 3 4 5" xfId="1610" xr:uid="{2C0672EA-04AB-470E-ACF1-71F1F82907CB}"/>
    <cellStyle name="Comma 2 3 4 6" xfId="1611" xr:uid="{1FE79E67-3016-4753-88F3-118DC6F4E700}"/>
    <cellStyle name="Comma 2 3 5" xfId="1612" xr:uid="{9F273793-CCEA-43BD-A5FA-4F1AF037E5D2}"/>
    <cellStyle name="Comma 2 3 5 2" xfId="1613" xr:uid="{7D4C18A0-F29B-472A-B1FE-A53CC9FB225C}"/>
    <cellStyle name="Comma 2 3 5 3" xfId="1614" xr:uid="{37A84A34-BDEF-4BC7-A39B-6CDFF25FE877}"/>
    <cellStyle name="Comma 2 3 6" xfId="1615" xr:uid="{5119DEE6-C2D9-4EC6-B49F-E0C8E27AD0F5}"/>
    <cellStyle name="Comma 2 3 6 2" xfId="1616" xr:uid="{80A78741-6D44-4104-9031-8D8BD200A37F}"/>
    <cellStyle name="Comma 2 3 7" xfId="1617" xr:uid="{91C8F8CE-883E-4C5C-BBF9-C82468D09348}"/>
    <cellStyle name="Comma 2 3 7 2" xfId="1618" xr:uid="{AFC512C4-6D71-4DC5-B011-03A7B5F5E08D}"/>
    <cellStyle name="Comma 2 3 8" xfId="1619" xr:uid="{16F79418-296D-4652-84A5-FBDA4DB10A9B}"/>
    <cellStyle name="Comma 2 3 8 2" xfId="1620" xr:uid="{993DF65B-0747-42C0-8ADA-B16F0A6DE439}"/>
    <cellStyle name="Comma 2 3 9" xfId="1621" xr:uid="{414A5D28-1524-4A50-A99F-A1ED48208124}"/>
    <cellStyle name="Comma 2 4" xfId="1622" xr:uid="{D06E6BA2-3025-42B5-93E9-766915B592F4}"/>
    <cellStyle name="Comma 2 4 10" xfId="1623" xr:uid="{B619EFF1-4BAA-45FD-8DB1-540D41FF97D5}"/>
    <cellStyle name="Comma 2 4 2" xfId="1624" xr:uid="{7B39EFAD-14C4-43FE-97B8-C77BCF7D06A8}"/>
    <cellStyle name="Comma 2 4 2 2" xfId="1625" xr:uid="{484FBCFE-ACC7-479E-BFCF-9D3564092AA1}"/>
    <cellStyle name="Comma 2 4 2 2 2" xfId="1626" xr:uid="{0719E639-EC29-494E-9F63-3D0431A6CB6B}"/>
    <cellStyle name="Comma 2 4 2 2 2 2" xfId="1627" xr:uid="{04222CE2-3B25-4499-9D41-80A14CC43A5D}"/>
    <cellStyle name="Comma 2 4 2 2 2 3" xfId="1628" xr:uid="{38C58302-89D4-4E2A-803E-91C661C41661}"/>
    <cellStyle name="Comma 2 4 2 2 3" xfId="1629" xr:uid="{51E6D6BB-11D8-41BF-B546-D3026C632084}"/>
    <cellStyle name="Comma 2 4 2 2 3 2" xfId="1630" xr:uid="{E2740FE0-EFFE-4D66-BA7B-7BBCBD29DDC9}"/>
    <cellStyle name="Comma 2 4 2 2 4" xfId="1631" xr:uid="{93DB9682-8570-43CA-8034-34604E54CCB3}"/>
    <cellStyle name="Comma 2 4 2 2 4 2" xfId="1632" xr:uid="{952E83DD-87DB-497B-B151-2286572793EE}"/>
    <cellStyle name="Comma 2 4 2 2 5" xfId="1633" xr:uid="{355260F2-9562-4571-A64F-8B6A956D6D1C}"/>
    <cellStyle name="Comma 2 4 2 2 6" xfId="1634" xr:uid="{C86494CE-DC38-4F1D-9C0E-5073FB581F1D}"/>
    <cellStyle name="Comma 2 4 2 3" xfId="1635" xr:uid="{7FC76F28-B2AB-4D7A-81E6-7BB2C5FA7FCB}"/>
    <cellStyle name="Comma 2 4 2 3 2" xfId="1636" xr:uid="{5F3C4B92-DBC6-48B7-9BA2-88592B3C4491}"/>
    <cellStyle name="Comma 2 4 2 3 3" xfId="1637" xr:uid="{82FFCFF0-ADBC-4359-92BB-8863AE5D5D39}"/>
    <cellStyle name="Comma 2 4 2 4" xfId="1638" xr:uid="{179C27D3-D072-4E65-9616-7C5B7B56DA64}"/>
    <cellStyle name="Comma 2 4 2 4 2" xfId="1639" xr:uid="{BABB8FD4-9EB1-449D-9DD8-7BE499649F8D}"/>
    <cellStyle name="Comma 2 4 2 5" xfId="1640" xr:uid="{4BBB6189-D5F4-4500-8EF6-CDB2BD8B430F}"/>
    <cellStyle name="Comma 2 4 2 5 2" xfId="1641" xr:uid="{31E88A2E-90E8-4118-8F68-B7EAD286F273}"/>
    <cellStyle name="Comma 2 4 2 6" xfId="1642" xr:uid="{7392A613-9907-43E0-8086-68E5891D6791}"/>
    <cellStyle name="Comma 2 4 2 6 2" xfId="1643" xr:uid="{7DB5FCE4-0FFC-4994-BEFC-D8518B74F7FE}"/>
    <cellStyle name="Comma 2 4 2 7" xfId="1644" xr:uid="{2BC7B320-37FD-4CDE-9182-C85DD4AEC948}"/>
    <cellStyle name="Comma 2 4 2 8" xfId="1645" xr:uid="{D7726D62-9892-415F-8EF9-C979DA8C37ED}"/>
    <cellStyle name="Comma 2 4 3" xfId="1646" xr:uid="{23E56EBA-FCED-473B-8183-B4BFC127692B}"/>
    <cellStyle name="Comma 2 4 3 2" xfId="1647" xr:uid="{772E8DC4-2F0B-48D9-A00C-50AE21708F64}"/>
    <cellStyle name="Comma 2 4 3 2 2" xfId="1648" xr:uid="{63F97B5C-BEC1-44E6-B32B-617CAD14F90E}"/>
    <cellStyle name="Comma 2 4 3 2 3" xfId="1649" xr:uid="{A87AA5BF-C0E8-4C34-8A7C-A74F3D4F14C0}"/>
    <cellStyle name="Comma 2 4 3 3" xfId="1650" xr:uid="{95F9B7EE-3876-4633-B90D-A0D228C0E117}"/>
    <cellStyle name="Comma 2 4 3 3 2" xfId="1651" xr:uid="{87501AC2-102E-49F0-9C6A-F65099AC7AB2}"/>
    <cellStyle name="Comma 2 4 3 4" xfId="1652" xr:uid="{AB37785F-F563-48C9-9CED-4298CAED36FF}"/>
    <cellStyle name="Comma 2 4 3 4 2" xfId="1653" xr:uid="{7ED10D1C-0BEF-4019-8A55-9065A0084F63}"/>
    <cellStyle name="Comma 2 4 3 5" xfId="1654" xr:uid="{15237AC9-09DE-479E-8FC7-3D2B6D4ED04D}"/>
    <cellStyle name="Comma 2 4 3 6" xfId="1655" xr:uid="{FA331B4E-D14B-4D17-BF73-9E24F71C7C06}"/>
    <cellStyle name="Comma 2 4 4" xfId="1656" xr:uid="{F60D7F3D-EBB1-4500-982E-59683B4D2AAF}"/>
    <cellStyle name="Comma 2 4 4 2" xfId="1657" xr:uid="{4BF1CA03-E441-455E-BE6E-2FEEF5EB0342}"/>
    <cellStyle name="Comma 2 4 4 2 2" xfId="1658" xr:uid="{14727AF0-D2A5-49EC-906C-01E81660A00C}"/>
    <cellStyle name="Comma 2 4 4 2 3" xfId="1659" xr:uid="{6FB646A4-1AAE-4FF8-8372-36FBF98AA0D8}"/>
    <cellStyle name="Comma 2 4 4 3" xfId="1660" xr:uid="{36ED03A7-EB42-408E-8C3F-10DA41D3FC8F}"/>
    <cellStyle name="Comma 2 4 4 3 2" xfId="1661" xr:uid="{3ACBC88D-78A1-4F5A-A25F-76A7EDCB2986}"/>
    <cellStyle name="Comma 2 4 4 4" xfId="1662" xr:uid="{6E8C74B4-4BA3-4003-A915-A4975DE4CF5E}"/>
    <cellStyle name="Comma 2 4 4 4 2" xfId="1663" xr:uid="{262C78B2-0E4B-4A8F-ACA0-A6FFD2BE05D2}"/>
    <cellStyle name="Comma 2 4 4 5" xfId="1664" xr:uid="{C474A9FB-A153-44E1-ABB5-D5CF91485DB5}"/>
    <cellStyle name="Comma 2 4 4 6" xfId="1665" xr:uid="{B10947D3-C016-4AE8-A69E-87EABC3805F0}"/>
    <cellStyle name="Comma 2 4 5" xfId="1666" xr:uid="{532E4007-9AC0-4876-8445-9AC2B465DA65}"/>
    <cellStyle name="Comma 2 4 5 2" xfId="1667" xr:uid="{34653CCB-F0C1-4295-A5FA-E4B57D62A738}"/>
    <cellStyle name="Comma 2 4 5 3" xfId="1668" xr:uid="{1864F4FB-AA98-499A-8214-67710D55AB44}"/>
    <cellStyle name="Comma 2 4 6" xfId="1669" xr:uid="{77851256-ED42-4CF6-ACEE-D56A7EE8C8C3}"/>
    <cellStyle name="Comma 2 4 6 2" xfId="1670" xr:uid="{81227BBE-1871-472A-8351-BDAC7BEF2179}"/>
    <cellStyle name="Comma 2 4 7" xfId="1671" xr:uid="{A74E1DE5-2D25-40C7-9117-E35F662C3449}"/>
    <cellStyle name="Comma 2 4 7 2" xfId="1672" xr:uid="{54926E1C-F1A0-4D6D-ACCC-94B1C1C269BF}"/>
    <cellStyle name="Comma 2 4 8" xfId="1673" xr:uid="{033D4AE3-9A4D-439B-AE42-179CE8C446CE}"/>
    <cellStyle name="Comma 2 4 8 2" xfId="1674" xr:uid="{EEE33EB1-44D2-4567-808D-9C317B081816}"/>
    <cellStyle name="Comma 2 4 9" xfId="1675" xr:uid="{FFA2238D-F854-4C4F-ADE3-BDBAB1A5EC89}"/>
    <cellStyle name="Comma 2 5" xfId="1676" xr:uid="{4445DDAF-A868-4C18-861E-3D896E6F6045}"/>
    <cellStyle name="Comma 2 6" xfId="1677" xr:uid="{13980F4E-DB70-4995-A53F-911994CF9EF6}"/>
    <cellStyle name="Comma 2 6 2" xfId="1678" xr:uid="{F61E620C-F226-4AB9-A801-B91332F7F714}"/>
    <cellStyle name="Comma 2 6 3" xfId="1679" xr:uid="{E33EAFE9-2497-4197-A428-7D85409BBDAA}"/>
    <cellStyle name="Comma 2 7" xfId="1457" xr:uid="{98AAE58E-C04B-4271-BAA6-6FC9EF3835EF}"/>
    <cellStyle name="Comma 2 7 2" xfId="1905" xr:uid="{20C0F801-01B5-4E75-8015-37D8CF24F829}"/>
    <cellStyle name="Comma 2 8" xfId="1890" xr:uid="{19F9D57E-84CF-4F28-BEF9-26E9E06C2413}"/>
    <cellStyle name="Comma 20" xfId="1680" xr:uid="{6D5C5C7F-4862-4189-BF72-642283A791CD}"/>
    <cellStyle name="Comma 21" xfId="1681" xr:uid="{82CAADF1-54B3-4275-8426-1DA0390B2B69}"/>
    <cellStyle name="Comma 22" xfId="1682" xr:uid="{348A2A96-408C-4E98-8C88-98F6A5282C37}"/>
    <cellStyle name="Comma 23" xfId="1683" xr:uid="{C8603C8E-C72B-4A94-BFF1-C4748B679760}"/>
    <cellStyle name="Comma 24" xfId="1684" xr:uid="{251129A5-00FB-44B5-8BF1-AA066935786D}"/>
    <cellStyle name="Comma 25" xfId="1685" xr:uid="{416F2F7D-8475-48A3-8ECB-67699B46C256}"/>
    <cellStyle name="Comma 26" xfId="1686" xr:uid="{079036E0-2902-49DC-8727-0821D18A9386}"/>
    <cellStyle name="Comma 27" xfId="1687" xr:uid="{794F4373-36CE-40FB-92F6-518BF4EDC8B3}"/>
    <cellStyle name="Comma 28" xfId="1688" xr:uid="{8367C379-6BCF-45FD-A20D-9C11C4D52367}"/>
    <cellStyle name="Comma 29" xfId="1689" xr:uid="{9504EEA0-A4AE-4FE7-BF8A-8BDD828C0164}"/>
    <cellStyle name="Comma 3" xfId="7" xr:uid="{00000000-0005-0000-0000-000002000000}"/>
    <cellStyle name="Comma 3 2" xfId="1691" xr:uid="{BA58F1F0-E74B-4F75-86FA-5FDC89D69789}"/>
    <cellStyle name="Comma 3 3" xfId="1692" xr:uid="{A727115E-B68E-443C-9FFA-6105F4B26566}"/>
    <cellStyle name="Comma 3 4" xfId="1690" xr:uid="{ED3C07C1-F9DF-4427-94C3-6D80A4F21677}"/>
    <cellStyle name="Comma 3 5" xfId="1893" xr:uid="{97EC53E7-26DF-4768-B9AC-FBD3EE410310}"/>
    <cellStyle name="Comma 30" xfId="1693" xr:uid="{9E9F12FE-09E3-4142-A2A4-9B4661E048A7}"/>
    <cellStyle name="Comma 31" xfId="1694" xr:uid="{92FE3DB2-746D-4B8E-9AA7-20D4FB84E3BA}"/>
    <cellStyle name="Comma 32" xfId="1695" xr:uid="{FDE4CAB0-35AD-4093-AAAB-4F1350C14525}"/>
    <cellStyle name="Comma 33" xfId="1696" xr:uid="{ED7CFCA5-0FA5-41BE-8ACE-04799E08D26E}"/>
    <cellStyle name="Comma 34" xfId="1697" xr:uid="{B43DBCF9-26E9-4C31-B3F2-C39AE6CBC523}"/>
    <cellStyle name="Comma 35" xfId="1698" xr:uid="{B8D4D4CE-91EF-4388-9557-65C34594A1DD}"/>
    <cellStyle name="Comma 35 2" xfId="1699" xr:uid="{2468257E-5AC7-4FC1-8326-5527B3912A0A}"/>
    <cellStyle name="Comma 36" xfId="1700" xr:uid="{5989D731-93A3-4353-A28E-6F02F0FF68BE}"/>
    <cellStyle name="Comma 36 2" xfId="1701" xr:uid="{CA65A6D9-2D6A-4D9D-9C46-B4DCCDDDCED1}"/>
    <cellStyle name="Comma 37" xfId="1702" xr:uid="{AC80EF2D-83FF-4FE2-92FF-5C68145AC2A5}"/>
    <cellStyle name="Comma 37 2" xfId="1703" xr:uid="{C90D6F1B-18FC-4316-93CE-C3C7BA4A45ED}"/>
    <cellStyle name="Comma 38" xfId="1704" xr:uid="{012A67ED-57F7-4C10-9A9C-5D70B19BB42D}"/>
    <cellStyle name="Comma 38 2" xfId="1705" xr:uid="{3E6FB773-8254-4A8A-BECB-1B2FE226EAFC}"/>
    <cellStyle name="Comma 39" xfId="1706" xr:uid="{9246C598-30F1-4924-86EA-34F8BBCFECC6}"/>
    <cellStyle name="Comma 39 2" xfId="1707" xr:uid="{03A04077-22B9-4AE8-83FF-BE78BFEFFED6}"/>
    <cellStyle name="Comma 4" xfId="1708" xr:uid="{01D0B9C0-8A52-4AD1-8C3A-846D8DF27BD8}"/>
    <cellStyle name="Comma 4 2" xfId="1709" xr:uid="{50EB5B45-1F57-441B-A092-17F46B05E247}"/>
    <cellStyle name="Comma 4 2 10" xfId="1710" xr:uid="{F5B78849-9B78-41A3-9D69-114C5EB40BB4}"/>
    <cellStyle name="Comma 4 2 2" xfId="1711" xr:uid="{01ADBF54-AB66-4E76-8E44-6852E297D5EA}"/>
    <cellStyle name="Comma 4 2 2 2" xfId="1712" xr:uid="{06812079-DE21-4F64-8564-5420E20090FE}"/>
    <cellStyle name="Comma 4 2 2 2 2" xfId="1713" xr:uid="{7C118F95-5ACB-4E8F-B5EC-ED8BF0CAD27C}"/>
    <cellStyle name="Comma 4 2 2 2 2 2" xfId="1714" xr:uid="{4B2B64F6-474E-42C9-B310-D08BB641D780}"/>
    <cellStyle name="Comma 4 2 2 2 2 3" xfId="1715" xr:uid="{4A050365-1CD5-4F0F-AC81-8711BFEE4B40}"/>
    <cellStyle name="Comma 4 2 2 2 3" xfId="1716" xr:uid="{62D4681E-1A3F-4AD8-83AC-F47847522E0C}"/>
    <cellStyle name="Comma 4 2 2 2 3 2" xfId="1717" xr:uid="{B0A66487-4F5C-4B0C-B38D-961FB3DA06AF}"/>
    <cellStyle name="Comma 4 2 2 2 4" xfId="1718" xr:uid="{32910F5A-18A5-459C-BA18-C04CFB1AB2E2}"/>
    <cellStyle name="Comma 4 2 2 2 4 2" xfId="1719" xr:uid="{82F76CE1-0C80-44DF-BB4E-24422FB36FC2}"/>
    <cellStyle name="Comma 4 2 2 2 5" xfId="1720" xr:uid="{C3F42708-6221-4D6B-90A2-0D99EFBC5E77}"/>
    <cellStyle name="Comma 4 2 2 2 6" xfId="1721" xr:uid="{B2C53035-DA85-455D-AEF0-B81EFE0BF330}"/>
    <cellStyle name="Comma 4 2 2 3" xfId="1722" xr:uid="{4690227D-B864-44BA-99EA-A27C638E4904}"/>
    <cellStyle name="Comma 4 2 2 3 2" xfId="1723" xr:uid="{ED8E0509-EE51-4EE0-AEBC-D7DA7028DB85}"/>
    <cellStyle name="Comma 4 2 2 3 3" xfId="1724" xr:uid="{9A47F547-259C-4F9A-A875-0AF58A1CB897}"/>
    <cellStyle name="Comma 4 2 2 4" xfId="1725" xr:uid="{4816D75F-8CB3-4435-BB57-16B62855511A}"/>
    <cellStyle name="Comma 4 2 2 4 2" xfId="1726" xr:uid="{338E1EA7-BA92-4EF9-9A07-17F8002780AA}"/>
    <cellStyle name="Comma 4 2 2 5" xfId="1727" xr:uid="{50B724C8-0775-4D57-9CF9-C1E4446D2FBC}"/>
    <cellStyle name="Comma 4 2 2 5 2" xfId="1728" xr:uid="{17A5D119-80FD-4D75-8ACE-39129AD7BE46}"/>
    <cellStyle name="Comma 4 2 2 6" xfId="1729" xr:uid="{F2DE590E-974F-4B2C-8A76-AE8E5FA53BF4}"/>
    <cellStyle name="Comma 4 2 2 6 2" xfId="1730" xr:uid="{A1C658E8-A164-4A5A-84C3-EC0D850C9B0E}"/>
    <cellStyle name="Comma 4 2 2 7" xfId="1731" xr:uid="{38C58D70-53DE-4702-9A71-D08E18F20C62}"/>
    <cellStyle name="Comma 4 2 2 8" xfId="1732" xr:uid="{354A0BF0-A344-4045-8FF6-61F383EC35D9}"/>
    <cellStyle name="Comma 4 2 3" xfId="1733" xr:uid="{4F702CEB-FA2F-4333-9545-00C6F791F980}"/>
    <cellStyle name="Comma 4 2 3 2" xfId="1734" xr:uid="{192543CF-7A27-4BBF-8764-B567B6C6BC45}"/>
    <cellStyle name="Comma 4 2 3 2 2" xfId="1735" xr:uid="{57D127AE-A604-4B76-A6AB-CF9C29565F5B}"/>
    <cellStyle name="Comma 4 2 3 2 3" xfId="1736" xr:uid="{F4E0D1A0-E789-460B-8089-71D45D4AF413}"/>
    <cellStyle name="Comma 4 2 3 3" xfId="1737" xr:uid="{59723D81-7BD5-4740-8357-F0BB6704E9B9}"/>
    <cellStyle name="Comma 4 2 3 3 2" xfId="1738" xr:uid="{B931D93D-294E-43E2-8C79-BDF7142A61EA}"/>
    <cellStyle name="Comma 4 2 3 4" xfId="1739" xr:uid="{02E40586-B437-4D6F-B9E5-4763ADA73B6C}"/>
    <cellStyle name="Comma 4 2 3 4 2" xfId="1740" xr:uid="{4B5D970F-2782-4C16-BBE5-33345EB8043D}"/>
    <cellStyle name="Comma 4 2 3 5" xfId="1741" xr:uid="{E11D78BC-CF73-4D31-A59C-20BCD0953D25}"/>
    <cellStyle name="Comma 4 2 3 6" xfId="1742" xr:uid="{34526F16-F13C-4A7F-86E7-BAD5F191A0FE}"/>
    <cellStyle name="Comma 4 2 4" xfId="1743" xr:uid="{B7039ADC-A568-45AE-B2FC-296C1251DD1B}"/>
    <cellStyle name="Comma 4 2 4 2" xfId="1744" xr:uid="{E03649F3-9CA5-47AE-AB7C-4386C35AF9F9}"/>
    <cellStyle name="Comma 4 2 4 2 2" xfId="1745" xr:uid="{16E9F688-6FD1-4D29-A09C-8D2A50C252DA}"/>
    <cellStyle name="Comma 4 2 4 2 3" xfId="1746" xr:uid="{A7D5C356-8A35-448F-9C1C-20845CC52911}"/>
    <cellStyle name="Comma 4 2 4 3" xfId="1747" xr:uid="{772B7D99-F23C-4AC7-9F7C-AEE1E8AAEC1C}"/>
    <cellStyle name="Comma 4 2 4 3 2" xfId="1748" xr:uid="{0AEBB3E7-A915-4D19-A76B-96B3E627DCBC}"/>
    <cellStyle name="Comma 4 2 4 4" xfId="1749" xr:uid="{E8709B3B-88EE-4466-A2F6-62F93E326E27}"/>
    <cellStyle name="Comma 4 2 4 4 2" xfId="1750" xr:uid="{63A8F67B-704A-4838-9381-C2CD6FE93DA3}"/>
    <cellStyle name="Comma 4 2 4 5" xfId="1751" xr:uid="{377E1625-63AD-4237-913F-0B1801D935DF}"/>
    <cellStyle name="Comma 4 2 4 6" xfId="1752" xr:uid="{7658C842-AA1E-4A48-ACF3-3521417DFF20}"/>
    <cellStyle name="Comma 4 2 5" xfId="1753" xr:uid="{4683D428-5416-4404-B7D5-366F7DE893C3}"/>
    <cellStyle name="Comma 4 2 5 2" xfId="1754" xr:uid="{CC892118-9C30-4B6F-9039-F6E268A1FFE1}"/>
    <cellStyle name="Comma 4 2 5 3" xfId="1755" xr:uid="{FFF204DF-7CA7-4D7A-AE49-2B9A0B8D611E}"/>
    <cellStyle name="Comma 4 2 6" xfId="1756" xr:uid="{B9F436A3-AC48-40CC-8D3C-82E412337A6F}"/>
    <cellStyle name="Comma 4 2 6 2" xfId="1757" xr:uid="{33F0E467-3052-44C0-8AC3-DC0AF15DE6CE}"/>
    <cellStyle name="Comma 4 2 7" xfId="1758" xr:uid="{945886D3-AA50-4EE2-BD67-D69A1FC06973}"/>
    <cellStyle name="Comma 4 2 7 2" xfId="1759" xr:uid="{2483AA99-5EB5-467B-A2A7-29833C5C9840}"/>
    <cellStyle name="Comma 4 2 8" xfId="1760" xr:uid="{C12B85D8-B30D-40DF-95FF-61E2F02F5DB4}"/>
    <cellStyle name="Comma 4 2 8 2" xfId="1761" xr:uid="{5F3605D8-6B2C-42A3-A416-DE4D6FA0A713}"/>
    <cellStyle name="Comma 4 2 9" xfId="1762" xr:uid="{94FF3E44-155E-4C24-8C40-E123E03FC557}"/>
    <cellStyle name="Comma 4 3" xfId="1763" xr:uid="{DAEE584C-3CC2-4DEE-A827-1990E1DFFDBC}"/>
    <cellStyle name="Comma 4 4" xfId="1764" xr:uid="{55F5B703-4BEE-46D4-83A4-8C95E4E05283}"/>
    <cellStyle name="Comma 4 5" xfId="1906" xr:uid="{2436AAD1-EBF6-4256-A6BD-75C6B264C33A}"/>
    <cellStyle name="Comma 4 6" xfId="1894" xr:uid="{386B9CC8-624C-4D04-AA5D-BFE56E085B11}"/>
    <cellStyle name="Comma 40" xfId="1765" xr:uid="{47897DC6-6E16-48C7-A04D-89DC8238ACE3}"/>
    <cellStyle name="Comma 40 2" xfId="1766" xr:uid="{7667ECA1-F3C5-4A77-983D-19CBE9C547CD}"/>
    <cellStyle name="Comma 41" xfId="1767" xr:uid="{6CD8383C-F3FC-4525-A298-E8E9C6EE76D1}"/>
    <cellStyle name="Comma 42" xfId="1768" xr:uid="{CE87E38C-43BD-44E7-80B7-3536FFA24245}"/>
    <cellStyle name="Comma 43" xfId="1769" xr:uid="{74E6F564-1ED2-43CD-9AB7-9BC5F1EE09DC}"/>
    <cellStyle name="Comma 44" xfId="1770" xr:uid="{BA58090A-40C7-4AA9-8F33-DC2A4373F7DF}"/>
    <cellStyle name="Comma 44 2" xfId="1771" xr:uid="{80A6CE60-B3C8-4A26-BF5A-9486F3BF6120}"/>
    <cellStyle name="Comma 45" xfId="1772" xr:uid="{7F30742A-34DD-415E-A073-9247623EFD67}"/>
    <cellStyle name="Comma 45 2" xfId="1773" xr:uid="{E1615928-B201-4397-8547-55B12518D0FD}"/>
    <cellStyle name="Comma 46" xfId="1774" xr:uid="{0E3DCB87-547A-4100-83FB-A8931ECACA99}"/>
    <cellStyle name="Comma 47" xfId="1775" xr:uid="{EB489E22-DA8A-444E-A558-7F9342B3785F}"/>
    <cellStyle name="Comma 48" xfId="1776" xr:uid="{2AC1CFA6-0665-4B71-83BF-97153A9ADBC1}"/>
    <cellStyle name="Comma 49" xfId="1777" xr:uid="{9612D23E-21BD-46D5-B05C-25FAF9D3870C}"/>
    <cellStyle name="Comma 5" xfId="1778" xr:uid="{3E01FC9D-5FD5-4BB0-BC4B-818C98C81144}"/>
    <cellStyle name="Comma 5 2" xfId="1907" xr:uid="{F2D90E62-D0DA-4094-A4FD-121C4DC0CD25}"/>
    <cellStyle name="Comma 5 3" xfId="1896" xr:uid="{6FAF02AB-9FAC-407C-83AF-B56DDC98A297}"/>
    <cellStyle name="Comma 50" xfId="1779" xr:uid="{568BBB94-C16D-4ACB-B7CA-999408571A32}"/>
    <cellStyle name="Comma 51" xfId="1780" xr:uid="{1DF2A2C2-A65A-42B8-A1E8-E2951E1C96EB}"/>
    <cellStyle name="Comma 52" xfId="1781" xr:uid="{AAED740C-ADC3-48D6-9316-275C89D21E5A}"/>
    <cellStyle name="Comma 53" xfId="1782" xr:uid="{6B631EA9-53A6-4BC9-8444-3BB95E6E2860}"/>
    <cellStyle name="Comma 54" xfId="1783" xr:uid="{8F126475-D380-462E-A9CD-FC435D33085D}"/>
    <cellStyle name="Comma 55" xfId="1784" xr:uid="{694D4063-44A9-48C1-A23A-389BBA05682F}"/>
    <cellStyle name="Comma 56" xfId="1785" xr:uid="{2732CC19-7F10-45CA-9168-A3470071745B}"/>
    <cellStyle name="Comma 57" xfId="1786" xr:uid="{D121789D-D6A5-4978-B459-A74E39857E05}"/>
    <cellStyle name="Comma 58" xfId="12" xr:uid="{8D00C5A9-5D50-4DEF-846C-9C017C99F17D}"/>
    <cellStyle name="Comma 58 2" xfId="1912" xr:uid="{FA8AA5D5-6C0E-43CE-AF6F-620D64A86408}"/>
    <cellStyle name="Comma 58 3" xfId="1900" xr:uid="{4FE1A0E6-9C48-4DDD-9F95-4FDD79DB695F}"/>
    <cellStyle name="Comma 59" xfId="1898" xr:uid="{75A46827-4BE2-4965-B9DB-26E2A864287E}"/>
    <cellStyle name="Comma 6" xfId="1787" xr:uid="{1E95AFEB-A9E9-4BE8-8D19-79BF40757B75}"/>
    <cellStyle name="Comma 60" xfId="1909" xr:uid="{BDF99CF3-BD8F-4D1F-9C29-5FBB9DBD2FD2}"/>
    <cellStyle name="Comma 61" xfId="1910" xr:uid="{A88D22B5-B9C9-454E-AEA9-AD26AA27ACE6}"/>
    <cellStyle name="Comma 62" xfId="1911" xr:uid="{0EB4B0B4-9C9C-4192-80FE-EF41D03FD2B8}"/>
    <cellStyle name="Comma 63" xfId="1915" xr:uid="{A262388A-B069-466B-A297-16DE5F4C9AB5}"/>
    <cellStyle name="Comma 64" xfId="1916" xr:uid="{E3EFC040-0D13-434F-8738-B23931F1D09D}"/>
    <cellStyle name="Comma 65" xfId="1914" xr:uid="{DC1CB29C-0286-4BB0-8598-F127B55D7288}"/>
    <cellStyle name="Comma 66" xfId="1883" xr:uid="{4E97FEDA-5580-447F-9D4B-3F083616BFCE}"/>
    <cellStyle name="Comma 7" xfId="1788" xr:uid="{DF2FB957-52A4-4375-9F17-D213C7234EFB}"/>
    <cellStyle name="Comma 8" xfId="1789" xr:uid="{CAB4CA2C-E6E4-4145-ADDD-5CE50FE24BE4}"/>
    <cellStyle name="Comma 8 10" xfId="1790" xr:uid="{7532785C-DFF1-42AA-B323-D09DF7E51E74}"/>
    <cellStyle name="Comma 8 2" xfId="1791" xr:uid="{6FFC0A94-A09D-4B1E-A866-2E10B257261C}"/>
    <cellStyle name="Comma 8 2 2" xfId="1792" xr:uid="{8182ACB1-BEF8-48EE-BBCE-576D4993C4E2}"/>
    <cellStyle name="Comma 8 2 2 2" xfId="1793" xr:uid="{2190C620-7E4F-4BE3-8EDE-ACE0119A57E3}"/>
    <cellStyle name="Comma 8 2 2 2 2" xfId="1794" xr:uid="{69C0E41E-849D-49E6-BE5B-BF1A8722E422}"/>
    <cellStyle name="Comma 8 2 2 2 3" xfId="1795" xr:uid="{3EF90F10-5C37-4591-B841-75FA7641544E}"/>
    <cellStyle name="Comma 8 2 2 3" xfId="1796" xr:uid="{C08FA5A1-7EFC-4FE5-99FD-54C0E902E4D4}"/>
    <cellStyle name="Comma 8 2 2 3 2" xfId="1797" xr:uid="{ED102E95-A883-480E-8A45-823D4A4932C2}"/>
    <cellStyle name="Comma 8 2 2 4" xfId="1798" xr:uid="{07FC6C2E-DDC5-4F4E-8E67-4FC95A768094}"/>
    <cellStyle name="Comma 8 2 2 4 2" xfId="1799" xr:uid="{6ECB12AE-3937-4CC2-B146-6311BD60C093}"/>
    <cellStyle name="Comma 8 2 2 5" xfId="1800" xr:uid="{A4420E0D-8BDA-4040-A6E6-CBE273E72441}"/>
    <cellStyle name="Comma 8 2 2 6" xfId="1801" xr:uid="{7B5050FB-01A9-4C7D-AA0B-B70634992237}"/>
    <cellStyle name="Comma 8 2 3" xfId="1802" xr:uid="{CFCE0FA5-2134-44C9-B5EB-6BEAAE37DEBB}"/>
    <cellStyle name="Comma 8 2 3 2" xfId="1803" xr:uid="{8CC46230-7A0A-4D6F-AFFD-1D575FAA542F}"/>
    <cellStyle name="Comma 8 2 3 3" xfId="1804" xr:uid="{C6F84585-42AF-434B-86F8-FF08B22D81B6}"/>
    <cellStyle name="Comma 8 2 4" xfId="1805" xr:uid="{336F7990-23DF-4421-B326-7D4C05DB93DA}"/>
    <cellStyle name="Comma 8 2 4 2" xfId="1806" xr:uid="{D50A62F0-84EA-4F5E-A561-6F4DEBD67F18}"/>
    <cellStyle name="Comma 8 2 5" xfId="1807" xr:uid="{8EB8AEA9-501D-4504-91ED-13E2970DB51C}"/>
    <cellStyle name="Comma 8 2 5 2" xfId="1808" xr:uid="{286EB5B1-211E-421D-879C-45D8B45EC055}"/>
    <cellStyle name="Comma 8 2 6" xfId="1809" xr:uid="{F51F3AAF-C73D-48EA-8109-9989F7727A1E}"/>
    <cellStyle name="Comma 8 2 6 2" xfId="1810" xr:uid="{ABC1C73D-7B94-40A5-89C4-7932C8AABCD0}"/>
    <cellStyle name="Comma 8 2 7" xfId="1811" xr:uid="{118EBDB6-5F36-404D-95C2-6170DA2511E9}"/>
    <cellStyle name="Comma 8 2 8" xfId="1812" xr:uid="{E6AA34D8-0659-40D0-9EAF-B84EB24B7E43}"/>
    <cellStyle name="Comma 8 3" xfId="1813" xr:uid="{36A6FFAF-E6DB-48CE-B4DA-96AE809B15A0}"/>
    <cellStyle name="Comma 8 3 2" xfId="1814" xr:uid="{8C3A8EC1-2EC8-4156-8466-15702C641C0B}"/>
    <cellStyle name="Comma 8 3 2 2" xfId="1815" xr:uid="{6428AD72-BDD9-4AF2-9C82-42A3D693618F}"/>
    <cellStyle name="Comma 8 3 2 3" xfId="1816" xr:uid="{3104F5F5-12F2-4EF6-A1D6-C5289EDE3BE7}"/>
    <cellStyle name="Comma 8 3 3" xfId="1817" xr:uid="{C955370A-C93F-40AC-A2F3-8012B99E948B}"/>
    <cellStyle name="Comma 8 3 3 2" xfId="1818" xr:uid="{CEDECF6D-8ACA-494D-938C-4898627FBAE6}"/>
    <cellStyle name="Comma 8 3 4" xfId="1819" xr:uid="{9D0D5EBF-AE08-4CE9-A351-6DE5F2D53C48}"/>
    <cellStyle name="Comma 8 3 4 2" xfId="1820" xr:uid="{B0E2A26F-650D-4C18-870D-BCFDD77409F9}"/>
    <cellStyle name="Comma 8 3 5" xfId="1821" xr:uid="{F32ECBC6-333F-434E-8691-0C23274B3AD1}"/>
    <cellStyle name="Comma 8 3 6" xfId="1822" xr:uid="{899DEB92-36AC-4B87-AD27-E7423FC54DED}"/>
    <cellStyle name="Comma 8 4" xfId="1823" xr:uid="{81164EAD-3227-4DAE-AC09-D1AEAFF502B2}"/>
    <cellStyle name="Comma 8 4 2" xfId="1824" xr:uid="{EAD29462-8A72-419E-9ED3-6DE8E6776671}"/>
    <cellStyle name="Comma 8 4 2 2" xfId="1825" xr:uid="{8C35FFF6-A954-4465-AE69-831F4DE4851A}"/>
    <cellStyle name="Comma 8 4 2 3" xfId="1826" xr:uid="{50615444-79C9-4EB7-8BD0-CE05416B645F}"/>
    <cellStyle name="Comma 8 4 3" xfId="1827" xr:uid="{3E45C318-917B-4657-B891-0E747200B68D}"/>
    <cellStyle name="Comma 8 4 3 2" xfId="1828" xr:uid="{3F0EA646-60AA-4507-BE58-E9EF448450CB}"/>
    <cellStyle name="Comma 8 4 4" xfId="1829" xr:uid="{B55B7758-61D9-4A4A-B8A0-833696966564}"/>
    <cellStyle name="Comma 8 4 4 2" xfId="1830" xr:uid="{7E1E54E7-E945-44A7-A782-99728D829FAC}"/>
    <cellStyle name="Comma 8 4 5" xfId="1831" xr:uid="{848687BD-7A47-41AD-9918-C9AA8AF87CAC}"/>
    <cellStyle name="Comma 8 4 6" xfId="1832" xr:uid="{50AF77B0-66E7-495C-9CC8-80A6BA479AFF}"/>
    <cellStyle name="Comma 8 5" xfId="1833" xr:uid="{79C3EA76-F1EE-4548-87E0-8A7814A7D996}"/>
    <cellStyle name="Comma 8 5 2" xfId="1834" xr:uid="{DE076D54-E588-43C8-8E59-32BD22C1EF85}"/>
    <cellStyle name="Comma 8 5 3" xfId="1835" xr:uid="{3F3679EA-7FDA-48D6-BE13-213F05FE0606}"/>
    <cellStyle name="Comma 8 6" xfId="1836" xr:uid="{BB67079A-16F1-4D46-BB7E-1AC5280A94C0}"/>
    <cellStyle name="Comma 8 6 2" xfId="1837" xr:uid="{0AEED988-32E4-459C-BEDD-0208CF84CC65}"/>
    <cellStyle name="Comma 8 7" xfId="1838" xr:uid="{BEEE3EA6-B370-4883-9B39-57427E6E8960}"/>
    <cellStyle name="Comma 8 7 2" xfId="1839" xr:uid="{4B762BAA-C614-4E6A-9401-684EB1B70A30}"/>
    <cellStyle name="Comma 8 8" xfId="1840" xr:uid="{420E1720-ADF1-43D2-BD25-EC2B7A22C72D}"/>
    <cellStyle name="Comma 8 8 2" xfId="1841" xr:uid="{0F67B45D-EDF6-4DAA-8AEB-575E989BCA0F}"/>
    <cellStyle name="Comma 8 9" xfId="1842" xr:uid="{59352641-DBD6-4CE3-9DDC-FDA5CC42CCA9}"/>
    <cellStyle name="Comma 9" xfId="1843" xr:uid="{6B625EBD-AAC4-4E95-AC32-9D356FB4CF9D}"/>
    <cellStyle name="Comma 9 2" xfId="1844" xr:uid="{62FEA689-9367-4995-A8FA-0FD4C6FB5C85}"/>
    <cellStyle name="Comma 9 3" xfId="1845" xr:uid="{2968120A-0CC3-48EB-B1ED-2EEE3D75C9EB}"/>
    <cellStyle name="Hyperlink 2" xfId="1846" xr:uid="{39EBAC35-8915-402F-AF29-EAA0946C1BF6}"/>
    <cellStyle name="Hyperlink 2 2" xfId="1847" xr:uid="{29484F7F-B425-4C9F-A2E4-B197ADC8FD44}"/>
    <cellStyle name="Hyperlink 2 3" xfId="1848" xr:uid="{83F4363F-A4F7-42E8-B0C0-27A079DA94DD}"/>
    <cellStyle name="Hyperlink 2 4" xfId="1849" xr:uid="{5F1E6860-1851-47E2-A92F-EBCCB22E0C62}"/>
    <cellStyle name="Normal" xfId="0" builtinId="0"/>
    <cellStyle name="Normal 10" xfId="1850" xr:uid="{62BCD04E-08D1-4F09-8726-1AA5F0F21EDC}"/>
    <cellStyle name="Normal 11" xfId="1851" xr:uid="{B6C8FD64-BCA4-4107-A545-4346BC39CEF6}"/>
    <cellStyle name="Normal 12" xfId="1897" xr:uid="{E6BDEA30-6781-4E6E-91E1-88C92E74589F}"/>
    <cellStyle name="Normal 2" xfId="2" xr:uid="{00000000-0005-0000-0000-000004000000}"/>
    <cellStyle name="Normal 2 2" xfId="1853" xr:uid="{B49C7E57-4BA5-416B-83FD-5B4BF19B9F10}"/>
    <cellStyle name="Normal 2 2 2" xfId="1854" xr:uid="{31B1549B-A279-46E8-9D90-B07CDBAB77D2}"/>
    <cellStyle name="Normal 2 2 3" xfId="1855" xr:uid="{951C39AA-52A3-40EF-B46B-5DA9C86D607F}"/>
    <cellStyle name="Normal 2 2 4" xfId="1856" xr:uid="{1DA70137-5759-4A1F-9EA8-2679E95ED9BA}"/>
    <cellStyle name="Normal 2 2 5" xfId="1908" xr:uid="{52EE2A59-AC2D-4391-AFAD-08ED28EE92F7}"/>
    <cellStyle name="Normal 2 2 6" xfId="1889" xr:uid="{A34DACB8-31D4-4679-825B-AAA058EF8C41}"/>
    <cellStyle name="Normal 2 3" xfId="1857" xr:uid="{27458132-7800-4AAB-B29A-AC56CB02D48A}"/>
    <cellStyle name="Normal 2 3 2" xfId="1858" xr:uid="{F2BEFC10-3A8E-467E-B706-76BFECCFE5E4}"/>
    <cellStyle name="Normal 2 3 2 2" xfId="1859" xr:uid="{D149EAB4-2394-4875-A132-18D5E6DF33E4}"/>
    <cellStyle name="Normal 2 3 3" xfId="1860" xr:uid="{96DB9D3F-4AC0-42DE-BCBB-A2E11BE20F28}"/>
    <cellStyle name="Normal 2 4" xfId="1861" xr:uid="{3762F3D8-66D0-44BC-84AB-D70B48290A56}"/>
    <cellStyle name="Normal 2 4 2" xfId="1862" xr:uid="{A7B5840B-8C5F-4035-9E81-4044954C6E92}"/>
    <cellStyle name="Normal 2 4 3" xfId="1863" xr:uid="{4450EA4A-EB52-479D-93B0-744AD3A365D5}"/>
    <cellStyle name="Normal 2 5" xfId="1864" xr:uid="{441DFEFF-E7A6-40DC-A6D9-BA10B2BC6EBD}"/>
    <cellStyle name="Normal 2 5 2" xfId="1865" xr:uid="{6EFF52BB-F133-4555-B347-1A0FF7B549E1}"/>
    <cellStyle name="Normal 2 6" xfId="1866" xr:uid="{A1237A92-79D5-4062-A058-3DC292956A8A}"/>
    <cellStyle name="Normal 2 6 2" xfId="1867" xr:uid="{65F4F0AE-7399-449D-92B2-BF8BED3296E2}"/>
    <cellStyle name="Normal 2 7" xfId="1868" xr:uid="{5B1FEA7F-2250-4753-AA2B-E01503FD10C9}"/>
    <cellStyle name="Normal 2 8" xfId="1852" xr:uid="{B1CC1E90-2D48-498C-99BA-0787EA5479E9}"/>
    <cellStyle name="Normal 2 9" xfId="1886" xr:uid="{75F38505-F086-4BB9-8FF0-8D5773B4299F}"/>
    <cellStyle name="Normal 3" xfId="6" xr:uid="{00000000-0005-0000-0000-000005000000}"/>
    <cellStyle name="Normal 3 2" xfId="1869" xr:uid="{9F011463-20E0-4900-9B72-1DFBCEADC708}"/>
    <cellStyle name="Normal 3 3" xfId="1870" xr:uid="{C93707E6-17FB-4134-92A9-CA13ECF546B3}"/>
    <cellStyle name="Normal 3 3 2" xfId="1871" xr:uid="{E9DBAECE-1F00-42B3-9A5A-F625AA4DE596}"/>
    <cellStyle name="Normal 3 4" xfId="1872" xr:uid="{1DEFDF3E-28C1-42C2-B301-E015222FCBC4}"/>
    <cellStyle name="Normal 4" xfId="11" xr:uid="{832E4602-90D8-4D15-805E-C3145FF89EC4}"/>
    <cellStyle name="Normal 4 2" xfId="1873" xr:uid="{A98D4652-2517-4F0B-B474-7DD1DA92DFB7}"/>
    <cellStyle name="Normal 4 3" xfId="1899" xr:uid="{7DA9F617-7C88-4D86-AEE8-AAA4E8A091E3}"/>
    <cellStyle name="Normal 4 4" xfId="1887" xr:uid="{1CDE6094-F14B-471C-84F2-8EB08248B807}"/>
    <cellStyle name="Normal 5" xfId="1874" xr:uid="{26341D07-EC69-46DB-845C-B431A5F1E7C1}"/>
    <cellStyle name="Normal 5 2" xfId="1875" xr:uid="{5BB03B46-9A02-41C1-ABA3-FC91A687D00E}"/>
    <cellStyle name="Normal 5 3" xfId="1876" xr:uid="{C015640D-7B8A-4528-802C-FCA2284FAF04}"/>
    <cellStyle name="Normal 5 4" xfId="1877" xr:uid="{53CA91A2-EB1F-4AEB-B4C5-218285948FD2}"/>
    <cellStyle name="Normal 6" xfId="1878" xr:uid="{796B4C3A-D463-4AE5-AD48-01611C28B3EA}"/>
    <cellStyle name="Normal 7" xfId="1879" xr:uid="{07AE9F0B-E41F-4BD4-BC31-E78A5BE4FF0E}"/>
    <cellStyle name="Normal 8" xfId="1880" xr:uid="{582F1332-7913-4050-8893-1B932B1F9915}"/>
    <cellStyle name="Normal 9" xfId="1881" xr:uid="{CF0569B4-04FF-4E73-B540-A2E9649173ED}"/>
    <cellStyle name="Normal_ORY KBK" xfId="9" xr:uid="{00000000-0005-0000-0000-000006000000}"/>
    <cellStyle name="Normal_ORY KBT" xfId="8" xr:uid="{00000000-0005-0000-0000-000007000000}"/>
    <cellStyle name="Percent" xfId="5" builtinId="5"/>
    <cellStyle name="Percent 2" xfId="4" xr:uid="{00000000-0005-0000-0000-00000A000000}"/>
    <cellStyle name="Percent 2 2" xfId="1882" xr:uid="{6E25A379-9BC1-4FA4-908F-9B90BCAF5960}"/>
    <cellStyle name="Percent 2 3" xfId="1891" xr:uid="{F22EE8C1-24EF-4E3A-B10C-3CA1D57ECB20}"/>
    <cellStyle name="Percent 3" xfId="1892" xr:uid="{747091F4-D12A-4F99-BE47-C4B96D2BCE4D}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277586</xdr:colOff>
      <xdr:row>0</xdr:row>
      <xdr:rowOff>533400</xdr:rowOff>
    </xdr:from>
    <xdr:to>
      <xdr:col>15</xdr:col>
      <xdr:colOff>914401</xdr:colOff>
      <xdr:row>1</xdr:row>
      <xdr:rowOff>10886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5B71161C-BAD9-BFAC-9D26-2D07C05EFE7C}"/>
            </a:ext>
          </a:extLst>
        </xdr:cNvPr>
        <xdr:cNvSpPr/>
      </xdr:nvSpPr>
      <xdr:spPr>
        <a:xfrm>
          <a:off x="15250886" y="533400"/>
          <a:ext cx="636815" cy="310243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B2:F1000"/>
  <sheetViews>
    <sheetView showGridLines="0" tabSelected="1" zoomScale="80" zoomScaleNormal="80" workbookViewId="0">
      <pane ySplit="19" topLeftCell="A20" activePane="bottomLeft" state="frozen"/>
      <selection pane="bottomLeft" activeCell="E16" sqref="E16"/>
    </sheetView>
  </sheetViews>
  <sheetFormatPr defaultColWidth="12.69921875" defaultRowHeight="15" customHeight="1"/>
  <cols>
    <col min="1" max="1" width="4.19921875" style="5" customWidth="1"/>
    <col min="2" max="2" width="38.296875" style="5" customWidth="1"/>
    <col min="3" max="3" width="16.69921875" style="5" customWidth="1"/>
    <col min="4" max="4" width="4.796875" style="5" customWidth="1"/>
    <col min="5" max="5" width="39.5" style="5" customWidth="1"/>
    <col min="6" max="6" width="17.19921875" style="5" customWidth="1"/>
    <col min="7" max="7" width="2.69921875" style="5" customWidth="1"/>
    <col min="8" max="16384" width="12.69921875" style="5"/>
  </cols>
  <sheetData>
    <row r="2" spans="2:6" ht="15.6">
      <c r="B2" s="221" t="s">
        <v>0</v>
      </c>
      <c r="C2" s="222"/>
      <c r="E2" s="221" t="s">
        <v>1</v>
      </c>
      <c r="F2" s="222"/>
    </row>
    <row r="3" spans="2:6">
      <c r="B3" s="1" t="s">
        <v>2</v>
      </c>
      <c r="C3" s="21">
        <v>4391337</v>
      </c>
      <c r="E3" s="1" t="s">
        <v>3</v>
      </c>
      <c r="F3" s="2">
        <v>54000000</v>
      </c>
    </row>
    <row r="4" spans="2:6">
      <c r="B4" s="1" t="s">
        <v>4</v>
      </c>
      <c r="C4" s="2">
        <v>12000000</v>
      </c>
      <c r="E4" s="1" t="s">
        <v>5</v>
      </c>
      <c r="F4" s="2">
        <v>58500000</v>
      </c>
    </row>
    <row r="5" spans="2:6">
      <c r="B5" s="3" t="s">
        <v>6</v>
      </c>
      <c r="C5" s="4">
        <v>0.04</v>
      </c>
      <c r="E5" s="1" t="s">
        <v>7</v>
      </c>
      <c r="F5" s="2">
        <v>63000000</v>
      </c>
    </row>
    <row r="6" spans="2:6">
      <c r="B6" s="3" t="s">
        <v>8</v>
      </c>
      <c r="C6" s="4">
        <v>0.01</v>
      </c>
      <c r="E6" s="1" t="s">
        <v>9</v>
      </c>
      <c r="F6" s="2">
        <v>67500000</v>
      </c>
    </row>
    <row r="7" spans="2:6">
      <c r="E7" s="1" t="s">
        <v>10</v>
      </c>
      <c r="F7" s="2">
        <v>58500000</v>
      </c>
    </row>
    <row r="8" spans="2:6" ht="15.6">
      <c r="B8" s="223" t="s">
        <v>11</v>
      </c>
      <c r="C8" s="222"/>
      <c r="E8" s="1" t="s">
        <v>12</v>
      </c>
      <c r="F8" s="2">
        <v>63000000</v>
      </c>
    </row>
    <row r="9" spans="2:6">
      <c r="B9" s="1" t="s">
        <v>13</v>
      </c>
      <c r="C9" s="2">
        <v>11086300</v>
      </c>
      <c r="E9" s="1" t="s">
        <v>14</v>
      </c>
      <c r="F9" s="2">
        <v>67500000</v>
      </c>
    </row>
    <row r="10" spans="2:6">
      <c r="B10" s="3" t="s">
        <v>15</v>
      </c>
      <c r="C10" s="6">
        <v>8.8999999999999999E-3</v>
      </c>
      <c r="E10" s="1" t="s">
        <v>16</v>
      </c>
      <c r="F10" s="2">
        <v>72000000</v>
      </c>
    </row>
    <row r="11" spans="2:6">
      <c r="B11" s="3" t="s">
        <v>17</v>
      </c>
      <c r="C11" s="6">
        <v>3.0000000000000001E-3</v>
      </c>
    </row>
    <row r="12" spans="2:6">
      <c r="B12" s="3" t="s">
        <v>18</v>
      </c>
      <c r="C12" s="6">
        <v>3.6999999999999998E-2</v>
      </c>
      <c r="E12" s="218"/>
      <c r="F12" s="218"/>
    </row>
    <row r="13" spans="2:6">
      <c r="B13" s="3" t="s">
        <v>19</v>
      </c>
      <c r="C13" s="4">
        <v>0.02</v>
      </c>
      <c r="E13" s="218"/>
      <c r="F13" s="218"/>
    </row>
    <row r="14" spans="2:6">
      <c r="B14" s="3" t="s">
        <v>20</v>
      </c>
      <c r="C14" s="4">
        <v>0.02</v>
      </c>
      <c r="E14" s="218"/>
      <c r="F14" s="218"/>
    </row>
    <row r="15" spans="2:6" ht="15.6">
      <c r="B15" s="3" t="s">
        <v>21</v>
      </c>
      <c r="C15" s="4">
        <v>0.01</v>
      </c>
      <c r="E15" s="219"/>
      <c r="F15" s="220"/>
    </row>
    <row r="16" spans="2: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E14:F14"/>
    <mergeCell ref="E15:F15"/>
    <mergeCell ref="B2:C2"/>
    <mergeCell ref="E2:F2"/>
    <mergeCell ref="B8:C8"/>
    <mergeCell ref="E12:F12"/>
    <mergeCell ref="E13:F13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O126"/>
  <sheetViews>
    <sheetView showGridLines="0" workbookViewId="0">
      <pane ySplit="1" topLeftCell="A17" activePane="bottomLeft" state="frozen"/>
      <selection pane="bottomLeft" activeCell="H14" sqref="H14"/>
    </sheetView>
  </sheetViews>
  <sheetFormatPr defaultColWidth="8.796875" defaultRowHeight="15"/>
  <cols>
    <col min="1" max="1" width="14.296875" style="7" customWidth="1"/>
    <col min="2" max="2" width="21.296875" style="7" customWidth="1"/>
    <col min="3" max="3" width="4.5" style="7" customWidth="1"/>
    <col min="4" max="4" width="22.296875" style="7" customWidth="1"/>
    <col min="5" max="5" width="7.796875" style="18" bestFit="1" customWidth="1"/>
    <col min="6" max="7" width="8.796875" style="7"/>
    <col min="8" max="8" width="12.19921875" style="9" bestFit="1" customWidth="1"/>
    <col min="9" max="10" width="11.19921875" style="9" bestFit="1" customWidth="1"/>
    <col min="11" max="11" width="8.796875" style="9"/>
    <col min="12" max="12" width="12.19921875" style="9" bestFit="1" customWidth="1"/>
    <col min="13" max="14" width="10.69921875" style="7" bestFit="1" customWidth="1"/>
    <col min="15" max="16384" width="8.796875" style="7"/>
  </cols>
  <sheetData>
    <row r="1" spans="1:15" ht="15.6">
      <c r="A1" s="19" t="s">
        <v>67</v>
      </c>
      <c r="B1" s="224" t="s">
        <v>76</v>
      </c>
      <c r="C1" s="224"/>
      <c r="D1" s="224"/>
      <c r="E1" s="20" t="s">
        <v>68</v>
      </c>
      <c r="H1" s="8"/>
      <c r="I1" s="8"/>
      <c r="J1" s="8"/>
    </row>
    <row r="2" spans="1:15">
      <c r="A2" s="10" t="s">
        <v>64</v>
      </c>
      <c r="B2" s="11">
        <v>0</v>
      </c>
      <c r="C2" s="12" t="s">
        <v>74</v>
      </c>
      <c r="D2" s="11">
        <v>5400000</v>
      </c>
      <c r="E2" s="17">
        <v>0</v>
      </c>
      <c r="F2" s="13"/>
    </row>
    <row r="3" spans="1:15">
      <c r="A3" s="10" t="s">
        <v>64</v>
      </c>
      <c r="B3" s="11">
        <f>D2+0.00001</f>
        <v>5400000.0000099996</v>
      </c>
      <c r="C3" s="12" t="s">
        <v>74</v>
      </c>
      <c r="D3" s="11">
        <v>5650000</v>
      </c>
      <c r="E3" s="17">
        <v>2.5000000000000001E-3</v>
      </c>
      <c r="F3" s="14"/>
    </row>
    <row r="4" spans="1:15">
      <c r="A4" s="10" t="s">
        <v>64</v>
      </c>
      <c r="B4" s="11">
        <f t="shared" ref="B4:B45" si="0">D3+0.00001</f>
        <v>5650000.0000099996</v>
      </c>
      <c r="C4" s="12" t="s">
        <v>74</v>
      </c>
      <c r="D4" s="11">
        <v>5950000</v>
      </c>
      <c r="E4" s="17">
        <v>5.0000000000000001E-3</v>
      </c>
      <c r="F4" s="14"/>
    </row>
    <row r="5" spans="1:15">
      <c r="A5" s="10" t="s">
        <v>64</v>
      </c>
      <c r="B5" s="11">
        <f t="shared" si="0"/>
        <v>5950000.0000099996</v>
      </c>
      <c r="C5" s="12" t="s">
        <v>74</v>
      </c>
      <c r="D5" s="11">
        <v>6300000</v>
      </c>
      <c r="E5" s="17">
        <v>7.4999999999999997E-3</v>
      </c>
      <c r="F5" s="14"/>
    </row>
    <row r="6" spans="1:15">
      <c r="A6" s="10" t="s">
        <v>64</v>
      </c>
      <c r="B6" s="11">
        <f t="shared" si="0"/>
        <v>6300000.0000099996</v>
      </c>
      <c r="C6" s="12" t="s">
        <v>74</v>
      </c>
      <c r="D6" s="11">
        <v>6750000</v>
      </c>
      <c r="E6" s="17">
        <v>0.01</v>
      </c>
      <c r="F6" s="13"/>
    </row>
    <row r="7" spans="1:15">
      <c r="A7" s="10" t="s">
        <v>64</v>
      </c>
      <c r="B7" s="11">
        <f t="shared" si="0"/>
        <v>6750000.0000099996</v>
      </c>
      <c r="C7" s="12" t="s">
        <v>74</v>
      </c>
      <c r="D7" s="11">
        <v>7500000</v>
      </c>
      <c r="E7" s="17">
        <v>1.2500000000000001E-2</v>
      </c>
      <c r="F7" s="14"/>
    </row>
    <row r="8" spans="1:15">
      <c r="A8" s="10" t="s">
        <v>64</v>
      </c>
      <c r="B8" s="11">
        <f t="shared" si="0"/>
        <v>7500000.0000099996</v>
      </c>
      <c r="C8" s="12" t="s">
        <v>74</v>
      </c>
      <c r="D8" s="11">
        <v>8550000</v>
      </c>
      <c r="E8" s="17">
        <v>1.4999999999999999E-2</v>
      </c>
      <c r="F8" s="14"/>
    </row>
    <row r="9" spans="1:15">
      <c r="A9" s="10" t="s">
        <v>64</v>
      </c>
      <c r="B9" s="11">
        <f t="shared" si="0"/>
        <v>8550000.0000100005</v>
      </c>
      <c r="C9" s="12" t="s">
        <v>74</v>
      </c>
      <c r="D9" s="11">
        <v>9650000</v>
      </c>
      <c r="E9" s="17">
        <v>1.7500000000000002E-2</v>
      </c>
      <c r="F9" s="14"/>
    </row>
    <row r="10" spans="1:15" ht="15.6">
      <c r="A10" s="10" t="s">
        <v>64</v>
      </c>
      <c r="B10" s="11">
        <f t="shared" si="0"/>
        <v>9650000.0000100005</v>
      </c>
      <c r="C10" s="12" t="s">
        <v>74</v>
      </c>
      <c r="D10" s="11">
        <v>10050000</v>
      </c>
      <c r="E10" s="17">
        <v>0.02</v>
      </c>
      <c r="F10" s="13"/>
      <c r="H10" s="8"/>
      <c r="I10" s="8"/>
      <c r="J10" s="8"/>
    </row>
    <row r="11" spans="1:15">
      <c r="A11" s="10" t="s">
        <v>64</v>
      </c>
      <c r="B11" s="11">
        <f t="shared" si="0"/>
        <v>10050000.000010001</v>
      </c>
      <c r="C11" s="12" t="s">
        <v>74</v>
      </c>
      <c r="D11" s="11">
        <v>10350000</v>
      </c>
      <c r="E11" s="17">
        <v>2.2499999999999999E-2</v>
      </c>
      <c r="F11" s="14"/>
    </row>
    <row r="12" spans="1:15">
      <c r="A12" s="10" t="s">
        <v>64</v>
      </c>
      <c r="B12" s="11">
        <f t="shared" si="0"/>
        <v>10350000.000010001</v>
      </c>
      <c r="C12" s="12" t="s">
        <v>74</v>
      </c>
      <c r="D12" s="11">
        <v>10700000</v>
      </c>
      <c r="E12" s="17">
        <v>2.5000000000000001E-2</v>
      </c>
      <c r="F12" s="14"/>
    </row>
    <row r="13" spans="1:15">
      <c r="A13" s="10" t="s">
        <v>64</v>
      </c>
      <c r="B13" s="11">
        <f t="shared" si="0"/>
        <v>10700000.000010001</v>
      </c>
      <c r="C13" s="12" t="s">
        <v>74</v>
      </c>
      <c r="D13" s="11">
        <v>11050000</v>
      </c>
      <c r="E13" s="17">
        <v>0.03</v>
      </c>
      <c r="F13" s="13"/>
    </row>
    <row r="14" spans="1:15">
      <c r="A14" s="10" t="s">
        <v>64</v>
      </c>
      <c r="B14" s="11">
        <f t="shared" si="0"/>
        <v>11050000.000010001</v>
      </c>
      <c r="C14" s="12" t="s">
        <v>74</v>
      </c>
      <c r="D14" s="11">
        <v>11600000</v>
      </c>
      <c r="E14" s="17">
        <v>3.5000000000000003E-2</v>
      </c>
      <c r="F14" s="14"/>
    </row>
    <row r="15" spans="1:15">
      <c r="A15" s="10" t="s">
        <v>64</v>
      </c>
      <c r="B15" s="11">
        <f t="shared" si="0"/>
        <v>11600000.000010001</v>
      </c>
      <c r="C15" s="12" t="s">
        <v>74</v>
      </c>
      <c r="D15" s="11">
        <v>12500000</v>
      </c>
      <c r="E15" s="17">
        <v>0.04</v>
      </c>
      <c r="F15" s="13"/>
      <c r="M15" s="9"/>
      <c r="N15" s="9"/>
      <c r="O15" s="9"/>
    </row>
    <row r="16" spans="1:15">
      <c r="A16" s="10" t="s">
        <v>64</v>
      </c>
      <c r="B16" s="11">
        <f t="shared" si="0"/>
        <v>12500000.000010001</v>
      </c>
      <c r="C16" s="12" t="s">
        <v>74</v>
      </c>
      <c r="D16" s="11">
        <v>13750000</v>
      </c>
      <c r="E16" s="17">
        <v>0.05</v>
      </c>
      <c r="F16" s="13"/>
      <c r="M16" s="9"/>
      <c r="N16" s="9"/>
      <c r="O16" s="9"/>
    </row>
    <row r="17" spans="1:15">
      <c r="A17" s="10" t="s">
        <v>64</v>
      </c>
      <c r="B17" s="11">
        <f t="shared" si="0"/>
        <v>13750000.000010001</v>
      </c>
      <c r="C17" s="12" t="s">
        <v>74</v>
      </c>
      <c r="D17" s="11">
        <v>15100000</v>
      </c>
      <c r="E17" s="17">
        <v>0.06</v>
      </c>
      <c r="F17" s="13"/>
      <c r="M17" s="9"/>
      <c r="N17" s="9"/>
      <c r="O17" s="9"/>
    </row>
    <row r="18" spans="1:15">
      <c r="A18" s="10" t="s">
        <v>64</v>
      </c>
      <c r="B18" s="11">
        <f t="shared" si="0"/>
        <v>15100000.000010001</v>
      </c>
      <c r="C18" s="12" t="s">
        <v>74</v>
      </c>
      <c r="D18" s="11">
        <v>16950000</v>
      </c>
      <c r="E18" s="17">
        <v>7.0000000000000007E-2</v>
      </c>
      <c r="F18" s="13"/>
      <c r="M18" s="9"/>
      <c r="N18" s="9"/>
      <c r="O18" s="9"/>
    </row>
    <row r="19" spans="1:15">
      <c r="A19" s="10" t="s">
        <v>64</v>
      </c>
      <c r="B19" s="11">
        <f t="shared" si="0"/>
        <v>16950000.000009999</v>
      </c>
      <c r="C19" s="12" t="s">
        <v>74</v>
      </c>
      <c r="D19" s="11">
        <v>19750000</v>
      </c>
      <c r="E19" s="17">
        <v>0.08</v>
      </c>
      <c r="F19" s="13"/>
      <c r="M19" s="9"/>
      <c r="N19" s="9"/>
      <c r="O19" s="9"/>
    </row>
    <row r="20" spans="1:15">
      <c r="A20" s="10" t="s">
        <v>64</v>
      </c>
      <c r="B20" s="11">
        <f t="shared" si="0"/>
        <v>19750000.000009999</v>
      </c>
      <c r="C20" s="12" t="s">
        <v>74</v>
      </c>
      <c r="D20" s="11">
        <v>24150000</v>
      </c>
      <c r="E20" s="17">
        <v>0.09</v>
      </c>
      <c r="F20" s="13"/>
      <c r="M20" s="9"/>
      <c r="N20" s="9"/>
      <c r="O20" s="9"/>
    </row>
    <row r="21" spans="1:15">
      <c r="A21" s="10" t="s">
        <v>64</v>
      </c>
      <c r="B21" s="11">
        <f t="shared" si="0"/>
        <v>24150000.000009999</v>
      </c>
      <c r="C21" s="12" t="s">
        <v>74</v>
      </c>
      <c r="D21" s="11">
        <v>26450000</v>
      </c>
      <c r="E21" s="17">
        <v>0.1</v>
      </c>
      <c r="F21" s="13"/>
      <c r="M21" s="9"/>
      <c r="N21" s="9"/>
      <c r="O21" s="9"/>
    </row>
    <row r="22" spans="1:15">
      <c r="A22" s="10" t="s">
        <v>64</v>
      </c>
      <c r="B22" s="11">
        <f t="shared" si="0"/>
        <v>26450000.000009999</v>
      </c>
      <c r="C22" s="12" t="s">
        <v>74</v>
      </c>
      <c r="D22" s="11">
        <v>28000000</v>
      </c>
      <c r="E22" s="17">
        <v>0.11</v>
      </c>
      <c r="F22" s="13"/>
      <c r="M22" s="9"/>
      <c r="N22" s="9"/>
      <c r="O22" s="9"/>
    </row>
    <row r="23" spans="1:15">
      <c r="A23" s="10" t="s">
        <v>64</v>
      </c>
      <c r="B23" s="11">
        <f t="shared" si="0"/>
        <v>28000000.000009999</v>
      </c>
      <c r="C23" s="12" t="s">
        <v>74</v>
      </c>
      <c r="D23" s="11">
        <v>30050000</v>
      </c>
      <c r="E23" s="17">
        <v>0.12</v>
      </c>
      <c r="F23" s="13"/>
      <c r="M23" s="9"/>
      <c r="N23" s="9"/>
      <c r="O23" s="9"/>
    </row>
    <row r="24" spans="1:15">
      <c r="A24" s="10" t="s">
        <v>64</v>
      </c>
      <c r="B24" s="11">
        <f t="shared" si="0"/>
        <v>30050000.000009999</v>
      </c>
      <c r="C24" s="12" t="s">
        <v>74</v>
      </c>
      <c r="D24" s="11">
        <v>32400000</v>
      </c>
      <c r="E24" s="17">
        <v>0.13</v>
      </c>
      <c r="F24" s="13"/>
      <c r="M24" s="9"/>
      <c r="N24" s="9"/>
      <c r="O24" s="9"/>
    </row>
    <row r="25" spans="1:15">
      <c r="A25" s="10" t="s">
        <v>64</v>
      </c>
      <c r="B25" s="11">
        <f t="shared" si="0"/>
        <v>32400000.000009999</v>
      </c>
      <c r="C25" s="12" t="s">
        <v>74</v>
      </c>
      <c r="D25" s="11">
        <v>35400000</v>
      </c>
      <c r="E25" s="17">
        <v>0.14000000000000001</v>
      </c>
      <c r="F25" s="13"/>
    </row>
    <row r="26" spans="1:15">
      <c r="A26" s="10" t="s">
        <v>64</v>
      </c>
      <c r="B26" s="11">
        <f t="shared" si="0"/>
        <v>35400000.000009999</v>
      </c>
      <c r="C26" s="12" t="s">
        <v>74</v>
      </c>
      <c r="D26" s="11">
        <v>39100000</v>
      </c>
      <c r="E26" s="17">
        <v>0.15</v>
      </c>
      <c r="F26" s="13"/>
    </row>
    <row r="27" spans="1:15">
      <c r="A27" s="10" t="s">
        <v>64</v>
      </c>
      <c r="B27" s="11">
        <f t="shared" si="0"/>
        <v>39100000.000009999</v>
      </c>
      <c r="C27" s="12" t="s">
        <v>74</v>
      </c>
      <c r="D27" s="11">
        <v>43850000</v>
      </c>
      <c r="E27" s="17">
        <v>0.16</v>
      </c>
      <c r="F27" s="13"/>
    </row>
    <row r="28" spans="1:15">
      <c r="A28" s="10" t="s">
        <v>64</v>
      </c>
      <c r="B28" s="11">
        <f t="shared" si="0"/>
        <v>43850000.000009999</v>
      </c>
      <c r="C28" s="12" t="s">
        <v>74</v>
      </c>
      <c r="D28" s="11">
        <v>47800000</v>
      </c>
      <c r="E28" s="17">
        <v>0.17</v>
      </c>
      <c r="F28" s="13"/>
    </row>
    <row r="29" spans="1:15">
      <c r="A29" s="10" t="s">
        <v>64</v>
      </c>
      <c r="B29" s="11">
        <f t="shared" si="0"/>
        <v>47800000.000009999</v>
      </c>
      <c r="C29" s="12" t="s">
        <v>74</v>
      </c>
      <c r="D29" s="11">
        <v>51400000</v>
      </c>
      <c r="E29" s="17">
        <v>0.18</v>
      </c>
      <c r="F29" s="13"/>
    </row>
    <row r="30" spans="1:15">
      <c r="A30" s="10" t="s">
        <v>64</v>
      </c>
      <c r="B30" s="11">
        <f t="shared" si="0"/>
        <v>51400000.000009999</v>
      </c>
      <c r="C30" s="12" t="s">
        <v>74</v>
      </c>
      <c r="D30" s="11">
        <v>56300000</v>
      </c>
      <c r="E30" s="17">
        <v>0.19</v>
      </c>
      <c r="F30" s="13"/>
    </row>
    <row r="31" spans="1:15">
      <c r="A31" s="10" t="s">
        <v>64</v>
      </c>
      <c r="B31" s="11">
        <f t="shared" si="0"/>
        <v>56300000.000009999</v>
      </c>
      <c r="C31" s="12" t="s">
        <v>74</v>
      </c>
      <c r="D31" s="11">
        <v>62200000</v>
      </c>
      <c r="E31" s="17">
        <v>0.2</v>
      </c>
      <c r="F31" s="13"/>
    </row>
    <row r="32" spans="1:15">
      <c r="A32" s="10" t="s">
        <v>64</v>
      </c>
      <c r="B32" s="11">
        <f t="shared" si="0"/>
        <v>62200000.000009999</v>
      </c>
      <c r="C32" s="12" t="s">
        <v>74</v>
      </c>
      <c r="D32" s="11">
        <v>68600000</v>
      </c>
      <c r="E32" s="17">
        <v>0.21</v>
      </c>
      <c r="F32" s="13"/>
    </row>
    <row r="33" spans="1:6">
      <c r="A33" s="10" t="s">
        <v>64</v>
      </c>
      <c r="B33" s="11">
        <f t="shared" si="0"/>
        <v>68600000.000009999</v>
      </c>
      <c r="C33" s="12" t="s">
        <v>74</v>
      </c>
      <c r="D33" s="11">
        <v>77500000</v>
      </c>
      <c r="E33" s="17">
        <v>0.22</v>
      </c>
      <c r="F33" s="13"/>
    </row>
    <row r="34" spans="1:6">
      <c r="A34" s="10" t="s">
        <v>64</v>
      </c>
      <c r="B34" s="11">
        <f t="shared" si="0"/>
        <v>77500000.000009999</v>
      </c>
      <c r="C34" s="12" t="s">
        <v>74</v>
      </c>
      <c r="D34" s="11">
        <v>89000000</v>
      </c>
      <c r="E34" s="17">
        <v>0.23</v>
      </c>
      <c r="F34" s="13"/>
    </row>
    <row r="35" spans="1:6">
      <c r="A35" s="10" t="s">
        <v>64</v>
      </c>
      <c r="B35" s="11">
        <f t="shared" si="0"/>
        <v>89000000.000009999</v>
      </c>
      <c r="C35" s="12" t="s">
        <v>74</v>
      </c>
      <c r="D35" s="11">
        <v>103000000</v>
      </c>
      <c r="E35" s="17">
        <v>0.24</v>
      </c>
      <c r="F35" s="13"/>
    </row>
    <row r="36" spans="1:6">
      <c r="A36" s="10" t="s">
        <v>64</v>
      </c>
      <c r="B36" s="11">
        <f t="shared" si="0"/>
        <v>103000000.00001</v>
      </c>
      <c r="C36" s="12" t="s">
        <v>74</v>
      </c>
      <c r="D36" s="11">
        <v>125000000</v>
      </c>
      <c r="E36" s="17">
        <v>0.25</v>
      </c>
      <c r="F36" s="13"/>
    </row>
    <row r="37" spans="1:6">
      <c r="A37" s="10" t="s">
        <v>64</v>
      </c>
      <c r="B37" s="11">
        <f t="shared" si="0"/>
        <v>125000000.00001</v>
      </c>
      <c r="C37" s="12" t="s">
        <v>74</v>
      </c>
      <c r="D37" s="11">
        <v>157000000</v>
      </c>
      <c r="E37" s="17">
        <v>0.26</v>
      </c>
      <c r="F37" s="13"/>
    </row>
    <row r="38" spans="1:6">
      <c r="A38" s="10" t="s">
        <v>64</v>
      </c>
      <c r="B38" s="11">
        <f t="shared" si="0"/>
        <v>157000000.00001001</v>
      </c>
      <c r="C38" s="12" t="s">
        <v>74</v>
      </c>
      <c r="D38" s="11">
        <v>206000000</v>
      </c>
      <c r="E38" s="17">
        <v>0.27</v>
      </c>
      <c r="F38" s="13"/>
    </row>
    <row r="39" spans="1:6">
      <c r="A39" s="10" t="s">
        <v>64</v>
      </c>
      <c r="B39" s="11">
        <f t="shared" si="0"/>
        <v>206000000.00001001</v>
      </c>
      <c r="C39" s="12" t="s">
        <v>74</v>
      </c>
      <c r="D39" s="11">
        <v>337000000</v>
      </c>
      <c r="E39" s="17">
        <v>0.28000000000000003</v>
      </c>
      <c r="F39" s="13"/>
    </row>
    <row r="40" spans="1:6">
      <c r="A40" s="10" t="s">
        <v>64</v>
      </c>
      <c r="B40" s="11">
        <f t="shared" si="0"/>
        <v>337000000.00001001</v>
      </c>
      <c r="C40" s="12" t="s">
        <v>74</v>
      </c>
      <c r="D40" s="11">
        <v>454000000</v>
      </c>
      <c r="E40" s="17">
        <v>0.28999999999999998</v>
      </c>
      <c r="F40" s="13"/>
    </row>
    <row r="41" spans="1:6">
      <c r="A41" s="10" t="s">
        <v>64</v>
      </c>
      <c r="B41" s="11">
        <f t="shared" si="0"/>
        <v>454000000.00001001</v>
      </c>
      <c r="C41" s="12" t="s">
        <v>74</v>
      </c>
      <c r="D41" s="11">
        <v>550000000</v>
      </c>
      <c r="E41" s="17">
        <v>0.3</v>
      </c>
      <c r="F41" s="13"/>
    </row>
    <row r="42" spans="1:6">
      <c r="A42" s="10" t="s">
        <v>64</v>
      </c>
      <c r="B42" s="11">
        <f t="shared" si="0"/>
        <v>550000000.00001001</v>
      </c>
      <c r="C42" s="12" t="s">
        <v>74</v>
      </c>
      <c r="D42" s="11">
        <v>695000000</v>
      </c>
      <c r="E42" s="17">
        <v>0.31</v>
      </c>
      <c r="F42" s="13"/>
    </row>
    <row r="43" spans="1:6">
      <c r="A43" s="10" t="s">
        <v>64</v>
      </c>
      <c r="B43" s="11">
        <f t="shared" si="0"/>
        <v>695000000.00001001</v>
      </c>
      <c r="C43" s="12" t="s">
        <v>74</v>
      </c>
      <c r="D43" s="11">
        <v>910000000</v>
      </c>
      <c r="E43" s="17">
        <v>0.32</v>
      </c>
      <c r="F43" s="13"/>
    </row>
    <row r="44" spans="1:6">
      <c r="A44" s="10" t="s">
        <v>64</v>
      </c>
      <c r="B44" s="11">
        <f t="shared" si="0"/>
        <v>910000000.00001001</v>
      </c>
      <c r="C44" s="12" t="s">
        <v>74</v>
      </c>
      <c r="D44" s="11">
        <v>1400000000</v>
      </c>
      <c r="E44" s="17">
        <v>0.33</v>
      </c>
      <c r="F44" s="13"/>
    </row>
    <row r="45" spans="1:6">
      <c r="A45" s="10" t="s">
        <v>64</v>
      </c>
      <c r="B45" s="11">
        <f t="shared" si="0"/>
        <v>1400000000.00001</v>
      </c>
      <c r="C45" s="15"/>
      <c r="D45" s="15">
        <f>D85</f>
        <v>999999999999999</v>
      </c>
      <c r="E45" s="17">
        <v>0.34</v>
      </c>
      <c r="F45" s="13"/>
    </row>
    <row r="46" spans="1:6">
      <c r="A46" s="10" t="s">
        <v>65</v>
      </c>
      <c r="B46" s="11">
        <v>0</v>
      </c>
      <c r="C46" s="12" t="s">
        <v>74</v>
      </c>
      <c r="D46" s="11">
        <v>6200000</v>
      </c>
      <c r="E46" s="17">
        <v>0</v>
      </c>
      <c r="F46" s="13"/>
    </row>
    <row r="47" spans="1:6">
      <c r="A47" s="10" t="s">
        <v>65</v>
      </c>
      <c r="B47" s="11">
        <f>D46+0.0001</f>
        <v>6200000.0000999998</v>
      </c>
      <c r="C47" s="12" t="s">
        <v>74</v>
      </c>
      <c r="D47" s="11">
        <v>6500000</v>
      </c>
      <c r="E47" s="17">
        <v>2.5000000000000001E-3</v>
      </c>
      <c r="F47" s="14"/>
    </row>
    <row r="48" spans="1:6">
      <c r="A48" s="10" t="s">
        <v>65</v>
      </c>
      <c r="B48" s="11">
        <f t="shared" ref="B48:B85" si="1">D47+0.0001</f>
        <v>6500000.0000999998</v>
      </c>
      <c r="C48" s="12" t="s">
        <v>74</v>
      </c>
      <c r="D48" s="11">
        <v>6850000</v>
      </c>
      <c r="E48" s="17">
        <v>5.0000000000000001E-3</v>
      </c>
      <c r="F48" s="14"/>
    </row>
    <row r="49" spans="1:6">
      <c r="A49" s="10" t="s">
        <v>65</v>
      </c>
      <c r="B49" s="11">
        <f t="shared" si="1"/>
        <v>6850000.0000999998</v>
      </c>
      <c r="C49" s="12" t="s">
        <v>74</v>
      </c>
      <c r="D49" s="11">
        <v>7300000</v>
      </c>
      <c r="E49" s="17">
        <v>7.4999999999999997E-3</v>
      </c>
      <c r="F49" s="14"/>
    </row>
    <row r="50" spans="1:6">
      <c r="A50" s="10" t="s">
        <v>65</v>
      </c>
      <c r="B50" s="11">
        <f t="shared" si="1"/>
        <v>7300000.0000999998</v>
      </c>
      <c r="C50" s="12" t="s">
        <v>74</v>
      </c>
      <c r="D50" s="11">
        <v>9200000</v>
      </c>
      <c r="E50" s="17">
        <v>0.01</v>
      </c>
      <c r="F50" s="13"/>
    </row>
    <row r="51" spans="1:6">
      <c r="A51" s="10" t="s">
        <v>65</v>
      </c>
      <c r="B51" s="11">
        <f t="shared" si="1"/>
        <v>9200000.0000999998</v>
      </c>
      <c r="C51" s="12" t="s">
        <v>74</v>
      </c>
      <c r="D51" s="11">
        <v>10750000</v>
      </c>
      <c r="E51" s="17">
        <v>1.4999999999999999E-2</v>
      </c>
      <c r="F51" s="14"/>
    </row>
    <row r="52" spans="1:6">
      <c r="A52" s="10" t="s">
        <v>65</v>
      </c>
      <c r="B52" s="11">
        <f t="shared" si="1"/>
        <v>10750000.0001</v>
      </c>
      <c r="C52" s="12" t="s">
        <v>74</v>
      </c>
      <c r="D52" s="11">
        <v>11250000</v>
      </c>
      <c r="E52" s="17">
        <v>0.02</v>
      </c>
      <c r="F52" s="13"/>
    </row>
    <row r="53" spans="1:6">
      <c r="A53" s="10" t="s">
        <v>65</v>
      </c>
      <c r="B53" s="11">
        <f t="shared" si="1"/>
        <v>11250000.0001</v>
      </c>
      <c r="C53" s="12" t="s">
        <v>74</v>
      </c>
      <c r="D53" s="11">
        <v>11600000</v>
      </c>
      <c r="E53" s="17">
        <v>2.5000000000000001E-2</v>
      </c>
      <c r="F53" s="14"/>
    </row>
    <row r="54" spans="1:6">
      <c r="A54" s="10" t="s">
        <v>65</v>
      </c>
      <c r="B54" s="11">
        <f t="shared" si="1"/>
        <v>11600000.0001</v>
      </c>
      <c r="C54" s="12" t="s">
        <v>74</v>
      </c>
      <c r="D54" s="11">
        <v>12600000</v>
      </c>
      <c r="E54" s="17">
        <v>0.03</v>
      </c>
      <c r="F54" s="13"/>
    </row>
    <row r="55" spans="1:6">
      <c r="A55" s="10" t="s">
        <v>65</v>
      </c>
      <c r="B55" s="11">
        <f t="shared" si="1"/>
        <v>12600000.0001</v>
      </c>
      <c r="C55" s="12" t="s">
        <v>74</v>
      </c>
      <c r="D55" s="11">
        <v>13600000</v>
      </c>
      <c r="E55" s="17">
        <v>0.04</v>
      </c>
      <c r="F55" s="13"/>
    </row>
    <row r="56" spans="1:6">
      <c r="A56" s="10" t="s">
        <v>65</v>
      </c>
      <c r="B56" s="11">
        <f t="shared" si="1"/>
        <v>13600000.0001</v>
      </c>
      <c r="C56" s="12" t="s">
        <v>74</v>
      </c>
      <c r="D56" s="11">
        <v>14950000</v>
      </c>
      <c r="E56" s="17">
        <v>0.05</v>
      </c>
      <c r="F56" s="13"/>
    </row>
    <row r="57" spans="1:6">
      <c r="A57" s="10" t="s">
        <v>65</v>
      </c>
      <c r="B57" s="11">
        <f t="shared" si="1"/>
        <v>14950000.0001</v>
      </c>
      <c r="C57" s="12" t="s">
        <v>74</v>
      </c>
      <c r="D57" s="11">
        <v>16400000</v>
      </c>
      <c r="E57" s="17">
        <v>0.06</v>
      </c>
      <c r="F57" s="13"/>
    </row>
    <row r="58" spans="1:6">
      <c r="A58" s="10" t="s">
        <v>65</v>
      </c>
      <c r="B58" s="11">
        <f t="shared" si="1"/>
        <v>16400000.0001</v>
      </c>
      <c r="C58" s="12" t="s">
        <v>74</v>
      </c>
      <c r="D58" s="11">
        <v>18450000</v>
      </c>
      <c r="E58" s="17">
        <v>7.0000000000000007E-2</v>
      </c>
      <c r="F58" s="13"/>
    </row>
    <row r="59" spans="1:6">
      <c r="A59" s="10" t="s">
        <v>65</v>
      </c>
      <c r="B59" s="11">
        <f t="shared" si="1"/>
        <v>18450000.000100002</v>
      </c>
      <c r="C59" s="12" t="s">
        <v>74</v>
      </c>
      <c r="D59" s="11">
        <v>21850000</v>
      </c>
      <c r="E59" s="17">
        <v>0.08</v>
      </c>
      <c r="F59" s="13"/>
    </row>
    <row r="60" spans="1:6">
      <c r="A60" s="10" t="s">
        <v>65</v>
      </c>
      <c r="B60" s="11">
        <f t="shared" si="1"/>
        <v>21850000.000100002</v>
      </c>
      <c r="C60" s="12" t="s">
        <v>74</v>
      </c>
      <c r="D60" s="11">
        <v>26000000</v>
      </c>
      <c r="E60" s="17">
        <v>0.09</v>
      </c>
      <c r="F60" s="13"/>
    </row>
    <row r="61" spans="1:6">
      <c r="A61" s="10" t="s">
        <v>65</v>
      </c>
      <c r="B61" s="11">
        <f t="shared" si="1"/>
        <v>26000000.000100002</v>
      </c>
      <c r="C61" s="12" t="s">
        <v>74</v>
      </c>
      <c r="D61" s="11">
        <v>27700000</v>
      </c>
      <c r="E61" s="17">
        <v>0.1</v>
      </c>
      <c r="F61" s="13"/>
    </row>
    <row r="62" spans="1:6">
      <c r="A62" s="10" t="s">
        <v>65</v>
      </c>
      <c r="B62" s="11">
        <f t="shared" si="1"/>
        <v>27700000.000100002</v>
      </c>
      <c r="C62" s="12" t="s">
        <v>74</v>
      </c>
      <c r="D62" s="11">
        <v>29350000</v>
      </c>
      <c r="E62" s="17">
        <v>0.11</v>
      </c>
      <c r="F62" s="13"/>
    </row>
    <row r="63" spans="1:6">
      <c r="A63" s="10" t="s">
        <v>65</v>
      </c>
      <c r="B63" s="11">
        <f t="shared" si="1"/>
        <v>29350000.000100002</v>
      </c>
      <c r="C63" s="12" t="s">
        <v>74</v>
      </c>
      <c r="D63" s="11">
        <v>31450000</v>
      </c>
      <c r="E63" s="17">
        <v>0.12</v>
      </c>
      <c r="F63" s="13"/>
    </row>
    <row r="64" spans="1:6">
      <c r="A64" s="10" t="s">
        <v>65</v>
      </c>
      <c r="B64" s="11">
        <f t="shared" si="1"/>
        <v>31450000.000100002</v>
      </c>
      <c r="C64" s="12" t="s">
        <v>74</v>
      </c>
      <c r="D64" s="11">
        <v>33950000</v>
      </c>
      <c r="E64" s="17">
        <v>0.13</v>
      </c>
      <c r="F64" s="13"/>
    </row>
    <row r="65" spans="1:6">
      <c r="A65" s="10" t="s">
        <v>65</v>
      </c>
      <c r="B65" s="11">
        <f t="shared" si="1"/>
        <v>33950000.000100002</v>
      </c>
      <c r="C65" s="12" t="s">
        <v>74</v>
      </c>
      <c r="D65" s="11">
        <v>37100000</v>
      </c>
      <c r="E65" s="17">
        <v>0.14000000000000001</v>
      </c>
      <c r="F65" s="13"/>
    </row>
    <row r="66" spans="1:6">
      <c r="A66" s="10" t="s">
        <v>65</v>
      </c>
      <c r="B66" s="11">
        <f t="shared" si="1"/>
        <v>37100000.000100002</v>
      </c>
      <c r="C66" s="12" t="s">
        <v>74</v>
      </c>
      <c r="D66" s="11">
        <v>41100000</v>
      </c>
      <c r="E66" s="17">
        <v>0.15</v>
      </c>
      <c r="F66" s="13"/>
    </row>
    <row r="67" spans="1:6">
      <c r="A67" s="10" t="s">
        <v>65</v>
      </c>
      <c r="B67" s="11">
        <f t="shared" si="1"/>
        <v>41100000.000100002</v>
      </c>
      <c r="C67" s="12" t="s">
        <v>74</v>
      </c>
      <c r="D67" s="11">
        <v>45800000</v>
      </c>
      <c r="E67" s="17">
        <v>0.16</v>
      </c>
      <c r="F67" s="13"/>
    </row>
    <row r="68" spans="1:6">
      <c r="A68" s="10" t="s">
        <v>65</v>
      </c>
      <c r="B68" s="11">
        <f t="shared" si="1"/>
        <v>45800000.000100002</v>
      </c>
      <c r="C68" s="12" t="s">
        <v>74</v>
      </c>
      <c r="D68" s="11">
        <v>49500000</v>
      </c>
      <c r="E68" s="17">
        <v>0.17</v>
      </c>
      <c r="F68" s="13"/>
    </row>
    <row r="69" spans="1:6">
      <c r="A69" s="10" t="s">
        <v>65</v>
      </c>
      <c r="B69" s="11">
        <f t="shared" si="1"/>
        <v>49500000.000100002</v>
      </c>
      <c r="C69" s="12" t="s">
        <v>74</v>
      </c>
      <c r="D69" s="11">
        <v>53800000</v>
      </c>
      <c r="E69" s="17">
        <v>0.18</v>
      </c>
      <c r="F69" s="13"/>
    </row>
    <row r="70" spans="1:6">
      <c r="A70" s="10" t="s">
        <v>65</v>
      </c>
      <c r="B70" s="11">
        <f t="shared" si="1"/>
        <v>53800000.000100002</v>
      </c>
      <c r="C70" s="12" t="s">
        <v>74</v>
      </c>
      <c r="D70" s="11">
        <v>58500000</v>
      </c>
      <c r="E70" s="17">
        <v>0.19</v>
      </c>
      <c r="F70" s="13"/>
    </row>
    <row r="71" spans="1:6">
      <c r="A71" s="10" t="s">
        <v>65</v>
      </c>
      <c r="B71" s="11">
        <f t="shared" si="1"/>
        <v>58500000.000100002</v>
      </c>
      <c r="C71" s="12" t="s">
        <v>74</v>
      </c>
      <c r="D71" s="11">
        <v>64000000</v>
      </c>
      <c r="E71" s="17">
        <v>0.2</v>
      </c>
      <c r="F71" s="13"/>
    </row>
    <row r="72" spans="1:6">
      <c r="A72" s="10" t="s">
        <v>65</v>
      </c>
      <c r="B72" s="11">
        <f t="shared" si="1"/>
        <v>64000000.000100002</v>
      </c>
      <c r="C72" s="12" t="s">
        <v>74</v>
      </c>
      <c r="D72" s="11">
        <v>71000000</v>
      </c>
      <c r="E72" s="17">
        <v>0.21</v>
      </c>
      <c r="F72" s="13"/>
    </row>
    <row r="73" spans="1:6">
      <c r="A73" s="10" t="s">
        <v>65</v>
      </c>
      <c r="B73" s="11">
        <f t="shared" si="1"/>
        <v>71000000.000100002</v>
      </c>
      <c r="C73" s="12" t="s">
        <v>74</v>
      </c>
      <c r="D73" s="11">
        <v>80000000</v>
      </c>
      <c r="E73" s="17">
        <v>0.22</v>
      </c>
      <c r="F73" s="13"/>
    </row>
    <row r="74" spans="1:6">
      <c r="A74" s="10" t="s">
        <v>65</v>
      </c>
      <c r="B74" s="11">
        <f t="shared" si="1"/>
        <v>80000000.000100002</v>
      </c>
      <c r="C74" s="12" t="s">
        <v>74</v>
      </c>
      <c r="D74" s="11">
        <v>93000000</v>
      </c>
      <c r="E74" s="17">
        <v>0.23</v>
      </c>
      <c r="F74" s="13"/>
    </row>
    <row r="75" spans="1:6">
      <c r="A75" s="10" t="s">
        <v>65</v>
      </c>
      <c r="B75" s="11">
        <f t="shared" si="1"/>
        <v>93000000.000100002</v>
      </c>
      <c r="C75" s="12" t="s">
        <v>74</v>
      </c>
      <c r="D75" s="11">
        <v>109000000</v>
      </c>
      <c r="E75" s="17">
        <v>0.24</v>
      </c>
      <c r="F75" s="13"/>
    </row>
    <row r="76" spans="1:6">
      <c r="A76" s="10" t="s">
        <v>65</v>
      </c>
      <c r="B76" s="11">
        <f t="shared" si="1"/>
        <v>109000000.0001</v>
      </c>
      <c r="C76" s="12" t="s">
        <v>74</v>
      </c>
      <c r="D76" s="11">
        <v>129000000</v>
      </c>
      <c r="E76" s="17">
        <v>0.25</v>
      </c>
      <c r="F76" s="13"/>
    </row>
    <row r="77" spans="1:6">
      <c r="A77" s="10" t="s">
        <v>65</v>
      </c>
      <c r="B77" s="11">
        <f t="shared" si="1"/>
        <v>129000000.0001</v>
      </c>
      <c r="C77" s="12" t="s">
        <v>74</v>
      </c>
      <c r="D77" s="11">
        <v>163000000</v>
      </c>
      <c r="E77" s="17">
        <v>0.26</v>
      </c>
      <c r="F77" s="13"/>
    </row>
    <row r="78" spans="1:6">
      <c r="A78" s="10" t="s">
        <v>65</v>
      </c>
      <c r="B78" s="11">
        <f t="shared" si="1"/>
        <v>163000000.00009999</v>
      </c>
      <c r="C78" s="12" t="s">
        <v>74</v>
      </c>
      <c r="D78" s="11">
        <v>211000000</v>
      </c>
      <c r="E78" s="17">
        <v>0.27</v>
      </c>
      <c r="F78" s="13"/>
    </row>
    <row r="79" spans="1:6">
      <c r="A79" s="10" t="s">
        <v>65</v>
      </c>
      <c r="B79" s="11">
        <f t="shared" si="1"/>
        <v>211000000.00009999</v>
      </c>
      <c r="C79" s="12" t="s">
        <v>74</v>
      </c>
      <c r="D79" s="11">
        <v>374000000</v>
      </c>
      <c r="E79" s="17">
        <v>0.28000000000000003</v>
      </c>
      <c r="F79" s="13"/>
    </row>
    <row r="80" spans="1:6">
      <c r="A80" s="10" t="s">
        <v>65</v>
      </c>
      <c r="B80" s="11">
        <f t="shared" si="1"/>
        <v>374000000.00010002</v>
      </c>
      <c r="C80" s="12" t="s">
        <v>74</v>
      </c>
      <c r="D80" s="11">
        <v>459000000</v>
      </c>
      <c r="E80" s="17">
        <v>0.28999999999999998</v>
      </c>
      <c r="F80" s="13"/>
    </row>
    <row r="81" spans="1:6">
      <c r="A81" s="10" t="s">
        <v>65</v>
      </c>
      <c r="B81" s="11">
        <f t="shared" si="1"/>
        <v>459000000.00010002</v>
      </c>
      <c r="C81" s="12" t="s">
        <v>74</v>
      </c>
      <c r="D81" s="11">
        <v>555000000</v>
      </c>
      <c r="E81" s="17">
        <v>0.3</v>
      </c>
      <c r="F81" s="13"/>
    </row>
    <row r="82" spans="1:6">
      <c r="A82" s="10" t="s">
        <v>65</v>
      </c>
      <c r="B82" s="11">
        <f t="shared" si="1"/>
        <v>555000000.00010002</v>
      </c>
      <c r="C82" s="12" t="s">
        <v>74</v>
      </c>
      <c r="D82" s="11">
        <v>704000000</v>
      </c>
      <c r="E82" s="17">
        <v>0.31</v>
      </c>
      <c r="F82" s="13"/>
    </row>
    <row r="83" spans="1:6">
      <c r="A83" s="10" t="s">
        <v>65</v>
      </c>
      <c r="B83" s="11">
        <f t="shared" si="1"/>
        <v>704000000.00010002</v>
      </c>
      <c r="C83" s="12" t="s">
        <v>74</v>
      </c>
      <c r="D83" s="11">
        <v>957000000</v>
      </c>
      <c r="E83" s="17">
        <v>0.32</v>
      </c>
      <c r="F83" s="13"/>
    </row>
    <row r="84" spans="1:6">
      <c r="A84" s="10" t="s">
        <v>65</v>
      </c>
      <c r="B84" s="11">
        <f t="shared" si="1"/>
        <v>957000000.00010002</v>
      </c>
      <c r="C84" s="12" t="s">
        <v>74</v>
      </c>
      <c r="D84" s="11">
        <v>1405000000</v>
      </c>
      <c r="E84" s="17">
        <v>0.33</v>
      </c>
      <c r="F84" s="13"/>
    </row>
    <row r="85" spans="1:6">
      <c r="A85" s="10" t="s">
        <v>65</v>
      </c>
      <c r="B85" s="11">
        <f t="shared" si="1"/>
        <v>1405000000.0000999</v>
      </c>
      <c r="C85" s="15"/>
      <c r="D85" s="15">
        <v>999999999999999</v>
      </c>
      <c r="E85" s="17">
        <v>0.34</v>
      </c>
      <c r="F85" s="13"/>
    </row>
    <row r="86" spans="1:6">
      <c r="A86" s="10" t="s">
        <v>66</v>
      </c>
      <c r="B86" s="11">
        <v>0</v>
      </c>
      <c r="C86" s="12" t="s">
        <v>74</v>
      </c>
      <c r="D86" s="11">
        <v>6600000</v>
      </c>
      <c r="E86" s="17">
        <v>0</v>
      </c>
      <c r="F86" s="13"/>
    </row>
    <row r="87" spans="1:6">
      <c r="A87" s="10" t="s">
        <v>66</v>
      </c>
      <c r="B87" s="11">
        <f>D86+0.00001</f>
        <v>6600000.0000099996</v>
      </c>
      <c r="C87" s="12" t="s">
        <v>74</v>
      </c>
      <c r="D87" s="11">
        <v>6950000</v>
      </c>
      <c r="E87" s="17">
        <v>2.5000000000000001E-3</v>
      </c>
      <c r="F87" s="14"/>
    </row>
    <row r="88" spans="1:6">
      <c r="A88" s="10" t="s">
        <v>66</v>
      </c>
      <c r="B88" s="11">
        <f t="shared" ref="B88:B126" si="2">D87+0.00001</f>
        <v>6950000.0000099996</v>
      </c>
      <c r="C88" s="12" t="s">
        <v>74</v>
      </c>
      <c r="D88" s="11">
        <v>7350000</v>
      </c>
      <c r="E88" s="17">
        <v>5.0000000000000001E-3</v>
      </c>
      <c r="F88" s="14"/>
    </row>
    <row r="89" spans="1:6">
      <c r="A89" s="10" t="s">
        <v>66</v>
      </c>
      <c r="B89" s="11">
        <f t="shared" si="2"/>
        <v>7350000.0000099996</v>
      </c>
      <c r="C89" s="12" t="s">
        <v>74</v>
      </c>
      <c r="D89" s="11">
        <v>7800000</v>
      </c>
      <c r="E89" s="17">
        <v>7.4999999999999997E-3</v>
      </c>
      <c r="F89" s="14"/>
    </row>
    <row r="90" spans="1:6">
      <c r="A90" s="10" t="s">
        <v>66</v>
      </c>
      <c r="B90" s="11">
        <f t="shared" si="2"/>
        <v>7800000.0000099996</v>
      </c>
      <c r="C90" s="12" t="s">
        <v>74</v>
      </c>
      <c r="D90" s="11">
        <v>8850000</v>
      </c>
      <c r="E90" s="17">
        <v>0.01</v>
      </c>
      <c r="F90" s="13"/>
    </row>
    <row r="91" spans="1:6">
      <c r="A91" s="10" t="s">
        <v>66</v>
      </c>
      <c r="B91" s="11">
        <f t="shared" si="2"/>
        <v>8850000.0000100005</v>
      </c>
      <c r="C91" s="12" t="s">
        <v>74</v>
      </c>
      <c r="D91" s="11">
        <v>9800000</v>
      </c>
      <c r="E91" s="17">
        <v>1.2500000000000001E-2</v>
      </c>
      <c r="F91" s="14"/>
    </row>
    <row r="92" spans="1:6">
      <c r="A92" s="10" t="s">
        <v>66</v>
      </c>
      <c r="B92" s="11">
        <f t="shared" si="2"/>
        <v>9800000.0000100005</v>
      </c>
      <c r="C92" s="12" t="s">
        <v>74</v>
      </c>
      <c r="D92" s="11">
        <v>10950000</v>
      </c>
      <c r="E92" s="17">
        <v>1.4999999999999999E-2</v>
      </c>
      <c r="F92" s="14"/>
    </row>
    <row r="93" spans="1:6">
      <c r="A93" s="10" t="s">
        <v>66</v>
      </c>
      <c r="B93" s="11">
        <f t="shared" si="2"/>
        <v>10950000.000010001</v>
      </c>
      <c r="C93" s="12" t="s">
        <v>74</v>
      </c>
      <c r="D93" s="11">
        <v>11200000</v>
      </c>
      <c r="E93" s="17">
        <v>1.7500000000000002E-2</v>
      </c>
      <c r="F93" s="14"/>
    </row>
    <row r="94" spans="1:6">
      <c r="A94" s="10" t="s">
        <v>66</v>
      </c>
      <c r="B94" s="11">
        <f t="shared" si="2"/>
        <v>11200000.000010001</v>
      </c>
      <c r="C94" s="12" t="s">
        <v>74</v>
      </c>
      <c r="D94" s="11">
        <v>12050000</v>
      </c>
      <c r="E94" s="17">
        <v>0.02</v>
      </c>
      <c r="F94" s="13"/>
    </row>
    <row r="95" spans="1:6">
      <c r="A95" s="10" t="s">
        <v>66</v>
      </c>
      <c r="B95" s="11">
        <f t="shared" si="2"/>
        <v>12050000.000010001</v>
      </c>
      <c r="C95" s="12" t="s">
        <v>74</v>
      </c>
      <c r="D95" s="11">
        <v>12950000</v>
      </c>
      <c r="E95" s="17">
        <v>0.03</v>
      </c>
      <c r="F95" s="13"/>
    </row>
    <row r="96" spans="1:6">
      <c r="A96" s="10" t="s">
        <v>66</v>
      </c>
      <c r="B96" s="11">
        <f t="shared" si="2"/>
        <v>12950000.000010001</v>
      </c>
      <c r="C96" s="12" t="s">
        <v>74</v>
      </c>
      <c r="D96" s="11">
        <v>14150000</v>
      </c>
      <c r="E96" s="17">
        <v>0.04</v>
      </c>
      <c r="F96" s="13"/>
    </row>
    <row r="97" spans="1:6">
      <c r="A97" s="10" t="s">
        <v>66</v>
      </c>
      <c r="B97" s="11">
        <f t="shared" si="2"/>
        <v>14150000.000010001</v>
      </c>
      <c r="C97" s="12" t="s">
        <v>74</v>
      </c>
      <c r="D97" s="11">
        <v>15550000</v>
      </c>
      <c r="E97" s="17">
        <v>0.05</v>
      </c>
      <c r="F97" s="13"/>
    </row>
    <row r="98" spans="1:6">
      <c r="A98" s="10" t="s">
        <v>66</v>
      </c>
      <c r="B98" s="11">
        <f t="shared" si="2"/>
        <v>15550000.000010001</v>
      </c>
      <c r="C98" s="12" t="s">
        <v>74</v>
      </c>
      <c r="D98" s="11">
        <v>17050000</v>
      </c>
      <c r="E98" s="17">
        <v>0.06</v>
      </c>
      <c r="F98" s="13"/>
    </row>
    <row r="99" spans="1:6">
      <c r="A99" s="10" t="s">
        <v>66</v>
      </c>
      <c r="B99" s="11">
        <f t="shared" si="2"/>
        <v>17050000.000009999</v>
      </c>
      <c r="C99" s="12" t="s">
        <v>74</v>
      </c>
      <c r="D99" s="11">
        <v>19500000</v>
      </c>
      <c r="E99" s="17">
        <v>7.0000000000000007E-2</v>
      </c>
      <c r="F99" s="13"/>
    </row>
    <row r="100" spans="1:6">
      <c r="A100" s="10" t="s">
        <v>66</v>
      </c>
      <c r="B100" s="11">
        <f t="shared" si="2"/>
        <v>19500000.000009999</v>
      </c>
      <c r="C100" s="12" t="s">
        <v>74</v>
      </c>
      <c r="D100" s="11">
        <v>22700000</v>
      </c>
      <c r="E100" s="17">
        <v>0.08</v>
      </c>
      <c r="F100" s="13"/>
    </row>
    <row r="101" spans="1:6">
      <c r="A101" s="10" t="s">
        <v>66</v>
      </c>
      <c r="B101" s="11">
        <f t="shared" si="2"/>
        <v>22700000.000009999</v>
      </c>
      <c r="C101" s="12" t="s">
        <v>74</v>
      </c>
      <c r="D101" s="11">
        <v>26600000</v>
      </c>
      <c r="E101" s="17">
        <v>0.09</v>
      </c>
      <c r="F101" s="13"/>
    </row>
    <row r="102" spans="1:6">
      <c r="A102" s="10" t="s">
        <v>66</v>
      </c>
      <c r="B102" s="11">
        <f t="shared" si="2"/>
        <v>26600000.000009999</v>
      </c>
      <c r="C102" s="12" t="s">
        <v>74</v>
      </c>
      <c r="D102" s="11">
        <v>28100000</v>
      </c>
      <c r="E102" s="17">
        <v>0.1</v>
      </c>
      <c r="F102" s="13"/>
    </row>
    <row r="103" spans="1:6">
      <c r="A103" s="10" t="s">
        <v>66</v>
      </c>
      <c r="B103" s="11">
        <f t="shared" si="2"/>
        <v>28100000.000009999</v>
      </c>
      <c r="C103" s="12" t="s">
        <v>74</v>
      </c>
      <c r="D103" s="11">
        <v>30100000</v>
      </c>
      <c r="E103" s="17">
        <v>0.11</v>
      </c>
      <c r="F103" s="13"/>
    </row>
    <row r="104" spans="1:6">
      <c r="A104" s="10" t="s">
        <v>66</v>
      </c>
      <c r="B104" s="11">
        <f t="shared" si="2"/>
        <v>30100000.000009999</v>
      </c>
      <c r="C104" s="12" t="s">
        <v>74</v>
      </c>
      <c r="D104" s="11">
        <v>32600000</v>
      </c>
      <c r="E104" s="17">
        <v>0.12</v>
      </c>
      <c r="F104" s="13"/>
    </row>
    <row r="105" spans="1:6">
      <c r="A105" s="10" t="s">
        <v>66</v>
      </c>
      <c r="B105" s="11">
        <f t="shared" si="2"/>
        <v>32600000.000009999</v>
      </c>
      <c r="C105" s="12" t="s">
        <v>74</v>
      </c>
      <c r="D105" s="11">
        <v>35400000</v>
      </c>
      <c r="E105" s="17">
        <v>0.13</v>
      </c>
      <c r="F105" s="13"/>
    </row>
    <row r="106" spans="1:6">
      <c r="A106" s="10" t="s">
        <v>66</v>
      </c>
      <c r="B106" s="11">
        <f t="shared" si="2"/>
        <v>35400000.000009999</v>
      </c>
      <c r="C106" s="12" t="s">
        <v>74</v>
      </c>
      <c r="D106" s="11">
        <v>38900000</v>
      </c>
      <c r="E106" s="17">
        <v>0.14000000000000001</v>
      </c>
      <c r="F106" s="13"/>
    </row>
    <row r="107" spans="1:6">
      <c r="A107" s="10" t="s">
        <v>66</v>
      </c>
      <c r="B107" s="11">
        <f t="shared" si="2"/>
        <v>38900000.000009999</v>
      </c>
      <c r="C107" s="12" t="s">
        <v>74</v>
      </c>
      <c r="D107" s="11">
        <v>43000000</v>
      </c>
      <c r="E107" s="17">
        <v>0.15</v>
      </c>
      <c r="F107" s="13"/>
    </row>
    <row r="108" spans="1:6">
      <c r="A108" s="10" t="s">
        <v>66</v>
      </c>
      <c r="B108" s="11">
        <f t="shared" si="2"/>
        <v>43000000.000009999</v>
      </c>
      <c r="C108" s="12" t="s">
        <v>74</v>
      </c>
      <c r="D108" s="11">
        <v>47400000</v>
      </c>
      <c r="E108" s="17">
        <v>0.16</v>
      </c>
      <c r="F108" s="13"/>
    </row>
    <row r="109" spans="1:6">
      <c r="A109" s="10" t="s">
        <v>66</v>
      </c>
      <c r="B109" s="11">
        <f t="shared" si="2"/>
        <v>47400000.000009999</v>
      </c>
      <c r="C109" s="12" t="s">
        <v>74</v>
      </c>
      <c r="D109" s="11">
        <v>51200000</v>
      </c>
      <c r="E109" s="17">
        <v>0.17</v>
      </c>
      <c r="F109" s="13"/>
    </row>
    <row r="110" spans="1:6">
      <c r="A110" s="10" t="s">
        <v>66</v>
      </c>
      <c r="B110" s="11">
        <f t="shared" si="2"/>
        <v>51200000.000009999</v>
      </c>
      <c r="C110" s="12" t="s">
        <v>74</v>
      </c>
      <c r="D110" s="11">
        <v>55800000</v>
      </c>
      <c r="E110" s="17">
        <v>0.18</v>
      </c>
      <c r="F110" s="13"/>
    </row>
    <row r="111" spans="1:6">
      <c r="A111" s="10" t="s">
        <v>66</v>
      </c>
      <c r="B111" s="11">
        <f t="shared" si="2"/>
        <v>55800000.000009999</v>
      </c>
      <c r="C111" s="12" t="s">
        <v>74</v>
      </c>
      <c r="D111" s="11">
        <v>60400000</v>
      </c>
      <c r="E111" s="17">
        <v>0.19</v>
      </c>
      <c r="F111" s="13"/>
    </row>
    <row r="112" spans="1:6">
      <c r="A112" s="10" t="s">
        <v>66</v>
      </c>
      <c r="B112" s="11">
        <f t="shared" si="2"/>
        <v>60400000.000009999</v>
      </c>
      <c r="C112" s="12" t="s">
        <v>74</v>
      </c>
      <c r="D112" s="11">
        <v>66700000</v>
      </c>
      <c r="E112" s="17">
        <v>0.2</v>
      </c>
      <c r="F112" s="13"/>
    </row>
    <row r="113" spans="1:6">
      <c r="A113" s="10" t="s">
        <v>66</v>
      </c>
      <c r="B113" s="11">
        <f t="shared" si="2"/>
        <v>66700000.000009999</v>
      </c>
      <c r="C113" s="12" t="s">
        <v>74</v>
      </c>
      <c r="D113" s="11">
        <v>74500000</v>
      </c>
      <c r="E113" s="17">
        <v>0.21</v>
      </c>
      <c r="F113" s="13"/>
    </row>
    <row r="114" spans="1:6">
      <c r="A114" s="10" t="s">
        <v>66</v>
      </c>
      <c r="B114" s="11">
        <f t="shared" si="2"/>
        <v>74500000.000009999</v>
      </c>
      <c r="C114" s="12" t="s">
        <v>74</v>
      </c>
      <c r="D114" s="11">
        <v>83200000</v>
      </c>
      <c r="E114" s="17">
        <v>0.22</v>
      </c>
      <c r="F114" s="13"/>
    </row>
    <row r="115" spans="1:6">
      <c r="A115" s="10" t="s">
        <v>66</v>
      </c>
      <c r="B115" s="11">
        <f t="shared" si="2"/>
        <v>83200000.000009999</v>
      </c>
      <c r="C115" s="12" t="s">
        <v>74</v>
      </c>
      <c r="D115" s="11">
        <v>95600000</v>
      </c>
      <c r="E115" s="17">
        <v>0.23</v>
      </c>
      <c r="F115" s="13"/>
    </row>
    <row r="116" spans="1:6">
      <c r="A116" s="10" t="s">
        <v>66</v>
      </c>
      <c r="B116" s="11">
        <f t="shared" si="2"/>
        <v>95600000.000009999</v>
      </c>
      <c r="C116" s="12" t="s">
        <v>74</v>
      </c>
      <c r="D116" s="11">
        <v>110000000</v>
      </c>
      <c r="E116" s="17">
        <v>0.24</v>
      </c>
      <c r="F116" s="13"/>
    </row>
    <row r="117" spans="1:6">
      <c r="A117" s="10" t="s">
        <v>66</v>
      </c>
      <c r="B117" s="11">
        <f t="shared" si="2"/>
        <v>110000000.00001</v>
      </c>
      <c r="C117" s="12" t="s">
        <v>74</v>
      </c>
      <c r="D117" s="11">
        <v>134000000</v>
      </c>
      <c r="E117" s="17">
        <v>0.25</v>
      </c>
      <c r="F117" s="13"/>
    </row>
    <row r="118" spans="1:6">
      <c r="A118" s="10" t="s">
        <v>66</v>
      </c>
      <c r="B118" s="11">
        <f t="shared" si="2"/>
        <v>134000000.00001</v>
      </c>
      <c r="C118" s="12" t="s">
        <v>74</v>
      </c>
      <c r="D118" s="11">
        <v>169000000</v>
      </c>
      <c r="E118" s="17">
        <v>0.26</v>
      </c>
      <c r="F118" s="13"/>
    </row>
    <row r="119" spans="1:6">
      <c r="A119" s="10" t="s">
        <v>66</v>
      </c>
      <c r="B119" s="11">
        <f t="shared" si="2"/>
        <v>169000000.00001001</v>
      </c>
      <c r="C119" s="12" t="s">
        <v>74</v>
      </c>
      <c r="D119" s="11">
        <v>221000000</v>
      </c>
      <c r="E119" s="17">
        <v>0.27</v>
      </c>
      <c r="F119" s="13"/>
    </row>
    <row r="120" spans="1:6">
      <c r="A120" s="10" t="s">
        <v>66</v>
      </c>
      <c r="B120" s="11">
        <f t="shared" si="2"/>
        <v>221000000.00001001</v>
      </c>
      <c r="C120" s="12" t="s">
        <v>74</v>
      </c>
      <c r="D120" s="11">
        <v>390000000</v>
      </c>
      <c r="E120" s="17">
        <v>0.28000000000000003</v>
      </c>
      <c r="F120" s="13"/>
    </row>
    <row r="121" spans="1:6">
      <c r="A121" s="10" t="s">
        <v>66</v>
      </c>
      <c r="B121" s="11">
        <f t="shared" si="2"/>
        <v>390000000.00001001</v>
      </c>
      <c r="C121" s="12" t="s">
        <v>74</v>
      </c>
      <c r="D121" s="11">
        <v>463000000</v>
      </c>
      <c r="E121" s="17">
        <v>0.28999999999999998</v>
      </c>
      <c r="F121" s="13"/>
    </row>
    <row r="122" spans="1:6">
      <c r="A122" s="10" t="s">
        <v>66</v>
      </c>
      <c r="B122" s="11">
        <f t="shared" si="2"/>
        <v>463000000.00001001</v>
      </c>
      <c r="C122" s="12" t="s">
        <v>74</v>
      </c>
      <c r="D122" s="11">
        <v>561000000</v>
      </c>
      <c r="E122" s="17">
        <v>0.3</v>
      </c>
      <c r="F122" s="13"/>
    </row>
    <row r="123" spans="1:6">
      <c r="A123" s="10" t="s">
        <v>66</v>
      </c>
      <c r="B123" s="11">
        <f t="shared" si="2"/>
        <v>561000000.00001001</v>
      </c>
      <c r="C123" s="12" t="s">
        <v>74</v>
      </c>
      <c r="D123" s="11">
        <v>709000000</v>
      </c>
      <c r="E123" s="17">
        <v>0.31</v>
      </c>
      <c r="F123" s="13"/>
    </row>
    <row r="124" spans="1:6">
      <c r="A124" s="10" t="s">
        <v>66</v>
      </c>
      <c r="B124" s="11">
        <f t="shared" si="2"/>
        <v>709000000.00001001</v>
      </c>
      <c r="C124" s="12" t="s">
        <v>74</v>
      </c>
      <c r="D124" s="11">
        <v>965000000</v>
      </c>
      <c r="E124" s="17">
        <v>0.32</v>
      </c>
      <c r="F124" s="13"/>
    </row>
    <row r="125" spans="1:6">
      <c r="A125" s="10" t="s">
        <v>66</v>
      </c>
      <c r="B125" s="11">
        <f t="shared" si="2"/>
        <v>965000000.00001001</v>
      </c>
      <c r="C125" s="12" t="s">
        <v>74</v>
      </c>
      <c r="D125" s="11">
        <v>1419000000</v>
      </c>
      <c r="E125" s="17">
        <v>0.33</v>
      </c>
      <c r="F125" s="13"/>
    </row>
    <row r="126" spans="1:6">
      <c r="A126" s="10" t="s">
        <v>66</v>
      </c>
      <c r="B126" s="11">
        <f t="shared" si="2"/>
        <v>1419000000.00001</v>
      </c>
      <c r="C126" s="16"/>
      <c r="D126" s="16">
        <f>D85</f>
        <v>999999999999999</v>
      </c>
      <c r="E126" s="17">
        <v>0.34</v>
      </c>
      <c r="F126" s="13"/>
    </row>
  </sheetData>
  <mergeCells count="1">
    <mergeCell ref="B1:D1"/>
  </mergeCells>
  <printOptions horizontalCentered="1"/>
  <pageMargins left="0.11811023622047245" right="0.11811023622047245" top="0.15748031496062992" bottom="0.15748031496062992" header="0.31496062992125984" footer="0.31496062992125984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outlinePr summaryBelow="0" summaryRight="0"/>
  </sheetPr>
  <dimension ref="A1:Z324"/>
  <sheetViews>
    <sheetView showGridLines="0" zoomScale="140" zoomScaleNormal="140" workbookViewId="0">
      <pane xSplit="2" ySplit="1" topLeftCell="O2" activePane="bottomRight" state="frozen"/>
      <selection pane="topRight" activeCell="C1" sqref="C1"/>
      <selection pane="bottomLeft" activeCell="A2" sqref="A2"/>
      <selection pane="bottomRight" activeCell="P5" sqref="P5"/>
    </sheetView>
  </sheetViews>
  <sheetFormatPr defaultColWidth="12.69921875" defaultRowHeight="13.8"/>
  <cols>
    <col min="1" max="1" width="5.59765625" style="73" customWidth="1"/>
    <col min="2" max="2" width="30.19921875" style="115" customWidth="1"/>
    <col min="3" max="3" width="11.5" style="73" customWidth="1"/>
    <col min="4" max="4" width="25.3984375" style="73" customWidth="1"/>
    <col min="5" max="5" width="7.59765625" style="73" customWidth="1"/>
    <col min="6" max="6" width="10.59765625" style="73" customWidth="1"/>
    <col min="7" max="7" width="7.59765625" style="73" customWidth="1"/>
    <col min="8" max="8" width="13.3984375" style="73" customWidth="1"/>
    <col min="9" max="10" width="9.796875" style="73" customWidth="1"/>
    <col min="11" max="11" width="10.796875" style="73" customWidth="1"/>
    <col min="12" max="12" width="13.796875" style="73" customWidth="1"/>
    <col min="13" max="13" width="13.796875" style="115" customWidth="1"/>
    <col min="14" max="14" width="13.796875" style="73" customWidth="1"/>
    <col min="15" max="16" width="12.8984375" style="117" customWidth="1"/>
    <col min="17" max="17" width="6.09765625" style="118" customWidth="1"/>
    <col min="18" max="18" width="11.5" style="119" customWidth="1"/>
    <col min="19" max="19" width="6.19921875" style="194" customWidth="1"/>
    <col min="20" max="20" width="13.796875" style="71" customWidth="1"/>
    <col min="21" max="21" width="6.59765625" style="71" customWidth="1"/>
    <col min="22" max="22" width="13.69921875" style="71" customWidth="1"/>
    <col min="23" max="23" width="7.796875" style="71" customWidth="1"/>
    <col min="24" max="24" width="15.796875" style="71" customWidth="1"/>
    <col min="25" max="25" width="12.69921875" style="71"/>
    <col min="26" max="16384" width="12.69921875" style="73"/>
  </cols>
  <sheetData>
    <row r="1" spans="1:25" ht="65.55" customHeight="1">
      <c r="A1" s="79" t="s">
        <v>22</v>
      </c>
      <c r="B1" s="80" t="s">
        <v>23</v>
      </c>
      <c r="C1" s="81" t="s">
        <v>24</v>
      </c>
      <c r="D1" s="81" t="s">
        <v>25</v>
      </c>
      <c r="E1" s="82" t="s">
        <v>26</v>
      </c>
      <c r="F1" s="215" t="s">
        <v>27</v>
      </c>
      <c r="G1" s="216"/>
      <c r="H1" s="217"/>
      <c r="I1" s="83" t="s">
        <v>28</v>
      </c>
      <c r="J1" s="83" t="s">
        <v>29</v>
      </c>
      <c r="K1" s="84" t="s">
        <v>30</v>
      </c>
      <c r="L1" s="83" t="s">
        <v>84</v>
      </c>
      <c r="M1" s="85" t="s">
        <v>83</v>
      </c>
      <c r="N1" s="86" t="s">
        <v>61</v>
      </c>
      <c r="O1" s="87" t="s">
        <v>60</v>
      </c>
      <c r="P1" s="271"/>
      <c r="Q1" s="267">
        <v>1</v>
      </c>
      <c r="R1" s="266" t="s">
        <v>87</v>
      </c>
      <c r="S1" s="265">
        <v>2</v>
      </c>
      <c r="T1" s="266" t="s">
        <v>89</v>
      </c>
      <c r="U1" s="267">
        <v>3</v>
      </c>
      <c r="V1" s="266" t="s">
        <v>88</v>
      </c>
      <c r="W1" s="267">
        <v>4</v>
      </c>
      <c r="X1" s="266" t="s">
        <v>91</v>
      </c>
      <c r="Y1" s="268" t="s">
        <v>86</v>
      </c>
    </row>
    <row r="2" spans="1:25">
      <c r="A2" s="59">
        <v>1</v>
      </c>
      <c r="B2" s="96" t="s">
        <v>81</v>
      </c>
      <c r="C2" s="97" t="s">
        <v>82</v>
      </c>
      <c r="D2" s="98"/>
      <c r="E2" s="59">
        <v>1</v>
      </c>
      <c r="F2" s="76" t="s">
        <v>77</v>
      </c>
      <c r="G2" s="76" t="s">
        <v>70</v>
      </c>
      <c r="H2" s="99" t="str">
        <f t="shared" ref="H2:H11" si="0">IF(OR(G2="TK/0",G2="TK/1",G2="K/0"),"KATEGORI A",IF(OR(G2="TK/2",G2="TK/3",G2="K/1",G2="K/2"),"KATEGORI B",IF(OR(G2="K/3"),"KATEGORI C","")))</f>
        <v>KATEGORI C</v>
      </c>
      <c r="I2" s="76" t="s">
        <v>78</v>
      </c>
      <c r="J2" s="76" t="s">
        <v>78</v>
      </c>
      <c r="K2" s="65">
        <v>2961337</v>
      </c>
      <c r="L2" s="100">
        <f>455000+325000+650000</f>
        <v>1430000</v>
      </c>
      <c r="M2" s="110">
        <f>+Y2</f>
        <v>1154947.0144508672</v>
      </c>
      <c r="N2" s="58">
        <f>50000*31</f>
        <v>1550000</v>
      </c>
      <c r="O2" s="70">
        <f>'RINCIAN GAJI - GROSS'!W3</f>
        <v>6927922.932427112</v>
      </c>
      <c r="P2" s="272" t="s">
        <v>143</v>
      </c>
      <c r="Q2" s="94">
        <v>13</v>
      </c>
      <c r="R2" s="95">
        <f>Q2*1.5*1/173*(K2+L2)</f>
        <v>494977.29190751445</v>
      </c>
      <c r="S2" s="191">
        <v>13</v>
      </c>
      <c r="T2" s="95">
        <f>S2*2*1/173*(K2+L2)</f>
        <v>659969.72254335263</v>
      </c>
      <c r="U2" s="94"/>
      <c r="V2" s="95">
        <f>U2*3*1/173*4391337</f>
        <v>0</v>
      </c>
      <c r="W2" s="94"/>
      <c r="X2" s="95">
        <f>W2*4*1/173*4391337</f>
        <v>0</v>
      </c>
      <c r="Y2" s="253">
        <f t="shared" ref="Y2:Y27" si="1">R2+T2+V2+X2</f>
        <v>1154947.0144508672</v>
      </c>
    </row>
    <row r="3" spans="1:25">
      <c r="A3" s="59">
        <f t="shared" ref="A3:A24" si="2">A2+1</f>
        <v>2</v>
      </c>
      <c r="B3" s="96" t="s">
        <v>92</v>
      </c>
      <c r="C3" s="97" t="s">
        <v>95</v>
      </c>
      <c r="D3" s="98"/>
      <c r="E3" s="59">
        <f>E2+1</f>
        <v>2</v>
      </c>
      <c r="F3" s="76" t="s">
        <v>77</v>
      </c>
      <c r="G3" s="76" t="s">
        <v>72</v>
      </c>
      <c r="H3" s="99" t="str">
        <f t="shared" si="0"/>
        <v>KATEGORI A</v>
      </c>
      <c r="I3" s="76" t="s">
        <v>78</v>
      </c>
      <c r="J3" s="76" t="s">
        <v>78</v>
      </c>
      <c r="K3" s="65">
        <v>2961337</v>
      </c>
      <c r="L3" s="100">
        <f t="shared" ref="L3:L24" si="3">455000+325000+650000</f>
        <v>1430000</v>
      </c>
      <c r="M3" s="254">
        <f>+Y3+300000</f>
        <v>300000</v>
      </c>
      <c r="N3" s="58">
        <f t="shared" ref="N3:N20" si="4">50000*31</f>
        <v>1550000</v>
      </c>
      <c r="O3" s="70">
        <f>'RINCIAN GAJI - GROSS'!W4</f>
        <v>6044904.4160970002</v>
      </c>
      <c r="P3" s="273"/>
      <c r="Q3" s="124"/>
      <c r="R3" s="95">
        <f t="shared" ref="R3:R21" si="5">Q3*1.5*1/173*(K3+L3)</f>
        <v>0</v>
      </c>
      <c r="S3" s="192"/>
      <c r="T3" s="95">
        <f>S3*2*1/173*(K3+L3)</f>
        <v>0</v>
      </c>
      <c r="U3" s="124"/>
      <c r="V3" s="95">
        <f t="shared" ref="V3:V27" si="6">U3*3*1/173*4391337</f>
        <v>0</v>
      </c>
      <c r="W3" s="94"/>
      <c r="X3" s="95">
        <f t="shared" ref="X3:X27" si="7">W3*4*1/173*4391337</f>
        <v>0</v>
      </c>
      <c r="Y3" s="253">
        <f t="shared" si="1"/>
        <v>0</v>
      </c>
    </row>
    <row r="4" spans="1:25" ht="14.4">
      <c r="A4" s="59">
        <f t="shared" si="2"/>
        <v>3</v>
      </c>
      <c r="B4" s="60" t="s">
        <v>93</v>
      </c>
      <c r="C4" s="122" t="s">
        <v>94</v>
      </c>
      <c r="D4" s="68"/>
      <c r="E4" s="59">
        <f t="shared" ref="E4:E24" si="8">E3+1</f>
        <v>3</v>
      </c>
      <c r="F4" s="102" t="s">
        <v>77</v>
      </c>
      <c r="G4" s="102" t="s">
        <v>72</v>
      </c>
      <c r="H4" s="103" t="str">
        <f t="shared" si="0"/>
        <v>KATEGORI A</v>
      </c>
      <c r="I4" s="102" t="s">
        <v>78</v>
      </c>
      <c r="J4" s="102" t="s">
        <v>78</v>
      </c>
      <c r="K4" s="65">
        <v>2961337</v>
      </c>
      <c r="L4" s="100">
        <f t="shared" si="3"/>
        <v>1430000</v>
      </c>
      <c r="M4" s="110">
        <f t="shared" ref="M4:M8" si="9">+Y4</f>
        <v>1231097.3670520231</v>
      </c>
      <c r="N4" s="58">
        <f t="shared" si="4"/>
        <v>1550000</v>
      </c>
      <c r="O4" s="70">
        <f>'RINCIAN GAJI - GROSS'!W5</f>
        <v>6948189.9475851227</v>
      </c>
      <c r="P4" s="70"/>
      <c r="Q4" s="94">
        <v>15</v>
      </c>
      <c r="R4" s="95">
        <f t="shared" si="5"/>
        <v>571127.64450867043</v>
      </c>
      <c r="S4" s="191">
        <v>13</v>
      </c>
      <c r="T4" s="95">
        <f>S4*2*1/173*(K4+L4)</f>
        <v>659969.72254335263</v>
      </c>
      <c r="U4" s="94"/>
      <c r="V4" s="95">
        <f t="shared" si="6"/>
        <v>0</v>
      </c>
      <c r="W4" s="94"/>
      <c r="X4" s="95">
        <f t="shared" si="7"/>
        <v>0</v>
      </c>
      <c r="Y4" s="253">
        <f t="shared" si="1"/>
        <v>1231097.3670520231</v>
      </c>
    </row>
    <row r="5" spans="1:25">
      <c r="A5" s="59">
        <f t="shared" si="2"/>
        <v>4</v>
      </c>
      <c r="B5" s="60" t="s">
        <v>96</v>
      </c>
      <c r="C5" s="97" t="s">
        <v>102</v>
      </c>
      <c r="D5" s="68"/>
      <c r="E5" s="59">
        <f t="shared" si="8"/>
        <v>4</v>
      </c>
      <c r="F5" s="102" t="s">
        <v>77</v>
      </c>
      <c r="G5" s="102" t="s">
        <v>72</v>
      </c>
      <c r="H5" s="103" t="str">
        <f t="shared" si="0"/>
        <v>KATEGORI A</v>
      </c>
      <c r="I5" s="102" t="s">
        <v>78</v>
      </c>
      <c r="J5" s="102" t="s">
        <v>78</v>
      </c>
      <c r="K5" s="65">
        <v>2961337</v>
      </c>
      <c r="L5" s="100">
        <f t="shared" si="3"/>
        <v>1430000</v>
      </c>
      <c r="M5" s="110">
        <f t="shared" si="9"/>
        <v>1637232.5809248555</v>
      </c>
      <c r="N5" s="58">
        <f t="shared" si="4"/>
        <v>1550000</v>
      </c>
      <c r="O5" s="70">
        <f>'RINCIAN GAJI - GROSS'!W6</f>
        <v>7329732.271356483</v>
      </c>
      <c r="P5" s="70"/>
      <c r="Q5" s="191">
        <v>9</v>
      </c>
      <c r="R5" s="95">
        <f t="shared" si="5"/>
        <v>342676.58670520229</v>
      </c>
      <c r="S5" s="191">
        <v>25.5</v>
      </c>
      <c r="T5" s="95">
        <f>S5*2*1/173*(K5+L5)</f>
        <v>1294555.9942196533</v>
      </c>
      <c r="U5" s="94"/>
      <c r="V5" s="95">
        <f t="shared" si="6"/>
        <v>0</v>
      </c>
      <c r="W5" s="94"/>
      <c r="X5" s="95">
        <f t="shared" si="7"/>
        <v>0</v>
      </c>
      <c r="Y5" s="253">
        <f t="shared" si="1"/>
        <v>1637232.5809248555</v>
      </c>
    </row>
    <row r="6" spans="1:25">
      <c r="A6" s="59">
        <f t="shared" si="2"/>
        <v>5</v>
      </c>
      <c r="B6" s="60" t="s">
        <v>109</v>
      </c>
      <c r="C6" s="97" t="s">
        <v>103</v>
      </c>
      <c r="D6" s="68"/>
      <c r="E6" s="59">
        <f t="shared" si="8"/>
        <v>5</v>
      </c>
      <c r="F6" s="102" t="s">
        <v>77</v>
      </c>
      <c r="G6" s="102" t="s">
        <v>72</v>
      </c>
      <c r="H6" s="103" t="str">
        <f t="shared" si="0"/>
        <v>KATEGORI A</v>
      </c>
      <c r="I6" s="102" t="s">
        <v>78</v>
      </c>
      <c r="J6" s="102" t="s">
        <v>78</v>
      </c>
      <c r="K6" s="65">
        <v>2961337</v>
      </c>
      <c r="L6" s="100">
        <f t="shared" si="3"/>
        <v>1430000</v>
      </c>
      <c r="M6" s="110">
        <f t="shared" si="9"/>
        <v>342676.58670520229</v>
      </c>
      <c r="N6" s="58">
        <f t="shared" si="4"/>
        <v>1550000</v>
      </c>
      <c r="O6" s="70">
        <f>'RINCIAN GAJI - GROSS'!W7</f>
        <v>6087154.2369351499</v>
      </c>
      <c r="P6" s="70"/>
      <c r="Q6" s="94">
        <v>7</v>
      </c>
      <c r="R6" s="95">
        <f t="shared" si="5"/>
        <v>266526.23410404625</v>
      </c>
      <c r="S6" s="201">
        <v>1.5</v>
      </c>
      <c r="T6" s="95">
        <f>S6*2*1/173*(K6+L6)</f>
        <v>76150.352601156061</v>
      </c>
      <c r="U6" s="94"/>
      <c r="V6" s="95">
        <f t="shared" si="6"/>
        <v>0</v>
      </c>
      <c r="W6" s="94"/>
      <c r="X6" s="95">
        <f t="shared" si="7"/>
        <v>0</v>
      </c>
      <c r="Y6" s="253">
        <f t="shared" si="1"/>
        <v>342676.58670520229</v>
      </c>
    </row>
    <row r="7" spans="1:25">
      <c r="A7" s="59">
        <f t="shared" si="2"/>
        <v>6</v>
      </c>
      <c r="B7" s="60" t="s">
        <v>97</v>
      </c>
      <c r="C7" s="97" t="s">
        <v>104</v>
      </c>
      <c r="D7" s="68"/>
      <c r="E7" s="59">
        <f t="shared" si="8"/>
        <v>6</v>
      </c>
      <c r="F7" s="102" t="s">
        <v>77</v>
      </c>
      <c r="G7" s="102" t="s">
        <v>72</v>
      </c>
      <c r="H7" s="103" t="str">
        <f t="shared" si="0"/>
        <v>KATEGORI A</v>
      </c>
      <c r="I7" s="102" t="s">
        <v>78</v>
      </c>
      <c r="J7" s="102" t="s">
        <v>78</v>
      </c>
      <c r="K7" s="65">
        <v>2961337</v>
      </c>
      <c r="L7" s="100">
        <f t="shared" si="3"/>
        <v>1430000</v>
      </c>
      <c r="M7" s="167">
        <f t="shared" si="9"/>
        <v>850345.60404624278</v>
      </c>
      <c r="N7" s="58">
        <f t="shared" si="4"/>
        <v>1550000</v>
      </c>
      <c r="O7" s="70">
        <f>'RINCIAN GAJI - GROSS'!W8</f>
        <v>6572197.5816169139</v>
      </c>
      <c r="P7" s="70"/>
      <c r="Q7" s="94">
        <v>13</v>
      </c>
      <c r="R7" s="95">
        <f t="shared" si="5"/>
        <v>494977.29190751445</v>
      </c>
      <c r="S7" s="191">
        <v>7</v>
      </c>
      <c r="T7" s="95">
        <f>S7*2*1/173*(K7+L7)</f>
        <v>355368.31213872833</v>
      </c>
      <c r="U7" s="94"/>
      <c r="V7" s="95">
        <f t="shared" si="6"/>
        <v>0</v>
      </c>
      <c r="W7" s="94"/>
      <c r="X7" s="95">
        <f t="shared" si="7"/>
        <v>0</v>
      </c>
      <c r="Y7" s="253">
        <f t="shared" si="1"/>
        <v>850345.60404624278</v>
      </c>
    </row>
    <row r="8" spans="1:25">
      <c r="A8" s="59">
        <f t="shared" si="2"/>
        <v>7</v>
      </c>
      <c r="B8" s="60" t="s">
        <v>98</v>
      </c>
      <c r="C8" s="97" t="s">
        <v>105</v>
      </c>
      <c r="D8" s="68"/>
      <c r="E8" s="59">
        <f t="shared" si="8"/>
        <v>7</v>
      </c>
      <c r="F8" s="102" t="s">
        <v>77</v>
      </c>
      <c r="G8" s="102" t="s">
        <v>73</v>
      </c>
      <c r="H8" s="103" t="str">
        <f t="shared" si="0"/>
        <v>KATEGORI B</v>
      </c>
      <c r="I8" s="102" t="s">
        <v>78</v>
      </c>
      <c r="J8" s="102" t="s">
        <v>78</v>
      </c>
      <c r="K8" s="65">
        <v>2961337</v>
      </c>
      <c r="L8" s="100">
        <f t="shared" si="3"/>
        <v>1430000</v>
      </c>
      <c r="M8" s="110">
        <f t="shared" si="9"/>
        <v>1091488.387283237</v>
      </c>
      <c r="N8" s="58">
        <f t="shared" si="4"/>
        <v>1550000</v>
      </c>
      <c r="O8" s="70">
        <f>'RINCIAN GAJI - GROSS'!W9</f>
        <v>6846629.7589513622</v>
      </c>
      <c r="P8" s="70"/>
      <c r="Q8" s="94">
        <v>10</v>
      </c>
      <c r="R8" s="95">
        <f t="shared" si="5"/>
        <v>380751.76300578035</v>
      </c>
      <c r="S8" s="191">
        <v>14</v>
      </c>
      <c r="T8" s="95">
        <f>S8*2*1/173*(K8+L8)</f>
        <v>710736.62427745666</v>
      </c>
      <c r="U8" s="94"/>
      <c r="V8" s="95">
        <f t="shared" si="6"/>
        <v>0</v>
      </c>
      <c r="W8" s="94"/>
      <c r="X8" s="95">
        <f t="shared" si="7"/>
        <v>0</v>
      </c>
      <c r="Y8" s="253">
        <f t="shared" si="1"/>
        <v>1091488.387283237</v>
      </c>
    </row>
    <row r="9" spans="1:25">
      <c r="A9" s="59">
        <f t="shared" si="2"/>
        <v>8</v>
      </c>
      <c r="B9" s="96" t="s">
        <v>99</v>
      </c>
      <c r="C9" s="97" t="s">
        <v>106</v>
      </c>
      <c r="D9" s="98"/>
      <c r="E9" s="59">
        <f t="shared" si="8"/>
        <v>8</v>
      </c>
      <c r="F9" s="76" t="s">
        <v>77</v>
      </c>
      <c r="G9" s="76" t="s">
        <v>75</v>
      </c>
      <c r="H9" s="99" t="str">
        <f t="shared" si="0"/>
        <v>KATEGORI A</v>
      </c>
      <c r="I9" s="76" t="s">
        <v>78</v>
      </c>
      <c r="J9" s="146" t="s">
        <v>78</v>
      </c>
      <c r="K9" s="65">
        <v>2961337</v>
      </c>
      <c r="L9" s="100">
        <f t="shared" si="3"/>
        <v>1430000</v>
      </c>
      <c r="M9" s="255">
        <f>+Y9+300000</f>
        <v>300000</v>
      </c>
      <c r="N9" s="58">
        <f t="shared" si="4"/>
        <v>1550000</v>
      </c>
      <c r="O9" s="70">
        <f>'RINCIAN GAJI - GROSS'!W10</f>
        <v>6044904.4160970002</v>
      </c>
      <c r="P9" s="70"/>
      <c r="Q9" s="94"/>
      <c r="R9" s="95">
        <f t="shared" si="5"/>
        <v>0</v>
      </c>
      <c r="S9" s="191"/>
      <c r="T9" s="95">
        <f>S9*2*1/173*(K9+L9)</f>
        <v>0</v>
      </c>
      <c r="U9" s="94"/>
      <c r="V9" s="95">
        <f t="shared" si="6"/>
        <v>0</v>
      </c>
      <c r="W9" s="94"/>
      <c r="X9" s="95">
        <f t="shared" si="7"/>
        <v>0</v>
      </c>
      <c r="Y9" s="253">
        <f t="shared" si="1"/>
        <v>0</v>
      </c>
    </row>
    <row r="10" spans="1:25">
      <c r="A10" s="59">
        <f t="shared" si="2"/>
        <v>9</v>
      </c>
      <c r="B10" s="96" t="s">
        <v>100</v>
      </c>
      <c r="C10" s="97" t="s">
        <v>107</v>
      </c>
      <c r="D10" s="135"/>
      <c r="E10" s="59">
        <f t="shared" si="8"/>
        <v>9</v>
      </c>
      <c r="F10" s="139" t="s">
        <v>77</v>
      </c>
      <c r="G10" s="139" t="s">
        <v>72</v>
      </c>
      <c r="H10" s="140" t="str">
        <f t="shared" si="0"/>
        <v>KATEGORI A</v>
      </c>
      <c r="I10" s="139" t="s">
        <v>78</v>
      </c>
      <c r="J10" s="139" t="s">
        <v>78</v>
      </c>
      <c r="K10" s="65">
        <v>2961337</v>
      </c>
      <c r="L10" s="100">
        <f t="shared" si="3"/>
        <v>1430000</v>
      </c>
      <c r="M10" s="127">
        <f>+Y10</f>
        <v>342676.58670520229</v>
      </c>
      <c r="N10" s="58">
        <f t="shared" si="4"/>
        <v>1550000</v>
      </c>
      <c r="O10" s="70">
        <f>'RINCIAN GAJI - GROSS'!W11</f>
        <v>6087154.2369351499</v>
      </c>
      <c r="P10" s="70"/>
      <c r="Q10" s="94">
        <v>7</v>
      </c>
      <c r="R10" s="95">
        <f t="shared" ref="R10" si="10">Q10*1.5*1/173*(K10+L10)</f>
        <v>266526.23410404625</v>
      </c>
      <c r="S10" s="201">
        <v>1.5</v>
      </c>
      <c r="T10" s="95">
        <f>S10*2*1/173*(K10+L10)</f>
        <v>76150.352601156061</v>
      </c>
      <c r="U10" s="124"/>
      <c r="V10" s="95">
        <f t="shared" si="6"/>
        <v>0</v>
      </c>
      <c r="W10" s="94"/>
      <c r="X10" s="95">
        <f t="shared" si="7"/>
        <v>0</v>
      </c>
      <c r="Y10" s="253">
        <f t="shared" si="1"/>
        <v>342676.58670520229</v>
      </c>
    </row>
    <row r="11" spans="1:25">
      <c r="A11" s="59">
        <f t="shared" si="2"/>
        <v>10</v>
      </c>
      <c r="B11" s="60" t="s">
        <v>101</v>
      </c>
      <c r="C11" s="61" t="s">
        <v>108</v>
      </c>
      <c r="D11" s="68"/>
      <c r="E11" s="59">
        <f t="shared" si="8"/>
        <v>10</v>
      </c>
      <c r="F11" s="102" t="s">
        <v>77</v>
      </c>
      <c r="G11" s="102" t="s">
        <v>72</v>
      </c>
      <c r="H11" s="103" t="str">
        <f t="shared" si="0"/>
        <v>KATEGORI A</v>
      </c>
      <c r="I11" s="102" t="s">
        <v>78</v>
      </c>
      <c r="J11" s="102" t="s">
        <v>78</v>
      </c>
      <c r="K11" s="65">
        <v>2961337</v>
      </c>
      <c r="L11" s="100">
        <f t="shared" si="3"/>
        <v>1430000</v>
      </c>
      <c r="M11" s="110">
        <f>+Y11</f>
        <v>1472240.1502890172</v>
      </c>
      <c r="N11" s="58">
        <f t="shared" si="4"/>
        <v>1550000</v>
      </c>
      <c r="O11" s="70">
        <f>'RINCIAN GAJI - GROSS'!W12</f>
        <v>7167214.727180182</v>
      </c>
      <c r="P11" s="70"/>
      <c r="Q11" s="94">
        <v>14</v>
      </c>
      <c r="R11" s="95">
        <f t="shared" si="5"/>
        <v>533052.4682080925</v>
      </c>
      <c r="S11" s="201">
        <v>18.5</v>
      </c>
      <c r="T11" s="95">
        <f>S11*2*1/173*(K11+L11)</f>
        <v>939187.68208092486</v>
      </c>
      <c r="U11" s="94"/>
      <c r="V11" s="95">
        <f t="shared" si="6"/>
        <v>0</v>
      </c>
      <c r="W11" s="94"/>
      <c r="X11" s="95">
        <f t="shared" si="7"/>
        <v>0</v>
      </c>
      <c r="Y11" s="253">
        <f t="shared" si="1"/>
        <v>1472240.1502890172</v>
      </c>
    </row>
    <row r="12" spans="1:25">
      <c r="A12" s="59">
        <f t="shared" si="2"/>
        <v>11</v>
      </c>
      <c r="B12" s="60" t="s">
        <v>110</v>
      </c>
      <c r="C12" s="61" t="s">
        <v>112</v>
      </c>
      <c r="D12" s="68"/>
      <c r="E12" s="59">
        <f t="shared" si="8"/>
        <v>11</v>
      </c>
      <c r="F12" s="102" t="s">
        <v>77</v>
      </c>
      <c r="G12" s="102" t="s">
        <v>72</v>
      </c>
      <c r="H12" s="103" t="str">
        <f t="shared" ref="H12:H13" si="11">IF(OR(G12="TK/0",G12="TK/1",G12="K/0"),"KATEGORI A",IF(OR(G12="TK/2",G12="TK/3",G12="K/1",G12="K/2"),"KATEGORI B",IF(OR(G12="K/3"),"KATEGORI C","")))</f>
        <v>KATEGORI A</v>
      </c>
      <c r="I12" s="102" t="s">
        <v>78</v>
      </c>
      <c r="J12" s="102" t="s">
        <v>78</v>
      </c>
      <c r="K12" s="65">
        <v>2961337</v>
      </c>
      <c r="L12" s="100">
        <f t="shared" si="3"/>
        <v>1430000</v>
      </c>
      <c r="M12" s="110">
        <f t="shared" ref="M12:M13" si="12">+Y12</f>
        <v>76150.352601156061</v>
      </c>
      <c r="N12" s="58">
        <f t="shared" si="4"/>
        <v>1550000</v>
      </c>
      <c r="O12" s="70">
        <f>'RINCIAN GAJI - GROSS'!W13</f>
        <v>5838906.7595293969</v>
      </c>
      <c r="P12" s="70"/>
      <c r="Q12" s="94">
        <v>2</v>
      </c>
      <c r="R12" s="95">
        <f t="shared" si="5"/>
        <v>76150.352601156061</v>
      </c>
      <c r="S12" s="191"/>
      <c r="T12" s="95">
        <f>S12*2*1/173*(K12+L12)</f>
        <v>0</v>
      </c>
      <c r="U12" s="94"/>
      <c r="V12" s="95">
        <f t="shared" si="6"/>
        <v>0</v>
      </c>
      <c r="W12" s="94"/>
      <c r="X12" s="95">
        <f t="shared" si="7"/>
        <v>0</v>
      </c>
      <c r="Y12" s="253">
        <f t="shared" si="1"/>
        <v>76150.352601156061</v>
      </c>
    </row>
    <row r="13" spans="1:25">
      <c r="A13" s="59">
        <f t="shared" si="2"/>
        <v>12</v>
      </c>
      <c r="B13" s="60" t="s">
        <v>111</v>
      </c>
      <c r="C13" s="61" t="s">
        <v>108</v>
      </c>
      <c r="D13" s="68"/>
      <c r="E13" s="59">
        <f t="shared" si="8"/>
        <v>12</v>
      </c>
      <c r="F13" s="102" t="s">
        <v>77</v>
      </c>
      <c r="G13" s="102" t="s">
        <v>72</v>
      </c>
      <c r="H13" s="103" t="str">
        <f t="shared" si="11"/>
        <v>KATEGORI A</v>
      </c>
      <c r="I13" s="102" t="s">
        <v>78</v>
      </c>
      <c r="J13" s="102" t="s">
        <v>78</v>
      </c>
      <c r="K13" s="65">
        <v>2961337</v>
      </c>
      <c r="L13" s="100">
        <f t="shared" si="3"/>
        <v>1430000</v>
      </c>
      <c r="M13" s="110">
        <f t="shared" si="12"/>
        <v>101533.80346820809</v>
      </c>
      <c r="N13" s="58">
        <f t="shared" si="4"/>
        <v>1550000</v>
      </c>
      <c r="O13" s="70">
        <f>'RINCIAN GAJI - GROSS'!W14</f>
        <v>5864099.8345149467</v>
      </c>
      <c r="P13" s="70"/>
      <c r="Q13" s="94">
        <v>2</v>
      </c>
      <c r="R13" s="95">
        <f t="shared" si="5"/>
        <v>76150.352601156061</v>
      </c>
      <c r="S13" s="201">
        <v>0.5</v>
      </c>
      <c r="T13" s="95">
        <f>S13*2*1/173*(K13+L13)</f>
        <v>25383.450867052023</v>
      </c>
      <c r="U13" s="94"/>
      <c r="V13" s="95">
        <f t="shared" si="6"/>
        <v>0</v>
      </c>
      <c r="W13" s="94"/>
      <c r="X13" s="95">
        <f t="shared" si="7"/>
        <v>0</v>
      </c>
      <c r="Y13" s="253">
        <f t="shared" si="1"/>
        <v>101533.80346820809</v>
      </c>
    </row>
    <row r="14" spans="1:25" ht="14.4">
      <c r="A14" s="59">
        <f t="shared" si="2"/>
        <v>13</v>
      </c>
      <c r="B14" s="88" t="s">
        <v>113</v>
      </c>
      <c r="C14" s="147" t="s">
        <v>114</v>
      </c>
      <c r="D14" s="138"/>
      <c r="E14" s="59">
        <f t="shared" si="8"/>
        <v>13</v>
      </c>
      <c r="F14" s="102" t="s">
        <v>77</v>
      </c>
      <c r="G14" s="102" t="s">
        <v>72</v>
      </c>
      <c r="H14" s="103" t="str">
        <f t="shared" ref="H14:H15" si="13">IF(OR(G14="TK/0",G14="TK/1",G14="K/0"),"KATEGORI A",IF(OR(G14="TK/2",G14="TK/3",G14="K/1",G14="K/2"),"KATEGORI B",IF(OR(G14="K/3"),"KATEGORI C","")))</f>
        <v>KATEGORI A</v>
      </c>
      <c r="I14" s="102" t="s">
        <v>78</v>
      </c>
      <c r="J14" s="102" t="s">
        <v>78</v>
      </c>
      <c r="K14" s="111">
        <v>2961337</v>
      </c>
      <c r="L14" s="100">
        <f t="shared" si="3"/>
        <v>1430000</v>
      </c>
      <c r="M14" s="110">
        <f t="shared" ref="M14:M15" si="14">+Y14</f>
        <v>698044.89884393057</v>
      </c>
      <c r="N14" s="58">
        <f t="shared" si="4"/>
        <v>1550000</v>
      </c>
      <c r="O14" s="70">
        <f>'RINCIAN GAJI - GROSS'!W15</f>
        <v>6421800.6352296323</v>
      </c>
      <c r="P14" s="70"/>
      <c r="Q14" s="94">
        <v>9</v>
      </c>
      <c r="R14" s="95">
        <f t="shared" si="5"/>
        <v>342676.58670520229</v>
      </c>
      <c r="S14" s="191">
        <v>7</v>
      </c>
      <c r="T14" s="95">
        <f>S14*2*1/173*(K14+L14)</f>
        <v>355368.31213872833</v>
      </c>
      <c r="U14" s="94"/>
      <c r="V14" s="95">
        <f t="shared" si="6"/>
        <v>0</v>
      </c>
      <c r="W14" s="94"/>
      <c r="X14" s="95">
        <f t="shared" si="7"/>
        <v>0</v>
      </c>
      <c r="Y14" s="253">
        <f t="shared" si="1"/>
        <v>698044.89884393057</v>
      </c>
    </row>
    <row r="15" spans="1:25" ht="14.4">
      <c r="A15" s="59">
        <f t="shared" si="2"/>
        <v>14</v>
      </c>
      <c r="B15" s="88" t="s">
        <v>115</v>
      </c>
      <c r="C15" s="147" t="s">
        <v>116</v>
      </c>
      <c r="D15" s="138"/>
      <c r="E15" s="59">
        <f t="shared" si="8"/>
        <v>14</v>
      </c>
      <c r="F15" s="102" t="s">
        <v>77</v>
      </c>
      <c r="G15" s="102" t="s">
        <v>72</v>
      </c>
      <c r="H15" s="103" t="str">
        <f t="shared" si="13"/>
        <v>KATEGORI A</v>
      </c>
      <c r="I15" s="102" t="s">
        <v>78</v>
      </c>
      <c r="J15" s="102" t="s">
        <v>78</v>
      </c>
      <c r="K15" s="111">
        <v>2961337</v>
      </c>
      <c r="L15" s="100">
        <f t="shared" si="3"/>
        <v>1430000</v>
      </c>
      <c r="M15" s="110">
        <f t="shared" si="14"/>
        <v>418826.93930635834</v>
      </c>
      <c r="N15" s="58">
        <f t="shared" si="4"/>
        <v>1550000</v>
      </c>
      <c r="O15" s="70">
        <f>'RINCIAN GAJI - GROSS'!W16</f>
        <v>6162543.086010294</v>
      </c>
      <c r="P15" s="70"/>
      <c r="Q15" s="94">
        <v>3</v>
      </c>
      <c r="R15" s="95">
        <f t="shared" si="5"/>
        <v>114225.52890173411</v>
      </c>
      <c r="S15" s="201">
        <v>6</v>
      </c>
      <c r="T15" s="95">
        <f>S15*2*1/173*(K15+L15)</f>
        <v>304601.41040462424</v>
      </c>
      <c r="U15" s="94"/>
      <c r="V15" s="95">
        <f t="shared" si="6"/>
        <v>0</v>
      </c>
      <c r="W15" s="94"/>
      <c r="X15" s="95">
        <f t="shared" si="7"/>
        <v>0</v>
      </c>
      <c r="Y15" s="253">
        <f t="shared" si="1"/>
        <v>418826.93930635834</v>
      </c>
    </row>
    <row r="16" spans="1:25" ht="14.4">
      <c r="A16" s="59">
        <f t="shared" si="2"/>
        <v>15</v>
      </c>
      <c r="B16" s="88" t="s">
        <v>117</v>
      </c>
      <c r="C16" s="147" t="s">
        <v>118</v>
      </c>
      <c r="D16" s="138"/>
      <c r="E16" s="59">
        <f t="shared" si="8"/>
        <v>15</v>
      </c>
      <c r="F16" s="102" t="s">
        <v>77</v>
      </c>
      <c r="G16" s="102" t="s">
        <v>72</v>
      </c>
      <c r="H16" s="103" t="str">
        <f t="shared" ref="H16:H22" si="15">IF(OR(G16="TK/0",G16="TK/1",G16="K/0"),"KATEGORI A",IF(OR(G16="TK/2",G16="TK/3",G16="K/1",G16="K/2"),"KATEGORI B",IF(OR(G16="K/3"),"KATEGORI C","")))</f>
        <v>KATEGORI A</v>
      </c>
      <c r="I16" s="102" t="s">
        <v>78</v>
      </c>
      <c r="J16" s="102" t="s">
        <v>78</v>
      </c>
      <c r="K16" s="111">
        <v>2961337</v>
      </c>
      <c r="L16" s="100">
        <f t="shared" si="3"/>
        <v>1430000</v>
      </c>
      <c r="M16" s="110">
        <f t="shared" ref="M16:M18" si="16">+Y16</f>
        <v>101533.80346820809</v>
      </c>
      <c r="N16" s="58">
        <f t="shared" si="4"/>
        <v>1550000</v>
      </c>
      <c r="O16" s="70">
        <f>'RINCIAN GAJI - GROSS'!W17</f>
        <v>5864099.8345149467</v>
      </c>
      <c r="P16" s="70"/>
      <c r="Q16" s="94">
        <v>2</v>
      </c>
      <c r="R16" s="95">
        <f t="shared" ref="R16" si="17">Q16*1.5*1/173*(K16+L16)</f>
        <v>76150.352601156061</v>
      </c>
      <c r="S16" s="201">
        <v>0.5</v>
      </c>
      <c r="T16" s="95">
        <f>S16*2*1/173*(K16+L16)</f>
        <v>25383.450867052023</v>
      </c>
      <c r="U16" s="94"/>
      <c r="V16" s="95">
        <f t="shared" si="6"/>
        <v>0</v>
      </c>
      <c r="W16" s="94"/>
      <c r="X16" s="95">
        <f t="shared" si="7"/>
        <v>0</v>
      </c>
      <c r="Y16" s="253">
        <f t="shared" si="1"/>
        <v>101533.80346820809</v>
      </c>
    </row>
    <row r="17" spans="1:26" ht="14.4">
      <c r="A17" s="59">
        <f t="shared" si="2"/>
        <v>16</v>
      </c>
      <c r="B17" s="88" t="s">
        <v>119</v>
      </c>
      <c r="C17" s="147" t="s">
        <v>120</v>
      </c>
      <c r="D17" s="138" t="s">
        <v>121</v>
      </c>
      <c r="E17" s="59">
        <f t="shared" si="8"/>
        <v>16</v>
      </c>
      <c r="F17" s="102" t="s">
        <v>77</v>
      </c>
      <c r="G17" s="102" t="s">
        <v>72</v>
      </c>
      <c r="H17" s="103" t="str">
        <f t="shared" si="15"/>
        <v>KATEGORI A</v>
      </c>
      <c r="I17" s="102" t="s">
        <v>78</v>
      </c>
      <c r="J17" s="102" t="s">
        <v>78</v>
      </c>
      <c r="K17" s="111">
        <v>2961337</v>
      </c>
      <c r="L17" s="100">
        <f t="shared" si="3"/>
        <v>1430000</v>
      </c>
      <c r="M17" s="110">
        <f t="shared" si="16"/>
        <v>266526.23410404625</v>
      </c>
      <c r="N17" s="58">
        <f t="shared" si="4"/>
        <v>1550000</v>
      </c>
      <c r="O17" s="70">
        <f>'RINCIAN GAJI - GROSS'!W18</f>
        <v>6011765.3878600057</v>
      </c>
      <c r="P17" s="70"/>
      <c r="Q17" s="94">
        <v>1</v>
      </c>
      <c r="R17" s="95">
        <f t="shared" si="5"/>
        <v>38075.17630057803</v>
      </c>
      <c r="S17" s="201">
        <v>4.5</v>
      </c>
      <c r="T17" s="95">
        <f>S17*2*1/173*(K17+L17)</f>
        <v>228451.05780346823</v>
      </c>
      <c r="U17" s="94"/>
      <c r="V17" s="95">
        <f t="shared" si="6"/>
        <v>0</v>
      </c>
      <c r="W17" s="94"/>
      <c r="X17" s="95">
        <f t="shared" si="7"/>
        <v>0</v>
      </c>
      <c r="Y17" s="253">
        <f t="shared" si="1"/>
        <v>266526.23410404625</v>
      </c>
    </row>
    <row r="18" spans="1:26" ht="14.4">
      <c r="A18" s="59">
        <f t="shared" si="2"/>
        <v>17</v>
      </c>
      <c r="B18" s="88" t="s">
        <v>122</v>
      </c>
      <c r="C18" s="147" t="s">
        <v>123</v>
      </c>
      <c r="D18" s="138" t="s">
        <v>124</v>
      </c>
      <c r="E18" s="59">
        <f t="shared" si="8"/>
        <v>17</v>
      </c>
      <c r="F18" s="102" t="s">
        <v>77</v>
      </c>
      <c r="G18" s="102" t="s">
        <v>72</v>
      </c>
      <c r="H18" s="103" t="str">
        <f t="shared" si="15"/>
        <v>KATEGORI A</v>
      </c>
      <c r="I18" s="102" t="s">
        <v>78</v>
      </c>
      <c r="J18" s="102" t="s">
        <v>78</v>
      </c>
      <c r="K18" s="111">
        <v>2961337</v>
      </c>
      <c r="L18" s="100">
        <f t="shared" si="3"/>
        <v>1430000</v>
      </c>
      <c r="M18" s="110">
        <f t="shared" si="16"/>
        <v>38075.17630057803</v>
      </c>
      <c r="N18" s="58">
        <f t="shared" si="4"/>
        <v>1550000</v>
      </c>
      <c r="O18" s="70">
        <f>'RINCIAN GAJI - GROSS'!W19</f>
        <v>5801117.1470510736</v>
      </c>
      <c r="P18" s="70"/>
      <c r="Q18" s="94">
        <v>1</v>
      </c>
      <c r="R18" s="95">
        <f t="shared" si="5"/>
        <v>38075.17630057803</v>
      </c>
      <c r="S18" s="191"/>
      <c r="T18" s="95">
        <f>S18*2*1/173*(K18+L18)</f>
        <v>0</v>
      </c>
      <c r="U18" s="94"/>
      <c r="V18" s="95">
        <f t="shared" si="6"/>
        <v>0</v>
      </c>
      <c r="W18" s="94"/>
      <c r="X18" s="95">
        <f t="shared" si="7"/>
        <v>0</v>
      </c>
      <c r="Y18" s="253">
        <f t="shared" si="1"/>
        <v>38075.17630057803</v>
      </c>
    </row>
    <row r="19" spans="1:26" ht="14.4">
      <c r="A19" s="59">
        <f t="shared" si="2"/>
        <v>18</v>
      </c>
      <c r="B19" s="88" t="s">
        <v>125</v>
      </c>
      <c r="C19" s="147" t="s">
        <v>126</v>
      </c>
      <c r="D19" s="138" t="s">
        <v>127</v>
      </c>
      <c r="E19" s="59">
        <f t="shared" si="8"/>
        <v>18</v>
      </c>
      <c r="F19" s="102" t="s">
        <v>77</v>
      </c>
      <c r="G19" s="102" t="s">
        <v>72</v>
      </c>
      <c r="H19" s="103" t="str">
        <f t="shared" ref="H19:H20" si="18">IF(OR(G19="TK/0",G19="TK/1",G19="K/0"),"KATEGORI A",IF(OR(G19="TK/2",G19="TK/3",G19="K/1",G19="K/2"),"KATEGORI B",IF(OR(G19="K/3"),"KATEGORI C","")))</f>
        <v>KATEGORI A</v>
      </c>
      <c r="I19" s="102" t="s">
        <v>78</v>
      </c>
      <c r="J19" s="102" t="s">
        <v>78</v>
      </c>
      <c r="K19" s="111">
        <v>2961337</v>
      </c>
      <c r="L19" s="100">
        <f t="shared" si="3"/>
        <v>1430000</v>
      </c>
      <c r="M19" s="110">
        <f t="shared" ref="M19:M20" si="19">+Y19</f>
        <v>63458.627167630053</v>
      </c>
      <c r="N19" s="58">
        <f t="shared" si="4"/>
        <v>1550000</v>
      </c>
      <c r="O19" s="70">
        <f>'RINCIAN GAJI - GROSS'!W20</f>
        <v>5826310.2220366225</v>
      </c>
      <c r="P19" s="70"/>
      <c r="Q19" s="94">
        <v>1</v>
      </c>
      <c r="R19" s="95">
        <f t="shared" si="5"/>
        <v>38075.17630057803</v>
      </c>
      <c r="S19" s="201">
        <v>0.5</v>
      </c>
      <c r="T19" s="95">
        <f>S19*2*1/173*(K19+L19)</f>
        <v>25383.450867052023</v>
      </c>
      <c r="U19" s="94"/>
      <c r="V19" s="95">
        <f t="shared" si="6"/>
        <v>0</v>
      </c>
      <c r="W19" s="94"/>
      <c r="X19" s="95">
        <f t="shared" si="7"/>
        <v>0</v>
      </c>
      <c r="Y19" s="253">
        <f t="shared" si="1"/>
        <v>63458.627167630053</v>
      </c>
    </row>
    <row r="20" spans="1:26" ht="14.4">
      <c r="A20" s="59">
        <f t="shared" si="2"/>
        <v>19</v>
      </c>
      <c r="B20" s="88" t="s">
        <v>128</v>
      </c>
      <c r="C20" s="147" t="s">
        <v>129</v>
      </c>
      <c r="D20" s="138" t="s">
        <v>130</v>
      </c>
      <c r="E20" s="59">
        <f t="shared" si="8"/>
        <v>19</v>
      </c>
      <c r="F20" s="102" t="s">
        <v>77</v>
      </c>
      <c r="G20" s="102" t="s">
        <v>72</v>
      </c>
      <c r="H20" s="103" t="str">
        <f t="shared" si="18"/>
        <v>KATEGORI A</v>
      </c>
      <c r="I20" s="102" t="s">
        <v>78</v>
      </c>
      <c r="J20" s="102" t="s">
        <v>78</v>
      </c>
      <c r="K20" s="111">
        <v>2961337</v>
      </c>
      <c r="L20" s="100">
        <f t="shared" si="3"/>
        <v>1430000</v>
      </c>
      <c r="M20" s="110">
        <f t="shared" si="19"/>
        <v>1053413.2109826589</v>
      </c>
      <c r="N20" s="58">
        <f t="shared" si="4"/>
        <v>1550000</v>
      </c>
      <c r="O20" s="70">
        <f>'RINCIAN GAJI - GROSS'!W21</f>
        <v>6772726.8434666255</v>
      </c>
      <c r="P20" s="70"/>
      <c r="Q20" s="94">
        <v>9</v>
      </c>
      <c r="R20" s="95">
        <f t="shared" si="5"/>
        <v>342676.58670520229</v>
      </c>
      <c r="S20" s="191">
        <v>14</v>
      </c>
      <c r="T20" s="95">
        <f>S20*2*1/173*(K20+L20)</f>
        <v>710736.62427745666</v>
      </c>
      <c r="U20" s="94"/>
      <c r="V20" s="95">
        <f t="shared" si="6"/>
        <v>0</v>
      </c>
      <c r="W20" s="94"/>
      <c r="X20" s="95">
        <f t="shared" si="7"/>
        <v>0</v>
      </c>
      <c r="Y20" s="253">
        <f t="shared" si="1"/>
        <v>1053413.2109826589</v>
      </c>
    </row>
    <row r="21" spans="1:26" ht="14.4">
      <c r="A21" s="59">
        <f t="shared" si="2"/>
        <v>20</v>
      </c>
      <c r="B21" s="88" t="s">
        <v>133</v>
      </c>
      <c r="C21" s="147" t="s">
        <v>131</v>
      </c>
      <c r="D21" s="138" t="s">
        <v>132</v>
      </c>
      <c r="E21" s="59">
        <f t="shared" si="8"/>
        <v>20</v>
      </c>
      <c r="F21" s="102" t="s">
        <v>77</v>
      </c>
      <c r="G21" s="102" t="s">
        <v>71</v>
      </c>
      <c r="H21" s="103" t="str">
        <f t="shared" si="15"/>
        <v>KATEGORI B</v>
      </c>
      <c r="I21" s="102" t="s">
        <v>78</v>
      </c>
      <c r="J21" s="102" t="s">
        <v>78</v>
      </c>
      <c r="K21" s="92">
        <v>2500000</v>
      </c>
      <c r="L21" s="127"/>
      <c r="M21" s="110">
        <f>+Y21+4701000</f>
        <v>4701000</v>
      </c>
      <c r="N21" s="58">
        <v>600000</v>
      </c>
      <c r="O21" s="70">
        <f>'RINCIAN GAJI - GROSS'!W22</f>
        <v>7588970.7860970004</v>
      </c>
      <c r="P21" s="70"/>
      <c r="Q21" s="94"/>
      <c r="R21" s="95">
        <f t="shared" si="5"/>
        <v>0</v>
      </c>
      <c r="S21" s="191"/>
      <c r="T21" s="95">
        <f>S21*2*1/173*(K21+L21)</f>
        <v>0</v>
      </c>
      <c r="U21" s="94"/>
      <c r="V21" s="95">
        <f t="shared" si="6"/>
        <v>0</v>
      </c>
      <c r="W21" s="94"/>
      <c r="X21" s="95">
        <f t="shared" si="7"/>
        <v>0</v>
      </c>
      <c r="Y21" s="253">
        <f t="shared" si="1"/>
        <v>0</v>
      </c>
    </row>
    <row r="22" spans="1:26" ht="14.4">
      <c r="A22" s="59">
        <f t="shared" si="2"/>
        <v>21</v>
      </c>
      <c r="B22" s="178" t="s">
        <v>142</v>
      </c>
      <c r="C22" s="114" t="s">
        <v>134</v>
      </c>
      <c r="D22" s="200" t="s">
        <v>139</v>
      </c>
      <c r="E22" s="59">
        <f t="shared" si="8"/>
        <v>21</v>
      </c>
      <c r="F22" s="102" t="s">
        <v>77</v>
      </c>
      <c r="G22" s="176" t="s">
        <v>72</v>
      </c>
      <c r="H22" s="103" t="str">
        <f t="shared" si="15"/>
        <v>KATEGORI A</v>
      </c>
      <c r="I22" s="102" t="s">
        <v>78</v>
      </c>
      <c r="J22" s="102" t="s">
        <v>78</v>
      </c>
      <c r="K22" s="111">
        <v>2961337</v>
      </c>
      <c r="L22" s="100">
        <f t="shared" si="3"/>
        <v>1430000</v>
      </c>
      <c r="M22" s="110">
        <v>300000</v>
      </c>
      <c r="N22" s="202">
        <f>50000*24</f>
        <v>1200000</v>
      </c>
      <c r="O22" s="70">
        <f>'RINCIAN GAJI - GROSS'!W23</f>
        <v>5713702.5345727503</v>
      </c>
      <c r="P22" s="70"/>
      <c r="Q22" s="94"/>
      <c r="R22" s="95">
        <f t="shared" ref="R22:R24" si="20">Q22*1.5*1/173*(K22+L22)</f>
        <v>0</v>
      </c>
      <c r="S22" s="191"/>
      <c r="T22" s="95">
        <f t="shared" ref="T22:T24" si="21">S22*2*1/173*(K22+L22)</f>
        <v>0</v>
      </c>
      <c r="U22" s="94"/>
      <c r="V22" s="95">
        <f t="shared" ref="V22" si="22">U22*3*1/173*4391337</f>
        <v>0</v>
      </c>
      <c r="W22" s="94"/>
      <c r="X22" s="95">
        <f t="shared" ref="X22" si="23">W22*4*1/173*4391337</f>
        <v>0</v>
      </c>
      <c r="Y22" s="253">
        <f t="shared" ref="Y22" si="24">R22+T22+V22+X22</f>
        <v>0</v>
      </c>
    </row>
    <row r="23" spans="1:26" ht="14.4">
      <c r="A23" s="59">
        <f t="shared" si="2"/>
        <v>22</v>
      </c>
      <c r="B23" s="178" t="s">
        <v>137</v>
      </c>
      <c r="C23" s="114" t="s">
        <v>138</v>
      </c>
      <c r="D23" s="68" t="s">
        <v>140</v>
      </c>
      <c r="E23" s="59">
        <f t="shared" si="8"/>
        <v>22</v>
      </c>
      <c r="F23" s="102" t="s">
        <v>77</v>
      </c>
      <c r="G23" s="176" t="s">
        <v>72</v>
      </c>
      <c r="H23" s="103" t="str">
        <f t="shared" ref="H23:H24" si="25">IF(OR(G23="TK/0",G23="TK/1",G23="K/0"),"KATEGORI A",IF(OR(G23="TK/2",G23="TK/3",G23="K/1",G23="K/2"),"KATEGORI B",IF(OR(G23="K/3"),"KATEGORI C","")))</f>
        <v>KATEGORI A</v>
      </c>
      <c r="I23" s="102" t="s">
        <v>78</v>
      </c>
      <c r="J23" s="102" t="s">
        <v>78</v>
      </c>
      <c r="K23" s="111">
        <v>2961337</v>
      </c>
      <c r="L23" s="100">
        <f t="shared" si="3"/>
        <v>1430000</v>
      </c>
      <c r="M23" s="110">
        <f t="shared" ref="M23:M24" si="26">+Y23</f>
        <v>2614495.4393063583</v>
      </c>
      <c r="N23" s="202">
        <f>50000*18</f>
        <v>900000</v>
      </c>
      <c r="O23" s="70">
        <f>'RINCIAN GAJI - GROSS'!W24</f>
        <v>7652086.1868622629</v>
      </c>
      <c r="P23" s="70"/>
      <c r="Q23" s="94">
        <v>6</v>
      </c>
      <c r="R23" s="95">
        <f t="shared" si="20"/>
        <v>228451.05780346823</v>
      </c>
      <c r="S23" s="201">
        <v>47</v>
      </c>
      <c r="T23" s="95">
        <f t="shared" si="21"/>
        <v>2386044.38150289</v>
      </c>
      <c r="U23" s="94"/>
      <c r="V23" s="95">
        <f t="shared" ref="V23:V24" si="27">U23*3*1/173*4391337</f>
        <v>0</v>
      </c>
      <c r="W23" s="94"/>
      <c r="X23" s="95">
        <f t="shared" ref="X23:X24" si="28">W23*4*1/173*4391337</f>
        <v>0</v>
      </c>
      <c r="Y23" s="253">
        <f t="shared" ref="Y23:Y24" si="29">R23+T23+V23+X23</f>
        <v>2614495.4393063583</v>
      </c>
    </row>
    <row r="24" spans="1:26" ht="14.4">
      <c r="A24" s="59">
        <f t="shared" si="2"/>
        <v>23</v>
      </c>
      <c r="B24" s="178" t="s">
        <v>135</v>
      </c>
      <c r="C24" s="114" t="s">
        <v>136</v>
      </c>
      <c r="D24" s="68" t="s">
        <v>141</v>
      </c>
      <c r="E24" s="59">
        <f t="shared" si="8"/>
        <v>23</v>
      </c>
      <c r="F24" s="102" t="s">
        <v>77</v>
      </c>
      <c r="G24" s="176" t="s">
        <v>73</v>
      </c>
      <c r="H24" s="103" t="str">
        <f t="shared" si="25"/>
        <v>KATEGORI B</v>
      </c>
      <c r="I24" s="102" t="s">
        <v>78</v>
      </c>
      <c r="J24" s="102" t="s">
        <v>78</v>
      </c>
      <c r="K24" s="111">
        <v>2961337</v>
      </c>
      <c r="L24" s="100">
        <f t="shared" si="3"/>
        <v>1430000</v>
      </c>
      <c r="M24" s="110">
        <f t="shared" si="26"/>
        <v>126917.25433526011</v>
      </c>
      <c r="N24" s="202">
        <f>50000*16</f>
        <v>800000</v>
      </c>
      <c r="O24" s="70">
        <f>'RINCIAN GAJI - GROSS'!W25</f>
        <v>5186514.1443352597</v>
      </c>
      <c r="P24" s="70"/>
      <c r="Q24" s="94">
        <v>2</v>
      </c>
      <c r="R24" s="95">
        <f t="shared" si="20"/>
        <v>76150.352601156061</v>
      </c>
      <c r="S24" s="201">
        <v>1</v>
      </c>
      <c r="T24" s="95">
        <f t="shared" si="21"/>
        <v>50766.901734104045</v>
      </c>
      <c r="U24" s="94"/>
      <c r="V24" s="95">
        <f t="shared" si="27"/>
        <v>0</v>
      </c>
      <c r="W24" s="94"/>
      <c r="X24" s="95">
        <f t="shared" si="28"/>
        <v>0</v>
      </c>
      <c r="Y24" s="253">
        <f t="shared" si="29"/>
        <v>126917.25433526011</v>
      </c>
    </row>
    <row r="25" spans="1:26" ht="14.4">
      <c r="A25" s="59"/>
      <c r="B25" s="178"/>
      <c r="C25" s="114"/>
      <c r="D25" s="68"/>
      <c r="E25" s="101"/>
      <c r="F25" s="102"/>
      <c r="G25" s="102"/>
      <c r="H25" s="103"/>
      <c r="I25" s="102"/>
      <c r="J25" s="102"/>
      <c r="K25" s="65"/>
      <c r="L25" s="134"/>
      <c r="M25" s="110"/>
      <c r="N25" s="164"/>
      <c r="O25" s="70">
        <f>'RINCIAN GAJI - GROSS'!W26</f>
        <v>0</v>
      </c>
      <c r="P25" s="70"/>
      <c r="Q25" s="94"/>
      <c r="R25" s="95"/>
      <c r="S25" s="191"/>
      <c r="T25" s="95"/>
      <c r="U25" s="94"/>
      <c r="V25" s="95"/>
      <c r="W25" s="94"/>
      <c r="X25" s="95"/>
      <c r="Y25" s="253"/>
      <c r="Z25" s="157"/>
    </row>
    <row r="26" spans="1:26">
      <c r="A26" s="101"/>
      <c r="B26" s="60"/>
      <c r="C26" s="61"/>
      <c r="D26" s="68"/>
      <c r="E26" s="101"/>
      <c r="F26" s="102"/>
      <c r="G26" s="102"/>
      <c r="H26" s="103"/>
      <c r="I26" s="102"/>
      <c r="J26" s="102"/>
      <c r="K26" s="65"/>
      <c r="L26" s="134"/>
      <c r="M26" s="110"/>
      <c r="N26" s="163"/>
      <c r="O26" s="70">
        <f>'RINCIAN GAJI - GROSS'!W27</f>
        <v>0</v>
      </c>
      <c r="P26" s="70"/>
      <c r="Q26" s="94"/>
      <c r="R26" s="95"/>
      <c r="S26" s="191"/>
      <c r="T26" s="95">
        <f>S26*2*1/173*(K26+L26)</f>
        <v>0</v>
      </c>
      <c r="U26" s="94"/>
      <c r="V26" s="95">
        <f t="shared" si="6"/>
        <v>0</v>
      </c>
      <c r="W26" s="94"/>
      <c r="X26" s="95">
        <f t="shared" si="7"/>
        <v>0</v>
      </c>
      <c r="Y26" s="253">
        <f t="shared" si="1"/>
        <v>0</v>
      </c>
    </row>
    <row r="27" spans="1:26">
      <c r="A27" s="101"/>
      <c r="B27" s="60"/>
      <c r="C27" s="61"/>
      <c r="D27" s="68"/>
      <c r="E27" s="101"/>
      <c r="F27" s="102"/>
      <c r="G27" s="102"/>
      <c r="H27" s="103"/>
      <c r="I27" s="102"/>
      <c r="J27" s="102"/>
      <c r="K27" s="65"/>
      <c r="L27" s="134"/>
      <c r="M27" s="110"/>
      <c r="N27" s="186"/>
      <c r="O27" s="70">
        <f>'RINCIAN GAJI - GROSS'!W28</f>
        <v>0</v>
      </c>
      <c r="P27" s="70"/>
      <c r="Q27" s="94"/>
      <c r="R27" s="95"/>
      <c r="S27" s="191"/>
      <c r="T27" s="95">
        <f>S27*2*1/173*(K27+L27)</f>
        <v>0</v>
      </c>
      <c r="U27" s="94"/>
      <c r="V27" s="95">
        <f t="shared" si="6"/>
        <v>0</v>
      </c>
      <c r="W27" s="94"/>
      <c r="X27" s="95">
        <f t="shared" si="7"/>
        <v>0</v>
      </c>
      <c r="Y27" s="253">
        <f t="shared" si="1"/>
        <v>0</v>
      </c>
    </row>
    <row r="28" spans="1:26">
      <c r="A28" s="180"/>
      <c r="B28" s="256"/>
      <c r="C28" s="181"/>
      <c r="D28" s="182"/>
      <c r="E28" s="59"/>
      <c r="F28" s="183"/>
      <c r="G28" s="184"/>
      <c r="H28" s="185"/>
      <c r="I28" s="184"/>
      <c r="J28" s="184"/>
      <c r="K28" s="92"/>
      <c r="L28" s="100"/>
      <c r="M28" s="129"/>
      <c r="N28" s="202"/>
      <c r="O28" s="70"/>
      <c r="P28" s="270"/>
      <c r="Q28" s="130"/>
      <c r="R28" s="95"/>
      <c r="S28" s="193"/>
      <c r="T28" s="95"/>
      <c r="U28" s="130"/>
      <c r="V28" s="95"/>
      <c r="W28" s="94"/>
      <c r="X28" s="95"/>
      <c r="Y28" s="253"/>
    </row>
    <row r="29" spans="1:26">
      <c r="A29" s="160"/>
      <c r="B29" s="257"/>
      <c r="C29" s="107"/>
      <c r="D29" s="68"/>
      <c r="E29" s="59"/>
      <c r="F29" s="176"/>
      <c r="G29" s="102"/>
      <c r="H29" s="103"/>
      <c r="I29" s="102"/>
      <c r="J29" s="102"/>
      <c r="K29" s="92"/>
      <c r="L29" s="100"/>
      <c r="M29" s="110"/>
      <c r="N29" s="202"/>
      <c r="O29" s="70"/>
      <c r="P29" s="70"/>
      <c r="Q29" s="94"/>
      <c r="R29" s="95"/>
      <c r="S29" s="191"/>
      <c r="T29" s="95"/>
      <c r="U29" s="94"/>
      <c r="V29" s="95"/>
      <c r="W29" s="94"/>
      <c r="X29" s="95"/>
      <c r="Y29" s="253"/>
    </row>
    <row r="30" spans="1:26">
      <c r="A30" s="160"/>
      <c r="B30" s="257"/>
      <c r="C30" s="107"/>
      <c r="D30" s="68"/>
      <c r="E30" s="59"/>
      <c r="F30" s="102"/>
      <c r="G30" s="102"/>
      <c r="H30" s="103"/>
      <c r="I30" s="102"/>
      <c r="J30" s="102"/>
      <c r="K30" s="92"/>
      <c r="L30" s="100"/>
      <c r="M30" s="110"/>
      <c r="N30" s="58"/>
      <c r="O30" s="70"/>
      <c r="P30" s="70"/>
      <c r="Q30" s="94"/>
      <c r="R30" s="95"/>
      <c r="S30" s="191"/>
      <c r="T30" s="95"/>
      <c r="U30" s="94"/>
      <c r="V30" s="95"/>
      <c r="W30" s="94"/>
      <c r="X30" s="95"/>
      <c r="Y30" s="253"/>
    </row>
    <row r="31" spans="1:26">
      <c r="A31" s="160"/>
      <c r="B31" s="258"/>
      <c r="C31" s="61"/>
      <c r="D31" s="62"/>
      <c r="E31" s="59"/>
      <c r="F31" s="63"/>
      <c r="G31" s="63"/>
      <c r="H31" s="64"/>
      <c r="I31" s="63"/>
      <c r="J31" s="63"/>
      <c r="K31" s="92"/>
      <c r="L31" s="100"/>
      <c r="M31" s="110"/>
      <c r="N31" s="58"/>
      <c r="O31" s="70"/>
      <c r="P31" s="70"/>
      <c r="Q31" s="94"/>
      <c r="R31" s="95"/>
      <c r="S31" s="191"/>
      <c r="T31" s="95"/>
      <c r="U31" s="94"/>
      <c r="V31" s="95"/>
      <c r="W31" s="94"/>
      <c r="X31" s="95"/>
      <c r="Y31" s="253"/>
    </row>
    <row r="32" spans="1:26">
      <c r="A32" s="160"/>
      <c r="B32" s="258"/>
      <c r="C32" s="61"/>
      <c r="D32" s="62"/>
      <c r="E32" s="59"/>
      <c r="F32" s="63"/>
      <c r="G32" s="63"/>
      <c r="H32" s="64"/>
      <c r="I32" s="63"/>
      <c r="J32" s="63"/>
      <c r="K32" s="92"/>
      <c r="L32" s="100"/>
      <c r="M32" s="110"/>
      <c r="N32" s="58"/>
      <c r="O32" s="70"/>
      <c r="P32" s="70"/>
      <c r="Q32" s="94"/>
      <c r="R32" s="95"/>
      <c r="S32" s="191"/>
      <c r="T32" s="95"/>
      <c r="U32" s="94"/>
      <c r="V32" s="95"/>
      <c r="W32" s="94"/>
      <c r="X32" s="95"/>
      <c r="Y32" s="253"/>
    </row>
    <row r="33" spans="1:25">
      <c r="A33" s="160"/>
      <c r="B33" s="258"/>
      <c r="C33" s="61"/>
      <c r="D33" s="62"/>
      <c r="E33" s="59"/>
      <c r="F33" s="63"/>
      <c r="G33" s="63"/>
      <c r="H33" s="64"/>
      <c r="I33" s="63"/>
      <c r="J33" s="63"/>
      <c r="K33" s="92"/>
      <c r="L33" s="100"/>
      <c r="M33" s="110"/>
      <c r="N33" s="58"/>
      <c r="O33" s="70"/>
      <c r="P33" s="70"/>
      <c r="Q33" s="94"/>
      <c r="R33" s="95"/>
      <c r="S33" s="191"/>
      <c r="T33" s="95"/>
      <c r="U33" s="94"/>
      <c r="V33" s="95"/>
      <c r="W33" s="94"/>
      <c r="X33" s="95"/>
      <c r="Y33" s="253"/>
    </row>
    <row r="34" spans="1:25">
      <c r="A34" s="160"/>
      <c r="B34" s="258"/>
      <c r="C34" s="61"/>
      <c r="D34" s="62"/>
      <c r="E34" s="59"/>
      <c r="F34" s="63"/>
      <c r="G34" s="63"/>
      <c r="H34" s="64"/>
      <c r="I34" s="63"/>
      <c r="J34" s="63"/>
      <c r="K34" s="92"/>
      <c r="L34" s="100"/>
      <c r="M34" s="110"/>
      <c r="N34" s="202"/>
      <c r="O34" s="70"/>
      <c r="P34" s="70"/>
      <c r="Q34" s="94"/>
      <c r="R34" s="95"/>
      <c r="S34" s="191"/>
      <c r="T34" s="95"/>
      <c r="U34" s="94"/>
      <c r="V34" s="95"/>
      <c r="W34" s="94"/>
      <c r="X34" s="95"/>
      <c r="Y34" s="253"/>
    </row>
    <row r="35" spans="1:25">
      <c r="A35" s="160"/>
      <c r="B35" s="259"/>
      <c r="C35" s="53"/>
      <c r="D35" s="90"/>
      <c r="E35" s="59"/>
      <c r="F35" s="75"/>
      <c r="G35" s="75"/>
      <c r="H35" s="91"/>
      <c r="I35" s="75"/>
      <c r="J35" s="75"/>
      <c r="K35" s="92"/>
      <c r="L35" s="100"/>
      <c r="M35" s="110"/>
      <c r="N35" s="58"/>
      <c r="O35" s="70"/>
      <c r="P35" s="70"/>
      <c r="Q35" s="94"/>
      <c r="R35" s="95"/>
      <c r="S35" s="191"/>
      <c r="T35" s="95"/>
      <c r="U35" s="94"/>
      <c r="V35" s="95"/>
      <c r="W35" s="94"/>
      <c r="X35" s="95"/>
      <c r="Y35" s="253"/>
    </row>
    <row r="36" spans="1:25">
      <c r="A36" s="160"/>
      <c r="B36" s="259"/>
      <c r="C36" s="53"/>
      <c r="D36" s="90"/>
      <c r="E36" s="59"/>
      <c r="F36" s="75"/>
      <c r="G36" s="75"/>
      <c r="H36" s="91"/>
      <c r="I36" s="75"/>
      <c r="J36" s="75"/>
      <c r="K36" s="92"/>
      <c r="L36" s="100"/>
      <c r="M36" s="110"/>
      <c r="N36" s="58"/>
      <c r="O36" s="70"/>
      <c r="P36" s="70"/>
      <c r="Q36" s="94"/>
      <c r="R36" s="95"/>
      <c r="S36" s="191"/>
      <c r="T36" s="95"/>
      <c r="U36" s="94"/>
      <c r="V36" s="95"/>
      <c r="W36" s="94"/>
      <c r="X36" s="95"/>
      <c r="Y36" s="253"/>
    </row>
    <row r="37" spans="1:25">
      <c r="A37" s="160"/>
      <c r="B37" s="260"/>
      <c r="C37" s="74"/>
      <c r="D37" s="62"/>
      <c r="E37" s="59"/>
      <c r="F37" s="63"/>
      <c r="G37" s="63"/>
      <c r="H37" s="64"/>
      <c r="I37" s="63"/>
      <c r="J37" s="78"/>
      <c r="K37" s="92"/>
      <c r="L37" s="100"/>
      <c r="M37" s="110"/>
      <c r="N37" s="58"/>
      <c r="O37" s="70"/>
      <c r="P37" s="70"/>
      <c r="Q37" s="94"/>
      <c r="R37" s="95"/>
      <c r="S37" s="191"/>
      <c r="T37" s="95"/>
      <c r="U37" s="94"/>
      <c r="V37" s="95"/>
      <c r="W37" s="94"/>
      <c r="X37" s="95"/>
      <c r="Y37" s="253"/>
    </row>
    <row r="38" spans="1:25">
      <c r="A38" s="160"/>
      <c r="B38" s="260"/>
      <c r="C38" s="74"/>
      <c r="D38" s="62"/>
      <c r="E38" s="59"/>
      <c r="F38" s="63"/>
      <c r="G38" s="63"/>
      <c r="H38" s="64"/>
      <c r="I38" s="63"/>
      <c r="J38" s="63"/>
      <c r="K38" s="92"/>
      <c r="L38" s="100"/>
      <c r="M38" s="110"/>
      <c r="N38" s="58"/>
      <c r="O38" s="70"/>
      <c r="P38" s="70"/>
      <c r="Q38" s="94"/>
      <c r="R38" s="95"/>
      <c r="S38" s="191"/>
      <c r="T38" s="95"/>
      <c r="U38" s="94"/>
      <c r="V38" s="95"/>
      <c r="W38" s="94"/>
      <c r="X38" s="95"/>
      <c r="Y38" s="253"/>
    </row>
    <row r="39" spans="1:25">
      <c r="A39" s="160"/>
      <c r="B39" s="260"/>
      <c r="C39" s="74"/>
      <c r="D39" s="62"/>
      <c r="E39" s="59"/>
      <c r="F39" s="63"/>
      <c r="G39" s="63"/>
      <c r="H39" s="64"/>
      <c r="I39" s="63"/>
      <c r="J39" s="63"/>
      <c r="K39" s="92"/>
      <c r="L39" s="100"/>
      <c r="M39" s="110"/>
      <c r="N39" s="202"/>
      <c r="O39" s="70"/>
      <c r="P39" s="70"/>
      <c r="Q39" s="94"/>
      <c r="R39" s="95"/>
      <c r="S39" s="191"/>
      <c r="T39" s="95"/>
      <c r="U39" s="94"/>
      <c r="V39" s="95"/>
      <c r="W39" s="94"/>
      <c r="X39" s="95"/>
      <c r="Y39" s="253"/>
    </row>
    <row r="40" spans="1:25">
      <c r="A40" s="160"/>
      <c r="B40" s="260"/>
      <c r="C40" s="74"/>
      <c r="D40" s="62"/>
      <c r="E40" s="59"/>
      <c r="F40" s="63"/>
      <c r="G40" s="63"/>
      <c r="H40" s="64"/>
      <c r="I40" s="63"/>
      <c r="J40" s="63"/>
      <c r="K40" s="92"/>
      <c r="L40" s="100"/>
      <c r="M40" s="110"/>
      <c r="N40" s="202"/>
      <c r="O40" s="70"/>
      <c r="P40" s="70"/>
      <c r="Q40" s="94"/>
      <c r="R40" s="95"/>
      <c r="S40" s="191"/>
      <c r="T40" s="95"/>
      <c r="U40" s="94"/>
      <c r="V40" s="95"/>
      <c r="W40" s="94"/>
      <c r="X40" s="95"/>
      <c r="Y40" s="253"/>
    </row>
    <row r="41" spans="1:25">
      <c r="A41" s="160"/>
      <c r="B41" s="257"/>
      <c r="C41" s="74"/>
      <c r="D41" s="62"/>
      <c r="E41" s="59"/>
      <c r="F41" s="63"/>
      <c r="G41" s="63"/>
      <c r="H41" s="64"/>
      <c r="I41" s="63"/>
      <c r="J41" s="63"/>
      <c r="K41" s="92"/>
      <c r="L41" s="100"/>
      <c r="M41" s="110"/>
      <c r="N41" s="58"/>
      <c r="O41" s="70"/>
      <c r="P41" s="70"/>
      <c r="Q41" s="94"/>
      <c r="R41" s="95"/>
      <c r="S41" s="191"/>
      <c r="T41" s="95"/>
      <c r="U41" s="94"/>
      <c r="V41" s="95"/>
      <c r="W41" s="94"/>
      <c r="X41" s="95"/>
      <c r="Y41" s="253"/>
    </row>
    <row r="42" spans="1:25">
      <c r="A42" s="160"/>
      <c r="B42" s="257"/>
      <c r="C42" s="74"/>
      <c r="D42" s="62"/>
      <c r="E42" s="59"/>
      <c r="F42" s="63"/>
      <c r="G42" s="63"/>
      <c r="H42" s="64"/>
      <c r="I42" s="63"/>
      <c r="J42" s="63"/>
      <c r="K42" s="92"/>
      <c r="L42" s="100"/>
      <c r="M42" s="110"/>
      <c r="N42" s="58"/>
      <c r="O42" s="70"/>
      <c r="P42" s="70"/>
      <c r="Q42" s="94"/>
      <c r="R42" s="95"/>
      <c r="S42" s="191"/>
      <c r="T42" s="95"/>
      <c r="U42" s="94"/>
      <c r="V42" s="95"/>
      <c r="W42" s="94"/>
      <c r="X42" s="95"/>
      <c r="Y42" s="253"/>
    </row>
    <row r="43" spans="1:25">
      <c r="A43" s="160"/>
      <c r="B43" s="257"/>
      <c r="C43" s="74"/>
      <c r="D43" s="62"/>
      <c r="E43" s="59"/>
      <c r="F43" s="63"/>
      <c r="G43" s="63"/>
      <c r="H43" s="64"/>
      <c r="I43" s="63"/>
      <c r="J43" s="63"/>
      <c r="K43" s="92"/>
      <c r="L43" s="100"/>
      <c r="M43" s="110"/>
      <c r="N43" s="202"/>
      <c r="O43" s="70"/>
      <c r="P43" s="70"/>
      <c r="Q43" s="94"/>
      <c r="R43" s="95"/>
      <c r="S43" s="191"/>
      <c r="T43" s="95"/>
      <c r="U43" s="94"/>
      <c r="V43" s="95"/>
      <c r="W43" s="94"/>
      <c r="X43" s="95"/>
      <c r="Y43" s="253"/>
    </row>
    <row r="44" spans="1:25">
      <c r="A44" s="160"/>
      <c r="B44" s="257"/>
      <c r="C44" s="74"/>
      <c r="D44" s="62"/>
      <c r="E44" s="59"/>
      <c r="F44" s="63"/>
      <c r="G44" s="63"/>
      <c r="H44" s="64"/>
      <c r="I44" s="63"/>
      <c r="J44" s="63"/>
      <c r="K44" s="92"/>
      <c r="L44" s="100"/>
      <c r="M44" s="110"/>
      <c r="N44" s="58"/>
      <c r="O44" s="70"/>
      <c r="P44" s="70"/>
      <c r="Q44" s="94"/>
      <c r="R44" s="95"/>
      <c r="S44" s="191"/>
      <c r="T44" s="95"/>
      <c r="U44" s="94"/>
      <c r="V44" s="95"/>
      <c r="W44" s="94"/>
      <c r="X44" s="95"/>
      <c r="Y44" s="253"/>
    </row>
    <row r="45" spans="1:25">
      <c r="A45" s="160"/>
      <c r="B45" s="257"/>
      <c r="C45" s="74"/>
      <c r="D45" s="68"/>
      <c r="E45" s="59"/>
      <c r="F45" s="63"/>
      <c r="G45" s="63"/>
      <c r="H45" s="64"/>
      <c r="I45" s="63"/>
      <c r="J45" s="63"/>
      <c r="K45" s="92"/>
      <c r="L45" s="100"/>
      <c r="M45" s="110"/>
      <c r="N45" s="58"/>
      <c r="O45" s="70"/>
      <c r="P45" s="70"/>
      <c r="Q45" s="94"/>
      <c r="R45" s="95"/>
      <c r="S45" s="191"/>
      <c r="T45" s="95"/>
      <c r="U45" s="94"/>
      <c r="V45" s="95"/>
      <c r="W45" s="94"/>
      <c r="X45" s="95"/>
      <c r="Y45" s="253"/>
    </row>
    <row r="46" spans="1:25">
      <c r="A46" s="160"/>
      <c r="B46" s="261"/>
      <c r="C46" s="74"/>
      <c r="D46" s="109"/>
      <c r="E46" s="59"/>
      <c r="F46" s="63"/>
      <c r="G46" s="63"/>
      <c r="H46" s="64"/>
      <c r="I46" s="63"/>
      <c r="J46" s="63"/>
      <c r="K46" s="92"/>
      <c r="L46" s="100"/>
      <c r="M46" s="110"/>
      <c r="N46" s="202"/>
      <c r="O46" s="70"/>
      <c r="P46" s="70"/>
      <c r="Q46" s="94"/>
      <c r="R46" s="95"/>
      <c r="S46" s="191"/>
      <c r="T46" s="95"/>
      <c r="U46" s="94"/>
      <c r="V46" s="95"/>
      <c r="W46" s="94"/>
      <c r="X46" s="95"/>
      <c r="Y46" s="253"/>
    </row>
    <row r="47" spans="1:25">
      <c r="A47" s="160"/>
      <c r="B47" s="261"/>
      <c r="C47" s="74"/>
      <c r="D47" s="109"/>
      <c r="E47" s="59"/>
      <c r="F47" s="63"/>
      <c r="G47" s="63"/>
      <c r="H47" s="64"/>
      <c r="I47" s="63"/>
      <c r="J47" s="63"/>
      <c r="K47" s="92"/>
      <c r="L47" s="100"/>
      <c r="M47" s="110"/>
      <c r="N47" s="58"/>
      <c r="O47" s="70"/>
      <c r="P47" s="70"/>
      <c r="Q47" s="94"/>
      <c r="R47" s="95"/>
      <c r="S47" s="191"/>
      <c r="T47" s="95"/>
      <c r="U47" s="94"/>
      <c r="V47" s="95"/>
      <c r="W47" s="94"/>
      <c r="X47" s="95"/>
      <c r="Y47" s="253"/>
    </row>
    <row r="48" spans="1:25">
      <c r="A48" s="160"/>
      <c r="B48" s="261"/>
      <c r="C48" s="74"/>
      <c r="D48" s="109"/>
      <c r="E48" s="59"/>
      <c r="F48" s="63"/>
      <c r="G48" s="63"/>
      <c r="H48" s="64"/>
      <c r="I48" s="63"/>
      <c r="J48" s="63"/>
      <c r="K48" s="92"/>
      <c r="L48" s="100"/>
      <c r="M48" s="110"/>
      <c r="N48" s="58"/>
      <c r="O48" s="70"/>
      <c r="P48" s="70"/>
      <c r="Q48" s="94"/>
      <c r="R48" s="95"/>
      <c r="S48" s="191"/>
      <c r="T48" s="95"/>
      <c r="U48" s="94"/>
      <c r="V48" s="95"/>
      <c r="W48" s="94"/>
      <c r="X48" s="95"/>
      <c r="Y48" s="253"/>
    </row>
    <row r="49" spans="1:25">
      <c r="A49" s="160"/>
      <c r="B49" s="261"/>
      <c r="C49" s="74"/>
      <c r="D49" s="109"/>
      <c r="E49" s="59"/>
      <c r="F49" s="63"/>
      <c r="G49" s="63"/>
      <c r="H49" s="64"/>
      <c r="I49" s="63"/>
      <c r="J49" s="63"/>
      <c r="K49" s="92"/>
      <c r="L49" s="100"/>
      <c r="M49" s="110"/>
      <c r="N49" s="58"/>
      <c r="O49" s="70"/>
      <c r="P49" s="70"/>
      <c r="Q49" s="94"/>
      <c r="R49" s="95"/>
      <c r="S49" s="191"/>
      <c r="T49" s="95"/>
      <c r="U49" s="94"/>
      <c r="V49" s="95"/>
      <c r="W49" s="94"/>
      <c r="X49" s="95"/>
      <c r="Y49" s="253"/>
    </row>
    <row r="50" spans="1:25">
      <c r="A50" s="160"/>
      <c r="B50" s="261"/>
      <c r="C50" s="74"/>
      <c r="D50" s="109"/>
      <c r="E50" s="59"/>
      <c r="F50" s="63"/>
      <c r="G50" s="63"/>
      <c r="H50" s="64"/>
      <c r="I50" s="63"/>
      <c r="J50" s="63"/>
      <c r="K50" s="92"/>
      <c r="L50" s="100"/>
      <c r="M50" s="110"/>
      <c r="N50" s="58"/>
      <c r="O50" s="70"/>
      <c r="P50" s="70"/>
      <c r="Q50" s="94"/>
      <c r="R50" s="95"/>
      <c r="S50" s="191"/>
      <c r="T50" s="95"/>
      <c r="U50" s="94"/>
      <c r="V50" s="95"/>
      <c r="W50" s="94"/>
      <c r="X50" s="95"/>
      <c r="Y50" s="253"/>
    </row>
    <row r="51" spans="1:25">
      <c r="A51" s="160"/>
      <c r="B51" s="261"/>
      <c r="C51" s="74"/>
      <c r="D51" s="109"/>
      <c r="E51" s="59"/>
      <c r="F51" s="63"/>
      <c r="G51" s="63"/>
      <c r="H51" s="64"/>
      <c r="I51" s="63"/>
      <c r="J51" s="63"/>
      <c r="K51" s="92"/>
      <c r="L51" s="100"/>
      <c r="M51" s="110"/>
      <c r="N51" s="202"/>
      <c r="O51" s="70"/>
      <c r="P51" s="70"/>
      <c r="Q51" s="94"/>
      <c r="R51" s="95"/>
      <c r="S51" s="191"/>
      <c r="T51" s="95"/>
      <c r="U51" s="94"/>
      <c r="V51" s="95"/>
      <c r="W51" s="94"/>
      <c r="X51" s="95"/>
      <c r="Y51" s="253"/>
    </row>
    <row r="52" spans="1:25">
      <c r="A52" s="160"/>
      <c r="B52" s="261"/>
      <c r="C52" s="74"/>
      <c r="D52" s="109"/>
      <c r="E52" s="59"/>
      <c r="F52" s="63"/>
      <c r="G52" s="63"/>
      <c r="H52" s="64"/>
      <c r="I52" s="63"/>
      <c r="J52" s="63"/>
      <c r="K52" s="92"/>
      <c r="L52" s="100"/>
      <c r="M52" s="110"/>
      <c r="N52" s="58"/>
      <c r="O52" s="70"/>
      <c r="P52" s="70"/>
      <c r="Q52" s="94"/>
      <c r="R52" s="95"/>
      <c r="S52" s="191"/>
      <c r="T52" s="95"/>
      <c r="U52" s="94"/>
      <c r="V52" s="95"/>
      <c r="W52" s="94"/>
      <c r="X52" s="95"/>
      <c r="Y52" s="253"/>
    </row>
    <row r="53" spans="1:25">
      <c r="A53" s="160"/>
      <c r="B53" s="261"/>
      <c r="C53" s="74"/>
      <c r="D53" s="109"/>
      <c r="E53" s="59"/>
      <c r="F53" s="63"/>
      <c r="G53" s="63"/>
      <c r="H53" s="64"/>
      <c r="I53" s="63"/>
      <c r="J53" s="63"/>
      <c r="K53" s="92"/>
      <c r="L53" s="100"/>
      <c r="M53" s="110"/>
      <c r="N53" s="58"/>
      <c r="O53" s="70"/>
      <c r="P53" s="70"/>
      <c r="Q53" s="94"/>
      <c r="R53" s="95"/>
      <c r="S53" s="191"/>
      <c r="T53" s="95"/>
      <c r="U53" s="94"/>
      <c r="V53" s="95"/>
      <c r="W53" s="94"/>
      <c r="X53" s="95"/>
      <c r="Y53" s="253"/>
    </row>
    <row r="54" spans="1:25">
      <c r="A54" s="160"/>
      <c r="B54" s="261"/>
      <c r="C54" s="74"/>
      <c r="D54" s="109"/>
      <c r="E54" s="59"/>
      <c r="F54" s="63"/>
      <c r="G54" s="63"/>
      <c r="H54" s="64"/>
      <c r="I54" s="63"/>
      <c r="J54" s="63"/>
      <c r="K54" s="92"/>
      <c r="L54" s="100"/>
      <c r="M54" s="110"/>
      <c r="N54" s="202"/>
      <c r="O54" s="70"/>
      <c r="P54" s="70"/>
      <c r="Q54" s="94"/>
      <c r="R54" s="95"/>
      <c r="S54" s="191"/>
      <c r="T54" s="95"/>
      <c r="U54" s="94"/>
      <c r="V54" s="95"/>
      <c r="W54" s="94"/>
      <c r="X54" s="95"/>
      <c r="Y54" s="253"/>
    </row>
    <row r="55" spans="1:25">
      <c r="A55" s="160"/>
      <c r="B55" s="261"/>
      <c r="C55" s="74"/>
      <c r="D55" s="109"/>
      <c r="E55" s="59"/>
      <c r="F55" s="63"/>
      <c r="G55" s="63"/>
      <c r="H55" s="64"/>
      <c r="I55" s="63"/>
      <c r="J55" s="63"/>
      <c r="K55" s="92"/>
      <c r="L55" s="100"/>
      <c r="M55" s="110"/>
      <c r="N55" s="58"/>
      <c r="O55" s="70"/>
      <c r="P55" s="70"/>
      <c r="Q55" s="94"/>
      <c r="R55" s="95"/>
      <c r="S55" s="191"/>
      <c r="T55" s="95"/>
      <c r="U55" s="94"/>
      <c r="V55" s="95"/>
      <c r="W55" s="94"/>
      <c r="X55" s="95"/>
      <c r="Y55" s="253"/>
    </row>
    <row r="56" spans="1:25">
      <c r="A56" s="160"/>
      <c r="B56" s="261"/>
      <c r="C56" s="74"/>
      <c r="D56" s="109"/>
      <c r="E56" s="59"/>
      <c r="F56" s="63"/>
      <c r="G56" s="63"/>
      <c r="H56" s="64"/>
      <c r="I56" s="63"/>
      <c r="J56" s="63"/>
      <c r="K56" s="92"/>
      <c r="L56" s="100"/>
      <c r="M56" s="110"/>
      <c r="N56" s="58"/>
      <c r="O56" s="70"/>
      <c r="P56" s="70"/>
      <c r="Q56" s="94"/>
      <c r="R56" s="95"/>
      <c r="S56" s="191"/>
      <c r="T56" s="95"/>
      <c r="U56" s="94"/>
      <c r="V56" s="95"/>
      <c r="W56" s="94"/>
      <c r="X56" s="95"/>
      <c r="Y56" s="253"/>
    </row>
    <row r="57" spans="1:25">
      <c r="A57" s="160"/>
      <c r="B57" s="261"/>
      <c r="C57" s="74"/>
      <c r="D57" s="109"/>
      <c r="E57" s="59"/>
      <c r="F57" s="63"/>
      <c r="G57" s="63"/>
      <c r="H57" s="64"/>
      <c r="I57" s="63"/>
      <c r="J57" s="63"/>
      <c r="K57" s="92"/>
      <c r="L57" s="100"/>
      <c r="M57" s="110"/>
      <c r="N57" s="58"/>
      <c r="O57" s="70"/>
      <c r="P57" s="70"/>
      <c r="Q57" s="94"/>
      <c r="R57" s="95"/>
      <c r="S57" s="191"/>
      <c r="T57" s="95"/>
      <c r="U57" s="94"/>
      <c r="V57" s="95"/>
      <c r="W57" s="94"/>
      <c r="X57" s="95"/>
      <c r="Y57" s="253"/>
    </row>
    <row r="58" spans="1:25">
      <c r="A58" s="160"/>
      <c r="B58" s="261"/>
      <c r="C58" s="74"/>
      <c r="D58" s="109"/>
      <c r="E58" s="59"/>
      <c r="F58" s="63"/>
      <c r="G58" s="63"/>
      <c r="H58" s="64"/>
      <c r="I58" s="63"/>
      <c r="J58" s="63"/>
      <c r="K58" s="92"/>
      <c r="L58" s="100"/>
      <c r="M58" s="110"/>
      <c r="N58" s="58"/>
      <c r="O58" s="70"/>
      <c r="P58" s="70"/>
      <c r="Q58" s="94"/>
      <c r="R58" s="95"/>
      <c r="S58" s="191"/>
      <c r="T58" s="95"/>
      <c r="U58" s="94"/>
      <c r="V58" s="95"/>
      <c r="W58" s="94"/>
      <c r="X58" s="95"/>
      <c r="Y58" s="253"/>
    </row>
    <row r="59" spans="1:25">
      <c r="A59" s="160"/>
      <c r="B59" s="261"/>
      <c r="C59" s="74"/>
      <c r="D59" s="109"/>
      <c r="E59" s="59"/>
      <c r="F59" s="63"/>
      <c r="G59" s="78"/>
      <c r="H59" s="64"/>
      <c r="I59" s="63"/>
      <c r="J59" s="63"/>
      <c r="K59" s="92"/>
      <c r="L59" s="100"/>
      <c r="M59" s="110"/>
      <c r="N59" s="58"/>
      <c r="O59" s="70"/>
      <c r="P59" s="70"/>
      <c r="Q59" s="94"/>
      <c r="R59" s="95"/>
      <c r="S59" s="191"/>
      <c r="T59" s="95"/>
      <c r="U59" s="94"/>
      <c r="V59" s="95"/>
      <c r="W59" s="94"/>
      <c r="X59" s="95"/>
      <c r="Y59" s="253"/>
    </row>
    <row r="60" spans="1:25">
      <c r="A60" s="160"/>
      <c r="B60" s="261"/>
      <c r="C60" s="74"/>
      <c r="D60" s="109"/>
      <c r="E60" s="59"/>
      <c r="F60" s="63"/>
      <c r="G60" s="63"/>
      <c r="H60" s="64"/>
      <c r="I60" s="63"/>
      <c r="J60" s="63"/>
      <c r="K60" s="92"/>
      <c r="L60" s="100"/>
      <c r="M60" s="110"/>
      <c r="N60" s="58"/>
      <c r="O60" s="70"/>
      <c r="P60" s="70"/>
      <c r="Q60" s="94"/>
      <c r="R60" s="95"/>
      <c r="S60" s="191"/>
      <c r="T60" s="95"/>
      <c r="U60" s="94"/>
      <c r="V60" s="95"/>
      <c r="W60" s="94"/>
      <c r="X60" s="95"/>
      <c r="Y60" s="253"/>
    </row>
    <row r="61" spans="1:25">
      <c r="A61" s="160"/>
      <c r="B61" s="261"/>
      <c r="C61" s="74"/>
      <c r="D61" s="109"/>
      <c r="E61" s="59"/>
      <c r="F61" s="63"/>
      <c r="G61" s="63"/>
      <c r="H61" s="64"/>
      <c r="I61" s="63"/>
      <c r="J61" s="63"/>
      <c r="K61" s="92"/>
      <c r="L61" s="100"/>
      <c r="M61" s="110"/>
      <c r="N61" s="202"/>
      <c r="O61" s="70"/>
      <c r="P61" s="70"/>
      <c r="Q61" s="94"/>
      <c r="R61" s="95"/>
      <c r="S61" s="191"/>
      <c r="T61" s="95"/>
      <c r="U61" s="94"/>
      <c r="V61" s="95"/>
      <c r="W61" s="94"/>
      <c r="X61" s="95"/>
      <c r="Y61" s="253"/>
    </row>
    <row r="62" spans="1:25">
      <c r="A62" s="160"/>
      <c r="B62" s="261"/>
      <c r="C62" s="74"/>
      <c r="D62" s="109"/>
      <c r="E62" s="59"/>
      <c r="F62" s="63"/>
      <c r="G62" s="78"/>
      <c r="H62" s="64"/>
      <c r="I62" s="63"/>
      <c r="J62" s="63"/>
      <c r="K62" s="92"/>
      <c r="L62" s="100"/>
      <c r="M62" s="110"/>
      <c r="N62" s="58"/>
      <c r="O62" s="70"/>
      <c r="P62" s="70"/>
      <c r="Q62" s="94"/>
      <c r="R62" s="95"/>
      <c r="S62" s="191"/>
      <c r="T62" s="95"/>
      <c r="U62" s="94"/>
      <c r="V62" s="95"/>
      <c r="W62" s="94"/>
      <c r="X62" s="95"/>
      <c r="Y62" s="253"/>
    </row>
    <row r="63" spans="1:25">
      <c r="A63" s="160"/>
      <c r="B63" s="261"/>
      <c r="C63" s="74"/>
      <c r="D63" s="109"/>
      <c r="E63" s="59"/>
      <c r="F63" s="63"/>
      <c r="G63" s="78"/>
      <c r="H63" s="64"/>
      <c r="I63" s="63"/>
      <c r="J63" s="63"/>
      <c r="K63" s="92"/>
      <c r="L63" s="100"/>
      <c r="M63" s="110"/>
      <c r="N63" s="58"/>
      <c r="O63" s="70"/>
      <c r="P63" s="70"/>
      <c r="Q63" s="94"/>
      <c r="R63" s="95"/>
      <c r="S63" s="191"/>
      <c r="T63" s="95"/>
      <c r="U63" s="94"/>
      <c r="V63" s="95"/>
      <c r="W63" s="94"/>
      <c r="X63" s="95"/>
      <c r="Y63" s="253"/>
    </row>
    <row r="64" spans="1:25">
      <c r="A64" s="160"/>
      <c r="B64" s="261"/>
      <c r="C64" s="74"/>
      <c r="D64" s="109"/>
      <c r="E64" s="59"/>
      <c r="F64" s="63"/>
      <c r="G64" s="78"/>
      <c r="H64" s="64"/>
      <c r="I64" s="63"/>
      <c r="J64" s="63"/>
      <c r="K64" s="92"/>
      <c r="L64" s="100"/>
      <c r="M64" s="110"/>
      <c r="N64" s="58"/>
      <c r="O64" s="70"/>
      <c r="P64" s="70"/>
      <c r="Q64" s="94"/>
      <c r="R64" s="95"/>
      <c r="S64" s="191"/>
      <c r="T64" s="95"/>
      <c r="U64" s="94"/>
      <c r="V64" s="95"/>
      <c r="W64" s="94"/>
      <c r="X64" s="95"/>
      <c r="Y64" s="253"/>
    </row>
    <row r="65" spans="1:25">
      <c r="A65" s="160"/>
      <c r="B65" s="261"/>
      <c r="C65" s="74"/>
      <c r="D65" s="109"/>
      <c r="E65" s="59"/>
      <c r="F65" s="63"/>
      <c r="G65" s="78"/>
      <c r="H65" s="64"/>
      <c r="I65" s="63"/>
      <c r="J65" s="63"/>
      <c r="K65" s="92"/>
      <c r="L65" s="100"/>
      <c r="M65" s="110"/>
      <c r="N65" s="58"/>
      <c r="O65" s="70"/>
      <c r="P65" s="70"/>
      <c r="Q65" s="94"/>
      <c r="R65" s="95"/>
      <c r="S65" s="191"/>
      <c r="T65" s="95"/>
      <c r="U65" s="94"/>
      <c r="V65" s="95"/>
      <c r="W65" s="94"/>
      <c r="X65" s="95"/>
      <c r="Y65" s="253"/>
    </row>
    <row r="66" spans="1:25">
      <c r="A66" s="160"/>
      <c r="B66" s="258"/>
      <c r="C66" s="74"/>
      <c r="D66" s="62"/>
      <c r="E66" s="59"/>
      <c r="F66" s="63"/>
      <c r="G66" s="63"/>
      <c r="H66" s="64"/>
      <c r="I66" s="63"/>
      <c r="J66" s="63"/>
      <c r="K66" s="111"/>
      <c r="L66" s="100"/>
      <c r="M66" s="110"/>
      <c r="N66" s="58"/>
      <c r="O66" s="70"/>
      <c r="P66" s="70"/>
      <c r="Q66" s="94"/>
      <c r="R66" s="95"/>
      <c r="S66" s="191"/>
      <c r="T66" s="95"/>
      <c r="U66" s="94"/>
      <c r="V66" s="95"/>
      <c r="W66" s="94"/>
      <c r="X66" s="95"/>
      <c r="Y66" s="253"/>
    </row>
    <row r="67" spans="1:25">
      <c r="A67" s="160"/>
      <c r="B67" s="258"/>
      <c r="C67" s="74"/>
      <c r="D67" s="69"/>
      <c r="E67" s="59"/>
      <c r="F67" s="63"/>
      <c r="G67" s="63"/>
      <c r="H67" s="64"/>
      <c r="I67" s="63"/>
      <c r="J67" s="63"/>
      <c r="K67" s="92"/>
      <c r="L67" s="100"/>
      <c r="M67" s="110"/>
      <c r="N67" s="58"/>
      <c r="O67" s="70"/>
      <c r="P67" s="70"/>
      <c r="Q67" s="94"/>
      <c r="R67" s="95"/>
      <c r="S67" s="191"/>
      <c r="T67" s="95"/>
      <c r="U67" s="94"/>
      <c r="V67" s="95"/>
      <c r="W67" s="94"/>
      <c r="X67" s="95"/>
      <c r="Y67" s="253"/>
    </row>
    <row r="68" spans="1:25" ht="14.4">
      <c r="A68" s="160"/>
      <c r="B68" s="187"/>
      <c r="C68" s="114"/>
      <c r="D68" s="69"/>
      <c r="E68" s="59"/>
      <c r="F68" s="63"/>
      <c r="G68" s="63"/>
      <c r="H68" s="64"/>
      <c r="I68" s="63"/>
      <c r="J68" s="78"/>
      <c r="K68" s="111"/>
      <c r="L68" s="100"/>
      <c r="M68" s="110"/>
      <c r="N68" s="58"/>
      <c r="O68" s="70"/>
      <c r="P68" s="70"/>
      <c r="Q68" s="94"/>
      <c r="R68" s="95"/>
      <c r="S68" s="191"/>
      <c r="T68" s="95"/>
      <c r="U68" s="94"/>
      <c r="V68" s="95"/>
      <c r="W68" s="94"/>
      <c r="X68" s="95"/>
      <c r="Y68" s="253"/>
    </row>
    <row r="69" spans="1:25" ht="14.4">
      <c r="A69" s="160"/>
      <c r="B69" s="187"/>
      <c r="C69" s="114"/>
      <c r="D69" s="69"/>
      <c r="E69" s="59"/>
      <c r="F69" s="63"/>
      <c r="G69" s="63"/>
      <c r="H69" s="64"/>
      <c r="I69" s="63"/>
      <c r="J69" s="63"/>
      <c r="K69" s="92"/>
      <c r="L69" s="100"/>
      <c r="M69" s="110"/>
      <c r="N69" s="58"/>
      <c r="O69" s="70"/>
      <c r="P69" s="70"/>
      <c r="Q69" s="94"/>
      <c r="R69" s="95"/>
      <c r="S69" s="191"/>
      <c r="T69" s="95"/>
      <c r="U69" s="94"/>
      <c r="V69" s="95"/>
      <c r="W69" s="94"/>
      <c r="X69" s="95"/>
      <c r="Y69" s="253"/>
    </row>
    <row r="70" spans="1:25">
      <c r="A70" s="160"/>
      <c r="B70" s="187"/>
      <c r="C70" s="74"/>
      <c r="D70" s="62"/>
      <c r="E70" s="59"/>
      <c r="F70" s="63"/>
      <c r="G70" s="63"/>
      <c r="H70" s="64"/>
      <c r="I70" s="63"/>
      <c r="J70" s="63"/>
      <c r="K70" s="92"/>
      <c r="L70" s="100"/>
      <c r="M70" s="110"/>
      <c r="N70" s="58"/>
      <c r="O70" s="70"/>
      <c r="P70" s="70"/>
      <c r="Q70" s="94"/>
      <c r="R70" s="95"/>
      <c r="S70" s="191"/>
      <c r="T70" s="95"/>
      <c r="U70" s="94"/>
      <c r="V70" s="95"/>
      <c r="W70" s="94"/>
      <c r="X70" s="95"/>
      <c r="Y70" s="253"/>
    </row>
    <row r="71" spans="1:25">
      <c r="A71" s="160"/>
      <c r="B71" s="178"/>
      <c r="C71" s="61"/>
      <c r="D71" s="62"/>
      <c r="E71" s="59"/>
      <c r="F71" s="63"/>
      <c r="G71" s="63"/>
      <c r="H71" s="64"/>
      <c r="I71" s="63"/>
      <c r="J71" s="63"/>
      <c r="K71" s="92"/>
      <c r="L71" s="100"/>
      <c r="M71" s="110"/>
      <c r="N71" s="58"/>
      <c r="O71" s="70"/>
      <c r="P71" s="70"/>
      <c r="Q71" s="94"/>
      <c r="R71" s="95"/>
      <c r="S71" s="191"/>
      <c r="T71" s="95"/>
      <c r="U71" s="94"/>
      <c r="V71" s="95"/>
      <c r="W71" s="94"/>
      <c r="X71" s="95"/>
      <c r="Y71" s="253"/>
    </row>
    <row r="72" spans="1:25">
      <c r="A72" s="160"/>
      <c r="B72" s="170"/>
      <c r="C72" s="61"/>
      <c r="D72" s="62"/>
      <c r="E72" s="59"/>
      <c r="F72" s="63"/>
      <c r="G72" s="63"/>
      <c r="H72" s="64"/>
      <c r="I72" s="63"/>
      <c r="J72" s="63"/>
      <c r="K72" s="92"/>
      <c r="L72" s="100"/>
      <c r="M72" s="255"/>
      <c r="N72" s="58"/>
      <c r="O72" s="70"/>
      <c r="P72" s="70"/>
      <c r="Q72" s="94"/>
      <c r="R72" s="95"/>
      <c r="S72" s="191"/>
      <c r="T72" s="95"/>
      <c r="U72" s="94"/>
      <c r="V72" s="95"/>
      <c r="W72" s="94"/>
      <c r="X72" s="95"/>
      <c r="Y72" s="253"/>
    </row>
    <row r="73" spans="1:25">
      <c r="A73" s="160"/>
      <c r="B73" s="170"/>
      <c r="C73" s="61"/>
      <c r="D73" s="62"/>
      <c r="E73" s="59"/>
      <c r="F73" s="63"/>
      <c r="G73" s="63"/>
      <c r="H73" s="64"/>
      <c r="I73" s="63"/>
      <c r="J73" s="63"/>
      <c r="K73" s="92"/>
      <c r="L73" s="100"/>
      <c r="M73" s="254"/>
      <c r="N73" s="58"/>
      <c r="O73" s="70"/>
      <c r="P73" s="70"/>
      <c r="Q73" s="94"/>
      <c r="R73" s="95"/>
      <c r="S73" s="191"/>
      <c r="T73" s="95"/>
      <c r="U73" s="94"/>
      <c r="V73" s="95"/>
      <c r="W73" s="94"/>
      <c r="X73" s="95"/>
      <c r="Y73" s="253"/>
    </row>
    <row r="74" spans="1:25">
      <c r="A74" s="160"/>
      <c r="B74" s="170"/>
      <c r="C74" s="61"/>
      <c r="D74" s="62"/>
      <c r="E74" s="59"/>
      <c r="F74" s="63"/>
      <c r="G74" s="63"/>
      <c r="H74" s="64"/>
      <c r="I74" s="63"/>
      <c r="J74" s="63"/>
      <c r="K74" s="92"/>
      <c r="L74" s="100"/>
      <c r="M74" s="110"/>
      <c r="N74" s="58"/>
      <c r="O74" s="70"/>
      <c r="P74" s="70"/>
      <c r="Q74" s="94"/>
      <c r="R74" s="95"/>
      <c r="S74" s="191"/>
      <c r="T74" s="95"/>
      <c r="U74" s="94"/>
      <c r="V74" s="95"/>
      <c r="W74" s="94"/>
      <c r="X74" s="95"/>
      <c r="Y74" s="253"/>
    </row>
    <row r="75" spans="1:25">
      <c r="A75" s="160"/>
      <c r="B75" s="170"/>
      <c r="C75" s="61"/>
      <c r="D75" s="62"/>
      <c r="E75" s="59"/>
      <c r="F75" s="63"/>
      <c r="G75" s="63"/>
      <c r="H75" s="64"/>
      <c r="I75" s="63"/>
      <c r="J75" s="63"/>
      <c r="K75" s="92"/>
      <c r="L75" s="100"/>
      <c r="M75" s="167"/>
      <c r="N75" s="58"/>
      <c r="O75" s="70"/>
      <c r="P75" s="70"/>
      <c r="Q75" s="94"/>
      <c r="R75" s="95"/>
      <c r="S75" s="201"/>
      <c r="T75" s="95"/>
      <c r="U75" s="94"/>
      <c r="V75" s="95"/>
      <c r="W75" s="94"/>
      <c r="X75" s="95"/>
      <c r="Y75" s="253"/>
    </row>
    <row r="76" spans="1:25">
      <c r="A76" s="160"/>
      <c r="B76" s="170"/>
      <c r="C76" s="61"/>
      <c r="D76" s="62"/>
      <c r="E76" s="59"/>
      <c r="F76" s="63"/>
      <c r="G76" s="63"/>
      <c r="H76" s="64"/>
      <c r="I76" s="63"/>
      <c r="J76" s="63"/>
      <c r="K76" s="92"/>
      <c r="L76" s="100"/>
      <c r="M76" s="167"/>
      <c r="N76" s="58"/>
      <c r="O76" s="70"/>
      <c r="P76" s="70"/>
      <c r="Q76" s="94"/>
      <c r="R76" s="95"/>
      <c r="S76" s="191"/>
      <c r="T76" s="95"/>
      <c r="U76" s="94"/>
      <c r="V76" s="95"/>
      <c r="W76" s="94"/>
      <c r="X76" s="95"/>
      <c r="Y76" s="253"/>
    </row>
    <row r="77" spans="1:25">
      <c r="A77" s="160"/>
      <c r="B77" s="170"/>
      <c r="C77" s="89"/>
      <c r="D77" s="90"/>
      <c r="E77" s="59"/>
      <c r="F77" s="75"/>
      <c r="G77" s="75"/>
      <c r="H77" s="91"/>
      <c r="I77" s="75"/>
      <c r="J77" s="75"/>
      <c r="K77" s="111"/>
      <c r="L77" s="100"/>
      <c r="M77" s="110"/>
      <c r="N77" s="58"/>
      <c r="O77" s="70"/>
      <c r="P77" s="70"/>
      <c r="Q77" s="94"/>
      <c r="R77" s="95"/>
      <c r="S77" s="191"/>
      <c r="T77" s="95"/>
      <c r="U77" s="94"/>
      <c r="V77" s="95"/>
      <c r="W77" s="94"/>
      <c r="X77" s="95"/>
      <c r="Y77" s="253"/>
    </row>
    <row r="78" spans="1:25">
      <c r="A78" s="160"/>
      <c r="B78" s="170"/>
      <c r="C78" s="61"/>
      <c r="D78" s="62"/>
      <c r="E78" s="59"/>
      <c r="F78" s="63"/>
      <c r="G78" s="63"/>
      <c r="H78" s="64"/>
      <c r="I78" s="63"/>
      <c r="J78" s="63"/>
      <c r="K78" s="92"/>
      <c r="L78" s="100"/>
      <c r="M78" s="255"/>
      <c r="N78" s="58"/>
      <c r="O78" s="70"/>
      <c r="P78" s="70"/>
      <c r="Q78" s="94"/>
      <c r="R78" s="95"/>
      <c r="S78" s="191"/>
      <c r="T78" s="95"/>
      <c r="U78" s="94"/>
      <c r="V78" s="95"/>
      <c r="W78" s="94"/>
      <c r="X78" s="95"/>
      <c r="Y78" s="253"/>
    </row>
    <row r="79" spans="1:25">
      <c r="A79" s="160"/>
      <c r="B79" s="174"/>
      <c r="C79" s="74"/>
      <c r="D79" s="68"/>
      <c r="E79" s="59"/>
      <c r="F79" s="63"/>
      <c r="G79" s="78"/>
      <c r="H79" s="64"/>
      <c r="I79" s="63"/>
      <c r="J79" s="63"/>
      <c r="K79" s="92"/>
      <c r="L79" s="100"/>
      <c r="M79" s="110"/>
      <c r="N79" s="58"/>
      <c r="O79" s="70"/>
      <c r="P79" s="70"/>
      <c r="Q79" s="94"/>
      <c r="R79" s="95"/>
      <c r="S79" s="191"/>
      <c r="T79" s="95"/>
      <c r="U79" s="94"/>
      <c r="V79" s="95"/>
      <c r="W79" s="94"/>
      <c r="X79" s="95"/>
      <c r="Y79" s="253"/>
    </row>
    <row r="80" spans="1:25">
      <c r="A80" s="160"/>
      <c r="B80" s="138"/>
      <c r="C80" s="74"/>
      <c r="D80" s="166"/>
      <c r="E80" s="59"/>
      <c r="F80" s="63"/>
      <c r="G80" s="63"/>
      <c r="H80" s="64"/>
      <c r="I80" s="63"/>
      <c r="J80" s="63"/>
      <c r="K80" s="92"/>
      <c r="L80" s="100"/>
      <c r="M80" s="110"/>
      <c r="N80" s="58"/>
      <c r="O80" s="70"/>
      <c r="P80" s="70"/>
      <c r="Q80" s="94"/>
      <c r="R80" s="95"/>
      <c r="S80" s="191"/>
      <c r="T80" s="95"/>
      <c r="U80" s="94"/>
      <c r="V80" s="95"/>
      <c r="W80" s="94"/>
      <c r="X80" s="95"/>
      <c r="Y80" s="253"/>
    </row>
    <row r="81" spans="1:26">
      <c r="A81" s="160"/>
      <c r="B81" s="170"/>
      <c r="C81" s="74"/>
      <c r="D81" s="69"/>
      <c r="E81" s="59"/>
      <c r="F81" s="63"/>
      <c r="G81" s="63"/>
      <c r="H81" s="64"/>
      <c r="I81" s="63"/>
      <c r="J81" s="63"/>
      <c r="K81" s="92"/>
      <c r="L81" s="100"/>
      <c r="M81" s="110"/>
      <c r="N81" s="58"/>
      <c r="O81" s="70"/>
      <c r="P81" s="70"/>
      <c r="Q81" s="94"/>
      <c r="R81" s="95"/>
      <c r="S81" s="191"/>
      <c r="T81" s="95"/>
      <c r="U81" s="94"/>
      <c r="V81" s="95"/>
      <c r="W81" s="94"/>
      <c r="X81" s="95"/>
      <c r="Y81" s="253"/>
    </row>
    <row r="82" spans="1:26">
      <c r="A82" s="160"/>
      <c r="B82" s="172"/>
      <c r="C82" s="74"/>
      <c r="D82" s="69"/>
      <c r="E82" s="59"/>
      <c r="F82" s="63"/>
      <c r="G82" s="63"/>
      <c r="H82" s="64"/>
      <c r="I82" s="63"/>
      <c r="J82" s="78"/>
      <c r="K82" s="92"/>
      <c r="L82" s="100"/>
      <c r="M82" s="110"/>
      <c r="N82" s="58"/>
      <c r="O82" s="70"/>
      <c r="P82" s="70"/>
      <c r="Q82" s="94"/>
      <c r="R82" s="95"/>
      <c r="S82" s="191"/>
      <c r="T82" s="95"/>
      <c r="U82" s="94"/>
      <c r="V82" s="95"/>
      <c r="W82" s="94"/>
      <c r="X82" s="95"/>
      <c r="Y82" s="253"/>
    </row>
    <row r="83" spans="1:26" ht="14.4">
      <c r="A83" s="160"/>
      <c r="B83" s="173"/>
      <c r="C83" s="114"/>
      <c r="D83" s="69"/>
      <c r="E83" s="59"/>
      <c r="F83" s="63"/>
      <c r="G83" s="63"/>
      <c r="H83" s="64"/>
      <c r="I83" s="63"/>
      <c r="J83" s="78"/>
      <c r="K83" s="92"/>
      <c r="L83" s="100"/>
      <c r="M83" s="93"/>
      <c r="N83" s="58"/>
      <c r="O83" s="70"/>
      <c r="P83" s="70"/>
      <c r="Q83" s="94"/>
      <c r="R83" s="95"/>
      <c r="S83" s="191"/>
      <c r="T83" s="95"/>
      <c r="U83" s="94"/>
      <c r="V83" s="95"/>
      <c r="W83" s="94"/>
      <c r="X83" s="95"/>
      <c r="Y83" s="253"/>
    </row>
    <row r="84" spans="1:26" ht="14.4">
      <c r="A84" s="160"/>
      <c r="B84" s="173"/>
      <c r="C84" s="114"/>
      <c r="D84" s="69"/>
      <c r="E84" s="59"/>
      <c r="F84" s="63"/>
      <c r="G84" s="63"/>
      <c r="H84" s="64"/>
      <c r="I84" s="63"/>
      <c r="J84" s="63"/>
      <c r="K84" s="92"/>
      <c r="L84" s="100"/>
      <c r="M84" s="255"/>
      <c r="N84" s="58"/>
      <c r="O84" s="70"/>
      <c r="P84" s="70"/>
      <c r="Q84" s="94"/>
      <c r="R84" s="95"/>
      <c r="S84" s="191"/>
      <c r="T84" s="95"/>
      <c r="U84" s="94"/>
      <c r="V84" s="95"/>
      <c r="W84" s="94"/>
      <c r="X84" s="95"/>
      <c r="Y84" s="253"/>
    </row>
    <row r="85" spans="1:26" ht="14.4">
      <c r="A85" s="160"/>
      <c r="B85" s="171"/>
      <c r="C85" s="114"/>
      <c r="D85" s="69"/>
      <c r="E85" s="59"/>
      <c r="F85" s="63"/>
      <c r="G85" s="63"/>
      <c r="H85" s="64"/>
      <c r="I85" s="63"/>
      <c r="J85" s="63"/>
      <c r="K85" s="92"/>
      <c r="L85" s="167"/>
      <c r="M85" s="110"/>
      <c r="N85" s="58"/>
      <c r="O85" s="70"/>
      <c r="P85" s="70"/>
      <c r="Q85" s="94"/>
      <c r="R85" s="95"/>
      <c r="S85" s="201"/>
      <c r="T85" s="95"/>
      <c r="U85" s="94"/>
      <c r="V85" s="95"/>
      <c r="W85" s="94"/>
      <c r="X85" s="95"/>
      <c r="Y85" s="253"/>
    </row>
    <row r="86" spans="1:26" ht="14.4">
      <c r="A86" s="160"/>
      <c r="B86" s="173"/>
      <c r="C86" s="114"/>
      <c r="D86" s="69"/>
      <c r="E86" s="59"/>
      <c r="F86" s="63"/>
      <c r="G86" s="63"/>
      <c r="H86" s="64"/>
      <c r="I86" s="63"/>
      <c r="J86" s="63"/>
      <c r="K86" s="92"/>
      <c r="L86" s="100"/>
      <c r="M86" s="110"/>
      <c r="N86" s="58"/>
      <c r="O86" s="70"/>
      <c r="P86" s="70"/>
      <c r="Q86" s="94"/>
      <c r="R86" s="95"/>
      <c r="S86" s="201"/>
      <c r="T86" s="95"/>
      <c r="U86" s="94"/>
      <c r="V86" s="95"/>
      <c r="W86" s="94"/>
      <c r="X86" s="95"/>
      <c r="Y86" s="253"/>
    </row>
    <row r="87" spans="1:26" ht="14.4">
      <c r="A87" s="160"/>
      <c r="B87" s="173"/>
      <c r="C87" s="114"/>
      <c r="D87" s="69"/>
      <c r="E87" s="59"/>
      <c r="F87" s="63"/>
      <c r="G87" s="78"/>
      <c r="H87" s="64"/>
      <c r="I87" s="63"/>
      <c r="J87" s="63"/>
      <c r="K87" s="92"/>
      <c r="L87" s="100"/>
      <c r="M87" s="110"/>
      <c r="N87" s="58"/>
      <c r="O87" s="70"/>
      <c r="P87" s="70"/>
      <c r="Q87" s="94"/>
      <c r="R87" s="95"/>
      <c r="S87" s="201"/>
      <c r="T87" s="95"/>
      <c r="U87" s="94"/>
      <c r="V87" s="95"/>
      <c r="W87" s="94"/>
      <c r="X87" s="95"/>
      <c r="Y87" s="253"/>
    </row>
    <row r="88" spans="1:26" ht="14.4">
      <c r="A88" s="160"/>
      <c r="B88" s="171"/>
      <c r="C88" s="114"/>
      <c r="D88" s="69"/>
      <c r="E88" s="59"/>
      <c r="F88" s="63"/>
      <c r="G88" s="63"/>
      <c r="H88" s="64"/>
      <c r="I88" s="63"/>
      <c r="J88" s="63"/>
      <c r="K88" s="92"/>
      <c r="L88" s="93"/>
      <c r="M88" s="110"/>
      <c r="N88" s="58"/>
      <c r="O88" s="70"/>
      <c r="P88" s="70"/>
      <c r="Q88" s="94"/>
      <c r="R88" s="95"/>
      <c r="S88" s="191"/>
      <c r="T88" s="95"/>
      <c r="U88" s="94"/>
      <c r="V88" s="95"/>
      <c r="W88" s="94"/>
      <c r="X88" s="95"/>
      <c r="Y88" s="253"/>
    </row>
    <row r="89" spans="1:26" ht="14.4">
      <c r="A89" s="160"/>
      <c r="B89" s="173"/>
      <c r="C89" s="114"/>
      <c r="D89" s="69"/>
      <c r="E89" s="59"/>
      <c r="F89" s="63"/>
      <c r="G89" s="63"/>
      <c r="H89" s="64"/>
      <c r="I89" s="63"/>
      <c r="J89" s="63"/>
      <c r="K89" s="92"/>
      <c r="L89" s="100"/>
      <c r="M89" s="110"/>
      <c r="N89" s="58"/>
      <c r="O89" s="70"/>
      <c r="P89" s="70"/>
      <c r="Q89" s="94"/>
      <c r="R89" s="95"/>
      <c r="S89" s="191"/>
      <c r="T89" s="95"/>
      <c r="U89" s="94"/>
      <c r="V89" s="95"/>
      <c r="W89" s="94"/>
      <c r="X89" s="95"/>
      <c r="Y89" s="253"/>
    </row>
    <row r="90" spans="1:26" ht="14.4">
      <c r="A90" s="160"/>
      <c r="B90" s="173"/>
      <c r="C90" s="114"/>
      <c r="D90" s="69"/>
      <c r="E90" s="59"/>
      <c r="F90" s="63"/>
      <c r="G90" s="63"/>
      <c r="H90" s="64"/>
      <c r="I90" s="63"/>
      <c r="J90" s="63"/>
      <c r="K90" s="92"/>
      <c r="L90" s="100"/>
      <c r="M90" s="110"/>
      <c r="N90" s="58"/>
      <c r="O90" s="70"/>
      <c r="P90" s="70"/>
      <c r="Q90" s="94"/>
      <c r="R90" s="95"/>
      <c r="S90" s="191"/>
      <c r="T90" s="95"/>
      <c r="U90" s="94"/>
      <c r="V90" s="95"/>
      <c r="W90" s="94"/>
      <c r="X90" s="95"/>
      <c r="Y90" s="253"/>
    </row>
    <row r="91" spans="1:26" ht="14.4">
      <c r="A91" s="160"/>
      <c r="B91" s="173"/>
      <c r="C91" s="114"/>
      <c r="D91" s="69"/>
      <c r="E91" s="59"/>
      <c r="F91" s="63"/>
      <c r="G91" s="63"/>
      <c r="H91" s="64"/>
      <c r="I91" s="63"/>
      <c r="J91" s="63"/>
      <c r="K91" s="92"/>
      <c r="L91" s="100"/>
      <c r="M91" s="110"/>
      <c r="N91" s="58"/>
      <c r="O91" s="70"/>
      <c r="P91" s="70"/>
      <c r="Q91" s="94"/>
      <c r="R91" s="95"/>
      <c r="S91" s="191"/>
      <c r="T91" s="95"/>
      <c r="U91" s="94"/>
      <c r="V91" s="95"/>
      <c r="W91" s="94"/>
      <c r="X91" s="95"/>
      <c r="Y91" s="253"/>
    </row>
    <row r="92" spans="1:26" ht="14.4">
      <c r="A92" s="160"/>
      <c r="B92" s="173"/>
      <c r="C92" s="114"/>
      <c r="D92" s="62"/>
      <c r="E92" s="59"/>
      <c r="F92" s="63"/>
      <c r="G92" s="63"/>
      <c r="H92" s="64"/>
      <c r="I92" s="63"/>
      <c r="J92" s="131"/>
      <c r="K92" s="92"/>
      <c r="L92" s="100"/>
      <c r="M92" s="110"/>
      <c r="N92" s="58"/>
      <c r="O92" s="70"/>
      <c r="P92" s="70"/>
      <c r="Q92" s="94"/>
      <c r="R92" s="95"/>
      <c r="S92" s="191"/>
      <c r="T92" s="95"/>
      <c r="U92" s="94"/>
      <c r="V92" s="95"/>
      <c r="W92" s="94"/>
      <c r="X92" s="95"/>
      <c r="Y92" s="253"/>
    </row>
    <row r="93" spans="1:26" ht="14.4">
      <c r="A93" s="160"/>
      <c r="B93" s="60"/>
      <c r="C93" s="122"/>
      <c r="D93" s="68"/>
      <c r="E93" s="59"/>
      <c r="F93" s="102"/>
      <c r="G93" s="102"/>
      <c r="H93" s="103"/>
      <c r="I93" s="102"/>
      <c r="J93" s="102"/>
      <c r="K93" s="65"/>
      <c r="L93" s="100"/>
      <c r="M93" s="110"/>
      <c r="N93" s="58"/>
      <c r="O93" s="70"/>
      <c r="P93" s="70"/>
      <c r="Q93" s="94"/>
      <c r="R93" s="95"/>
      <c r="S93" s="191"/>
      <c r="T93" s="95"/>
      <c r="U93" s="94"/>
      <c r="V93" s="95"/>
      <c r="W93" s="94"/>
      <c r="X93" s="95"/>
      <c r="Y93" s="253"/>
    </row>
    <row r="94" spans="1:26" ht="14.4">
      <c r="A94" s="160"/>
      <c r="B94" s="177"/>
      <c r="C94" s="114"/>
      <c r="D94" s="68"/>
      <c r="E94" s="59"/>
      <c r="F94" s="63"/>
      <c r="G94" s="63"/>
      <c r="H94" s="64"/>
      <c r="I94" s="63"/>
      <c r="J94" s="63"/>
      <c r="K94" s="92"/>
      <c r="L94" s="100"/>
      <c r="M94" s="110"/>
      <c r="N94" s="58"/>
      <c r="O94" s="70"/>
      <c r="P94" s="70"/>
      <c r="Q94" s="94"/>
      <c r="R94" s="95"/>
      <c r="S94" s="191"/>
      <c r="T94" s="95"/>
      <c r="U94" s="94"/>
      <c r="V94" s="95"/>
      <c r="W94" s="94"/>
      <c r="X94" s="95"/>
      <c r="Y94" s="253"/>
    </row>
    <row r="95" spans="1:26">
      <c r="A95" s="160"/>
      <c r="B95" s="187"/>
      <c r="C95" s="74"/>
      <c r="D95" s="62"/>
      <c r="E95" s="59"/>
      <c r="F95" s="63"/>
      <c r="G95" s="63"/>
      <c r="H95" s="64"/>
      <c r="I95" s="63"/>
      <c r="J95" s="63"/>
      <c r="K95" s="92"/>
      <c r="L95" s="100"/>
      <c r="M95" s="110"/>
      <c r="N95" s="58"/>
      <c r="O95" s="70"/>
      <c r="P95" s="70"/>
      <c r="Q95" s="94"/>
      <c r="R95" s="95"/>
      <c r="S95" s="191"/>
      <c r="T95" s="95"/>
      <c r="U95" s="94"/>
      <c r="V95" s="95"/>
      <c r="W95" s="94"/>
      <c r="X95" s="95"/>
      <c r="Y95" s="253"/>
    </row>
    <row r="96" spans="1:26">
      <c r="A96" s="160"/>
      <c r="B96" s="187"/>
      <c r="C96" s="74"/>
      <c r="D96" s="62"/>
      <c r="E96" s="59"/>
      <c r="F96" s="63"/>
      <c r="G96" s="63"/>
      <c r="H96" s="64"/>
      <c r="I96" s="63"/>
      <c r="J96" s="63"/>
      <c r="K96" s="92"/>
      <c r="L96" s="100"/>
      <c r="M96" s="110"/>
      <c r="N96" s="58"/>
      <c r="O96" s="70"/>
      <c r="P96" s="70"/>
      <c r="Q96" s="94"/>
      <c r="R96" s="95"/>
      <c r="S96" s="191"/>
      <c r="T96" s="95"/>
      <c r="U96" s="94"/>
      <c r="V96" s="95"/>
      <c r="W96" s="94"/>
      <c r="X96" s="95"/>
      <c r="Y96" s="253"/>
      <c r="Z96" s="157"/>
    </row>
    <row r="97" spans="1:26">
      <c r="A97" s="160"/>
      <c r="B97" s="206"/>
      <c r="C97" s="74"/>
      <c r="D97" s="62"/>
      <c r="E97" s="59"/>
      <c r="F97" s="63"/>
      <c r="G97" s="78"/>
      <c r="H97" s="64"/>
      <c r="I97" s="63"/>
      <c r="J97" s="63"/>
      <c r="K97" s="92"/>
      <c r="L97" s="100"/>
      <c r="M97" s="110"/>
      <c r="N97" s="202"/>
      <c r="O97" s="70"/>
      <c r="P97" s="70"/>
      <c r="Q97" s="94"/>
      <c r="R97" s="95"/>
      <c r="S97" s="191"/>
      <c r="T97" s="95"/>
      <c r="U97" s="94"/>
      <c r="V97" s="95"/>
      <c r="W97" s="94"/>
      <c r="X97" s="95"/>
      <c r="Y97" s="253"/>
      <c r="Z97" s="157"/>
    </row>
    <row r="98" spans="1:26">
      <c r="A98" s="160"/>
      <c r="B98" s="206"/>
      <c r="C98" s="74"/>
      <c r="D98" s="62"/>
      <c r="E98" s="59"/>
      <c r="F98" s="63"/>
      <c r="G98" s="78"/>
      <c r="H98" s="64"/>
      <c r="I98" s="63"/>
      <c r="J98" s="63"/>
      <c r="K98" s="111"/>
      <c r="L98" s="100"/>
      <c r="M98" s="110"/>
      <c r="N98" s="202"/>
      <c r="O98" s="70"/>
      <c r="P98" s="70"/>
      <c r="Q98" s="94"/>
      <c r="R98" s="95"/>
      <c r="S98" s="191"/>
      <c r="T98" s="95"/>
      <c r="U98" s="94"/>
      <c r="V98" s="95"/>
      <c r="W98" s="94"/>
      <c r="X98" s="95"/>
      <c r="Y98" s="253"/>
      <c r="Z98" s="157"/>
    </row>
    <row r="99" spans="1:26">
      <c r="A99" s="59"/>
      <c r="B99" s="187"/>
      <c r="C99" s="74"/>
      <c r="D99" s="62"/>
      <c r="E99" s="59"/>
      <c r="F99" s="63"/>
      <c r="G99" s="63"/>
      <c r="H99" s="64"/>
      <c r="I99" s="63"/>
      <c r="J99" s="63"/>
      <c r="K99" s="92"/>
      <c r="L99" s="205"/>
      <c r="M99" s="110"/>
      <c r="N99" s="202"/>
      <c r="O99" s="70"/>
      <c r="P99" s="70"/>
      <c r="Q99" s="94"/>
      <c r="R99" s="95"/>
      <c r="S99" s="191"/>
      <c r="T99" s="95"/>
      <c r="U99" s="94"/>
      <c r="V99" s="95"/>
      <c r="W99" s="94"/>
      <c r="X99" s="95"/>
      <c r="Y99" s="253"/>
      <c r="Z99" s="157"/>
    </row>
    <row r="100" spans="1:26">
      <c r="A100" s="59"/>
      <c r="B100" s="54"/>
      <c r="C100" s="74"/>
      <c r="D100" s="62"/>
      <c r="E100" s="59"/>
      <c r="F100" s="63"/>
      <c r="G100" s="63"/>
      <c r="H100" s="64"/>
      <c r="I100" s="63"/>
      <c r="J100" s="63"/>
      <c r="K100" s="65"/>
      <c r="L100" s="108"/>
      <c r="M100" s="110"/>
      <c r="N100" s="58"/>
      <c r="O100" s="70"/>
      <c r="P100" s="70"/>
      <c r="Q100" s="94"/>
      <c r="R100" s="95"/>
      <c r="S100" s="191"/>
      <c r="T100" s="95"/>
      <c r="U100" s="94"/>
      <c r="V100" s="95"/>
      <c r="W100" s="94"/>
      <c r="X100" s="95"/>
      <c r="Y100" s="253"/>
      <c r="Z100" s="157"/>
    </row>
    <row r="101" spans="1:26">
      <c r="A101" s="59"/>
      <c r="B101" s="54"/>
      <c r="C101" s="57"/>
      <c r="D101" s="90"/>
      <c r="E101" s="59"/>
      <c r="F101" s="75"/>
      <c r="G101" s="75"/>
      <c r="H101" s="91"/>
      <c r="I101" s="75"/>
      <c r="J101" s="78"/>
      <c r="K101" s="92"/>
      <c r="L101" s="100"/>
      <c r="M101" s="262"/>
      <c r="N101" s="58"/>
      <c r="O101" s="70"/>
      <c r="P101" s="70"/>
      <c r="Q101" s="94"/>
      <c r="R101" s="95"/>
      <c r="S101" s="191"/>
      <c r="T101" s="95"/>
      <c r="U101" s="94"/>
      <c r="V101" s="95"/>
      <c r="W101" s="94"/>
      <c r="X101" s="95"/>
      <c r="Y101" s="253"/>
    </row>
    <row r="102" spans="1:26">
      <c r="A102" s="59"/>
      <c r="B102" s="55"/>
      <c r="C102" s="56"/>
      <c r="D102" s="90"/>
      <c r="E102" s="59"/>
      <c r="F102" s="75"/>
      <c r="G102" s="75"/>
      <c r="H102" s="91"/>
      <c r="I102" s="75"/>
      <c r="J102" s="75"/>
      <c r="K102" s="92"/>
      <c r="L102" s="100"/>
      <c r="M102" s="94"/>
      <c r="N102" s="58"/>
      <c r="O102" s="70"/>
      <c r="P102" s="70"/>
      <c r="Q102" s="94"/>
      <c r="R102" s="95"/>
      <c r="S102" s="191"/>
      <c r="T102" s="95"/>
      <c r="U102" s="94"/>
      <c r="V102" s="95"/>
      <c r="W102" s="94"/>
      <c r="X102" s="95"/>
      <c r="Y102" s="253"/>
    </row>
    <row r="103" spans="1:26">
      <c r="A103" s="59"/>
      <c r="B103" s="60"/>
      <c r="C103" s="61"/>
      <c r="D103" s="62"/>
      <c r="E103" s="59"/>
      <c r="F103" s="63"/>
      <c r="G103" s="63"/>
      <c r="H103" s="64"/>
      <c r="I103" s="63"/>
      <c r="J103" s="63"/>
      <c r="K103" s="92"/>
      <c r="L103" s="100"/>
      <c r="M103" s="168"/>
      <c r="N103" s="58"/>
      <c r="O103" s="70"/>
      <c r="P103" s="70"/>
      <c r="Q103" s="94"/>
      <c r="R103" s="95"/>
      <c r="S103" s="191"/>
      <c r="T103" s="95"/>
      <c r="U103" s="94"/>
      <c r="V103" s="95"/>
      <c r="W103" s="94"/>
      <c r="X103" s="95"/>
      <c r="Y103" s="253"/>
    </row>
    <row r="104" spans="1:26">
      <c r="A104" s="59"/>
      <c r="B104" s="55"/>
      <c r="C104" s="53"/>
      <c r="D104" s="90"/>
      <c r="E104" s="59"/>
      <c r="F104" s="75"/>
      <c r="G104" s="75"/>
      <c r="H104" s="91"/>
      <c r="I104" s="75"/>
      <c r="J104" s="75"/>
      <c r="K104" s="92"/>
      <c r="L104" s="100"/>
      <c r="M104" s="110"/>
      <c r="N104" s="58"/>
      <c r="O104" s="70"/>
      <c r="P104" s="70"/>
      <c r="Q104" s="94"/>
      <c r="R104" s="95"/>
      <c r="S104" s="191"/>
      <c r="T104" s="95"/>
      <c r="U104" s="94"/>
      <c r="V104" s="95"/>
      <c r="W104" s="94"/>
      <c r="X104" s="95"/>
      <c r="Y104" s="253"/>
    </row>
    <row r="105" spans="1:26">
      <c r="A105" s="59"/>
      <c r="B105" s="60"/>
      <c r="C105" s="74"/>
      <c r="D105" s="62"/>
      <c r="E105" s="59"/>
      <c r="F105" s="78"/>
      <c r="G105" s="63"/>
      <c r="H105" s="64"/>
      <c r="I105" s="63"/>
      <c r="J105" s="63"/>
      <c r="K105" s="92"/>
      <c r="L105" s="100"/>
      <c r="M105" s="110"/>
      <c r="N105" s="58"/>
      <c r="O105" s="70"/>
      <c r="P105" s="70"/>
      <c r="Q105" s="94"/>
      <c r="R105" s="95"/>
      <c r="S105" s="191"/>
      <c r="T105" s="95"/>
      <c r="U105" s="94"/>
      <c r="V105" s="95"/>
      <c r="W105" s="94"/>
      <c r="X105" s="95"/>
      <c r="Y105" s="253"/>
    </row>
    <row r="106" spans="1:26" ht="14.4">
      <c r="A106" s="59"/>
      <c r="B106" s="60"/>
      <c r="C106" s="114"/>
      <c r="D106" s="62"/>
      <c r="E106" s="59"/>
      <c r="F106" s="63"/>
      <c r="G106" s="63"/>
      <c r="H106" s="64"/>
      <c r="I106" s="63"/>
      <c r="J106" s="63"/>
      <c r="K106" s="92"/>
      <c r="L106" s="100"/>
      <c r="M106" s="110"/>
      <c r="N106" s="58"/>
      <c r="O106" s="70"/>
      <c r="P106" s="70"/>
      <c r="Q106" s="94"/>
      <c r="R106" s="95"/>
      <c r="S106" s="191"/>
      <c r="T106" s="95"/>
      <c r="U106" s="94"/>
      <c r="V106" s="95"/>
      <c r="W106" s="94"/>
      <c r="X106" s="95"/>
      <c r="Y106" s="253"/>
    </row>
    <row r="107" spans="1:26" ht="14.4">
      <c r="A107" s="59"/>
      <c r="B107" s="60"/>
      <c r="C107" s="114"/>
      <c r="D107" s="62"/>
      <c r="E107" s="59"/>
      <c r="F107" s="63"/>
      <c r="G107" s="63"/>
      <c r="H107" s="64"/>
      <c r="I107" s="63"/>
      <c r="J107" s="63"/>
      <c r="K107" s="92"/>
      <c r="L107" s="100"/>
      <c r="M107" s="110"/>
      <c r="N107" s="58"/>
      <c r="O107" s="70"/>
      <c r="P107" s="70"/>
      <c r="Q107" s="94"/>
      <c r="R107" s="95"/>
      <c r="S107" s="191"/>
      <c r="T107" s="95"/>
      <c r="U107" s="94"/>
      <c r="V107" s="95"/>
      <c r="W107" s="94"/>
      <c r="X107" s="95"/>
      <c r="Y107" s="253"/>
    </row>
    <row r="108" spans="1:26" ht="14.4">
      <c r="A108" s="59"/>
      <c r="B108" s="96"/>
      <c r="C108" s="122"/>
      <c r="D108" s="98"/>
      <c r="E108" s="59"/>
      <c r="F108" s="76"/>
      <c r="G108" s="76"/>
      <c r="H108" s="99"/>
      <c r="I108" s="76"/>
      <c r="J108" s="76"/>
      <c r="K108" s="92"/>
      <c r="L108" s="167"/>
      <c r="M108" s="127"/>
      <c r="N108" s="58"/>
      <c r="O108" s="70"/>
      <c r="P108" s="70"/>
      <c r="Q108" s="94"/>
      <c r="R108" s="95"/>
      <c r="S108" s="191"/>
      <c r="T108" s="95"/>
      <c r="U108" s="124"/>
      <c r="V108" s="95"/>
      <c r="W108" s="94"/>
      <c r="X108" s="95"/>
      <c r="Y108" s="253"/>
    </row>
    <row r="109" spans="1:26" ht="14.4">
      <c r="A109" s="59"/>
      <c r="B109" s="60"/>
      <c r="C109" s="114"/>
      <c r="D109" s="68"/>
      <c r="E109" s="59"/>
      <c r="F109" s="76"/>
      <c r="G109" s="76"/>
      <c r="H109" s="99"/>
      <c r="I109" s="76"/>
      <c r="J109" s="76"/>
      <c r="K109" s="92"/>
      <c r="L109" s="100"/>
      <c r="M109" s="127"/>
      <c r="N109" s="58"/>
      <c r="O109" s="70"/>
      <c r="P109" s="70"/>
      <c r="Q109" s="94"/>
      <c r="R109" s="95"/>
      <c r="S109" s="191"/>
      <c r="T109" s="95"/>
      <c r="U109" s="124"/>
      <c r="V109" s="95"/>
      <c r="W109" s="94"/>
      <c r="X109" s="95"/>
      <c r="Y109" s="253"/>
    </row>
    <row r="110" spans="1:26" ht="14.4">
      <c r="A110" s="59"/>
      <c r="B110" s="60"/>
      <c r="C110" s="114"/>
      <c r="D110" s="68"/>
      <c r="E110" s="59"/>
      <c r="F110" s="76"/>
      <c r="G110" s="76"/>
      <c r="H110" s="99"/>
      <c r="I110" s="76"/>
      <c r="J110" s="76"/>
      <c r="K110" s="92"/>
      <c r="L110" s="100"/>
      <c r="M110" s="72"/>
      <c r="N110" s="58"/>
      <c r="O110" s="70"/>
      <c r="P110" s="70"/>
      <c r="Q110" s="94"/>
      <c r="R110" s="95"/>
      <c r="S110" s="191"/>
      <c r="T110" s="95"/>
      <c r="U110" s="124"/>
      <c r="V110" s="95"/>
      <c r="W110" s="94"/>
      <c r="X110" s="95"/>
      <c r="Y110" s="253"/>
    </row>
    <row r="111" spans="1:26" ht="14.4">
      <c r="A111" s="59"/>
      <c r="B111" s="60"/>
      <c r="C111" s="114"/>
      <c r="D111" s="68"/>
      <c r="E111" s="59"/>
      <c r="F111" s="76"/>
      <c r="G111" s="76"/>
      <c r="H111" s="99"/>
      <c r="I111" s="76"/>
      <c r="J111" s="76"/>
      <c r="K111" s="92"/>
      <c r="L111" s="100"/>
      <c r="M111" s="127"/>
      <c r="N111" s="58"/>
      <c r="O111" s="70"/>
      <c r="P111" s="70"/>
      <c r="Q111" s="94"/>
      <c r="R111" s="95"/>
      <c r="S111" s="191"/>
      <c r="T111" s="95"/>
      <c r="U111" s="124"/>
      <c r="V111" s="95"/>
      <c r="W111" s="94"/>
      <c r="X111" s="95"/>
      <c r="Y111" s="253"/>
    </row>
    <row r="112" spans="1:26" ht="14.4">
      <c r="A112" s="59"/>
      <c r="B112" s="96"/>
      <c r="C112" s="122"/>
      <c r="D112" s="135"/>
      <c r="E112" s="59"/>
      <c r="F112" s="76"/>
      <c r="G112" s="76"/>
      <c r="H112" s="99"/>
      <c r="I112" s="76"/>
      <c r="J112" s="76"/>
      <c r="K112" s="92"/>
      <c r="L112" s="100"/>
      <c r="M112" s="127"/>
      <c r="N112" s="58"/>
      <c r="O112" s="70"/>
      <c r="P112" s="70"/>
      <c r="Q112" s="94"/>
      <c r="R112" s="95"/>
      <c r="S112" s="191"/>
      <c r="T112" s="95"/>
      <c r="U112" s="124"/>
      <c r="V112" s="95"/>
      <c r="W112" s="94"/>
      <c r="X112" s="95"/>
      <c r="Y112" s="253"/>
    </row>
    <row r="113" spans="1:25" ht="14.4">
      <c r="A113" s="59"/>
      <c r="B113" s="60"/>
      <c r="C113" s="114"/>
      <c r="D113" s="68"/>
      <c r="E113" s="59"/>
      <c r="F113" s="102"/>
      <c r="G113" s="102"/>
      <c r="H113" s="103"/>
      <c r="I113" s="102"/>
      <c r="J113" s="102"/>
      <c r="K113" s="92"/>
      <c r="L113" s="167"/>
      <c r="M113" s="110"/>
      <c r="N113" s="58"/>
      <c r="O113" s="70"/>
      <c r="P113" s="70"/>
      <c r="Q113" s="94"/>
      <c r="R113" s="95"/>
      <c r="S113" s="191"/>
      <c r="T113" s="95"/>
      <c r="U113" s="94"/>
      <c r="V113" s="95"/>
      <c r="W113" s="94"/>
      <c r="X113" s="95"/>
      <c r="Y113" s="253"/>
    </row>
    <row r="114" spans="1:25" ht="18.600000000000001" customHeight="1">
      <c r="A114" s="59"/>
      <c r="B114" s="60"/>
      <c r="C114" s="114"/>
      <c r="D114" s="68"/>
      <c r="E114" s="59"/>
      <c r="F114" s="102"/>
      <c r="G114" s="102"/>
      <c r="H114" s="103"/>
      <c r="I114" s="102"/>
      <c r="J114" s="102"/>
      <c r="K114" s="92"/>
      <c r="L114" s="167"/>
      <c r="M114" s="110"/>
      <c r="N114" s="58"/>
      <c r="O114" s="70"/>
      <c r="P114" s="70"/>
      <c r="Q114" s="94"/>
      <c r="R114" s="95"/>
      <c r="S114" s="191"/>
      <c r="T114" s="95"/>
      <c r="U114" s="94"/>
      <c r="V114" s="95"/>
      <c r="W114" s="94"/>
      <c r="X114" s="95"/>
      <c r="Y114" s="253"/>
    </row>
    <row r="115" spans="1:25" ht="14.4">
      <c r="A115" s="59"/>
      <c r="B115" s="60"/>
      <c r="C115" s="114"/>
      <c r="D115" s="68"/>
      <c r="E115" s="59"/>
      <c r="F115" s="102"/>
      <c r="G115" s="102"/>
      <c r="H115" s="103"/>
      <c r="I115" s="102"/>
      <c r="J115" s="102"/>
      <c r="K115" s="92"/>
      <c r="L115" s="100"/>
      <c r="M115" s="110"/>
      <c r="N115" s="58"/>
      <c r="O115" s="70"/>
      <c r="P115" s="70"/>
      <c r="Q115" s="94"/>
      <c r="R115" s="95"/>
      <c r="S115" s="191"/>
      <c r="T115" s="95"/>
      <c r="U115" s="94"/>
      <c r="V115" s="95"/>
      <c r="W115" s="94"/>
      <c r="X115" s="95"/>
      <c r="Y115" s="253"/>
    </row>
    <row r="116" spans="1:25" ht="14.4">
      <c r="A116" s="59"/>
      <c r="B116" s="60"/>
      <c r="C116" s="114"/>
      <c r="D116" s="62"/>
      <c r="E116" s="59"/>
      <c r="F116" s="63"/>
      <c r="G116" s="63"/>
      <c r="H116" s="64"/>
      <c r="I116" s="63"/>
      <c r="J116" s="131"/>
      <c r="K116" s="92"/>
      <c r="L116" s="100"/>
      <c r="M116" s="110"/>
      <c r="N116" s="58"/>
      <c r="O116" s="70"/>
      <c r="P116" s="70"/>
      <c r="Q116" s="94"/>
      <c r="R116" s="95"/>
      <c r="S116" s="191"/>
      <c r="T116" s="95"/>
      <c r="U116" s="94"/>
      <c r="V116" s="95"/>
      <c r="W116" s="94"/>
      <c r="X116" s="95"/>
      <c r="Y116" s="253"/>
    </row>
    <row r="117" spans="1:25" ht="14.4">
      <c r="A117" s="59"/>
      <c r="B117" s="96"/>
      <c r="C117" s="122"/>
      <c r="D117" s="98"/>
      <c r="E117" s="59"/>
      <c r="F117" s="76"/>
      <c r="G117" s="76"/>
      <c r="H117" s="99"/>
      <c r="I117" s="76"/>
      <c r="J117" s="146"/>
      <c r="K117" s="92"/>
      <c r="L117" s="100"/>
      <c r="M117" s="110"/>
      <c r="N117" s="58"/>
      <c r="O117" s="70"/>
      <c r="P117" s="269"/>
      <c r="Q117" s="124"/>
      <c r="R117" s="95"/>
      <c r="S117" s="191"/>
      <c r="T117" s="95"/>
      <c r="U117" s="124"/>
      <c r="V117" s="95"/>
      <c r="W117" s="94"/>
      <c r="X117" s="95"/>
      <c r="Y117" s="253"/>
    </row>
    <row r="118" spans="1:25" ht="14.4">
      <c r="A118" s="59"/>
      <c r="B118" s="60"/>
      <c r="C118" s="114"/>
      <c r="D118" s="68"/>
      <c r="E118" s="59"/>
      <c r="F118" s="76"/>
      <c r="G118" s="76"/>
      <c r="H118" s="99"/>
      <c r="I118" s="76"/>
      <c r="J118" s="146"/>
      <c r="K118" s="92"/>
      <c r="L118" s="100"/>
      <c r="M118" s="110"/>
      <c r="N118" s="58"/>
      <c r="O118" s="70"/>
      <c r="P118" s="269"/>
      <c r="Q118" s="124"/>
      <c r="R118" s="95"/>
      <c r="S118" s="192"/>
      <c r="T118" s="95"/>
      <c r="U118" s="124"/>
      <c r="V118" s="95"/>
      <c r="W118" s="94"/>
      <c r="X118" s="95"/>
      <c r="Y118" s="253"/>
    </row>
    <row r="119" spans="1:25" ht="14.4">
      <c r="A119" s="59"/>
      <c r="B119" s="60"/>
      <c r="C119" s="114"/>
      <c r="D119" s="68"/>
      <c r="E119" s="59"/>
      <c r="F119" s="76"/>
      <c r="G119" s="76"/>
      <c r="H119" s="99"/>
      <c r="I119" s="76"/>
      <c r="J119" s="146"/>
      <c r="K119" s="92"/>
      <c r="L119" s="100"/>
      <c r="M119" s="110"/>
      <c r="N119" s="58"/>
      <c r="O119" s="70"/>
      <c r="P119" s="269"/>
      <c r="Q119" s="124"/>
      <c r="R119" s="95"/>
      <c r="S119" s="191"/>
      <c r="T119" s="95"/>
      <c r="U119" s="124"/>
      <c r="V119" s="95"/>
      <c r="W119" s="94"/>
      <c r="X119" s="95"/>
      <c r="Y119" s="253"/>
    </row>
    <row r="120" spans="1:25" ht="14.4">
      <c r="A120" s="59"/>
      <c r="B120" s="60"/>
      <c r="C120" s="114"/>
      <c r="D120" s="68"/>
      <c r="E120" s="59"/>
      <c r="F120" s="76"/>
      <c r="G120" s="76"/>
      <c r="H120" s="99"/>
      <c r="I120" s="76"/>
      <c r="J120" s="146"/>
      <c r="K120" s="92"/>
      <c r="L120" s="100"/>
      <c r="M120" s="125"/>
      <c r="N120" s="58"/>
      <c r="O120" s="70"/>
      <c r="P120" s="269"/>
      <c r="Q120" s="124"/>
      <c r="R120" s="95"/>
      <c r="S120" s="192"/>
      <c r="T120" s="95"/>
      <c r="U120" s="124"/>
      <c r="V120" s="95"/>
      <c r="W120" s="94"/>
      <c r="X120" s="95"/>
      <c r="Y120" s="253"/>
    </row>
    <row r="121" spans="1:25" ht="14.4">
      <c r="A121" s="59"/>
      <c r="B121" s="178"/>
      <c r="C121" s="114"/>
      <c r="D121" s="68"/>
      <c r="E121" s="59"/>
      <c r="F121" s="102"/>
      <c r="G121" s="102"/>
      <c r="H121" s="103"/>
      <c r="I121" s="102"/>
      <c r="J121" s="102"/>
      <c r="K121" s="92"/>
      <c r="L121" s="100"/>
      <c r="M121" s="167"/>
      <c r="N121" s="202"/>
      <c r="O121" s="70"/>
      <c r="P121" s="70"/>
      <c r="Q121" s="94"/>
      <c r="R121" s="95"/>
      <c r="S121" s="191"/>
      <c r="T121" s="95"/>
      <c r="U121" s="94"/>
      <c r="V121" s="95"/>
      <c r="W121" s="94"/>
      <c r="X121" s="95"/>
      <c r="Y121" s="253"/>
    </row>
    <row r="122" spans="1:25" ht="14.4">
      <c r="A122" s="59"/>
      <c r="B122" s="60"/>
      <c r="C122" s="114"/>
      <c r="D122" s="68"/>
      <c r="E122" s="59"/>
      <c r="F122" s="102"/>
      <c r="G122" s="102"/>
      <c r="H122" s="103"/>
      <c r="I122" s="102"/>
      <c r="J122" s="102"/>
      <c r="K122" s="92"/>
      <c r="L122" s="100"/>
      <c r="M122" s="255"/>
      <c r="N122" s="58"/>
      <c r="O122" s="70"/>
      <c r="P122" s="70"/>
      <c r="Q122" s="94"/>
      <c r="R122" s="95"/>
      <c r="S122" s="191"/>
      <c r="T122" s="95"/>
      <c r="U122" s="94"/>
      <c r="V122" s="95"/>
      <c r="W122" s="94"/>
      <c r="X122" s="95"/>
      <c r="Y122" s="253"/>
    </row>
    <row r="123" spans="1:25">
      <c r="A123" s="59"/>
      <c r="B123" s="60"/>
      <c r="C123" s="112"/>
      <c r="D123" s="62"/>
      <c r="E123" s="59"/>
      <c r="F123" s="63"/>
      <c r="G123" s="63"/>
      <c r="H123" s="64"/>
      <c r="I123" s="63"/>
      <c r="J123" s="63"/>
      <c r="K123" s="92"/>
      <c r="L123" s="100"/>
      <c r="M123" s="93"/>
      <c r="N123" s="58"/>
      <c r="O123" s="70"/>
      <c r="P123" s="70"/>
      <c r="Q123" s="94"/>
      <c r="R123" s="95"/>
      <c r="S123" s="191"/>
      <c r="T123" s="95"/>
      <c r="U123" s="94"/>
      <c r="V123" s="95"/>
      <c r="W123" s="94"/>
      <c r="X123" s="95"/>
      <c r="Y123" s="253"/>
    </row>
    <row r="124" spans="1:25">
      <c r="A124" s="59"/>
      <c r="B124" s="60"/>
      <c r="C124" s="112"/>
      <c r="D124" s="68"/>
      <c r="E124" s="59"/>
      <c r="F124" s="76"/>
      <c r="G124" s="76"/>
      <c r="H124" s="99"/>
      <c r="I124" s="63"/>
      <c r="J124" s="63"/>
      <c r="K124" s="92"/>
      <c r="L124" s="100"/>
      <c r="M124" s="93"/>
      <c r="N124" s="58"/>
      <c r="O124" s="70"/>
      <c r="P124" s="269"/>
      <c r="Q124" s="124"/>
      <c r="R124" s="95"/>
      <c r="S124" s="192"/>
      <c r="T124" s="95"/>
      <c r="U124" s="124"/>
      <c r="V124" s="95"/>
      <c r="W124" s="94"/>
      <c r="X124" s="95"/>
      <c r="Y124" s="253"/>
    </row>
    <row r="125" spans="1:25">
      <c r="A125" s="59"/>
      <c r="B125" s="60"/>
      <c r="C125" s="112"/>
      <c r="D125" s="68"/>
      <c r="E125" s="59"/>
      <c r="F125" s="102"/>
      <c r="G125" s="102"/>
      <c r="H125" s="103"/>
      <c r="I125" s="102"/>
      <c r="J125" s="102"/>
      <c r="K125" s="92"/>
      <c r="L125" s="100"/>
      <c r="M125" s="110"/>
      <c r="N125" s="163"/>
      <c r="O125" s="70"/>
      <c r="P125" s="70"/>
      <c r="Q125" s="94"/>
      <c r="R125" s="95"/>
      <c r="S125" s="191"/>
      <c r="T125" s="95"/>
      <c r="U125" s="94"/>
      <c r="V125" s="95"/>
      <c r="W125" s="94"/>
      <c r="X125" s="95"/>
      <c r="Y125" s="253"/>
    </row>
    <row r="126" spans="1:25">
      <c r="A126" s="59"/>
      <c r="B126" s="60"/>
      <c r="C126" s="112"/>
      <c r="D126" s="68"/>
      <c r="E126" s="59"/>
      <c r="F126" s="102"/>
      <c r="G126" s="102"/>
      <c r="H126" s="103"/>
      <c r="I126" s="102"/>
      <c r="J126" s="102"/>
      <c r="K126" s="92"/>
      <c r="L126" s="100"/>
      <c r="M126" s="110"/>
      <c r="N126" s="163"/>
      <c r="O126" s="70"/>
      <c r="P126" s="70"/>
      <c r="Q126" s="94"/>
      <c r="R126" s="95"/>
      <c r="S126" s="191"/>
      <c r="T126" s="95"/>
      <c r="U126" s="94"/>
      <c r="V126" s="95"/>
      <c r="W126" s="94"/>
      <c r="X126" s="95"/>
      <c r="Y126" s="253"/>
    </row>
    <row r="127" spans="1:25">
      <c r="A127" s="59"/>
      <c r="B127" s="60"/>
      <c r="C127" s="112"/>
      <c r="D127" s="68"/>
      <c r="E127" s="59"/>
      <c r="F127" s="102"/>
      <c r="G127" s="102"/>
      <c r="H127" s="103"/>
      <c r="I127" s="102"/>
      <c r="J127" s="102"/>
      <c r="K127" s="92"/>
      <c r="L127" s="100"/>
      <c r="M127" s="110"/>
      <c r="N127" s="163"/>
      <c r="O127" s="70"/>
      <c r="P127" s="70"/>
      <c r="Q127" s="94"/>
      <c r="R127" s="95"/>
      <c r="S127" s="191"/>
      <c r="T127" s="95"/>
      <c r="U127" s="94"/>
      <c r="V127" s="95"/>
      <c r="W127" s="94"/>
      <c r="X127" s="95"/>
      <c r="Y127" s="253"/>
    </row>
    <row r="128" spans="1:25">
      <c r="A128" s="59"/>
      <c r="B128" s="60"/>
      <c r="C128" s="112"/>
      <c r="D128" s="68"/>
      <c r="E128" s="59"/>
      <c r="F128" s="102"/>
      <c r="G128" s="102"/>
      <c r="H128" s="103"/>
      <c r="I128" s="102"/>
      <c r="J128" s="102"/>
      <c r="K128" s="92"/>
      <c r="L128" s="100"/>
      <c r="M128" s="110"/>
      <c r="N128" s="163"/>
      <c r="O128" s="70"/>
      <c r="P128" s="70"/>
      <c r="Q128" s="94"/>
      <c r="R128" s="95"/>
      <c r="S128" s="191"/>
      <c r="T128" s="95"/>
      <c r="U128" s="94"/>
      <c r="V128" s="95"/>
      <c r="W128" s="94"/>
      <c r="X128" s="95"/>
      <c r="Y128" s="253"/>
    </row>
    <row r="129" spans="1:26">
      <c r="A129" s="59"/>
      <c r="B129" s="60"/>
      <c r="C129" s="112"/>
      <c r="D129" s="68"/>
      <c r="E129" s="59"/>
      <c r="F129" s="102"/>
      <c r="G129" s="102"/>
      <c r="H129" s="103"/>
      <c r="I129" s="102"/>
      <c r="J129" s="102"/>
      <c r="K129" s="92"/>
      <c r="L129" s="100"/>
      <c r="M129" s="110"/>
      <c r="N129" s="163"/>
      <c r="O129" s="70"/>
      <c r="P129" s="70"/>
      <c r="Q129" s="94"/>
      <c r="R129" s="95"/>
      <c r="S129" s="191"/>
      <c r="T129" s="95"/>
      <c r="U129" s="94"/>
      <c r="V129" s="95"/>
      <c r="W129" s="94"/>
      <c r="X129" s="95"/>
      <c r="Y129" s="253"/>
    </row>
    <row r="130" spans="1:26" ht="14.4">
      <c r="A130" s="59"/>
      <c r="B130" s="60"/>
      <c r="C130" s="114"/>
      <c r="D130" s="68"/>
      <c r="E130" s="59"/>
      <c r="F130" s="102"/>
      <c r="G130" s="102"/>
      <c r="H130" s="103"/>
      <c r="I130" s="102"/>
      <c r="J130" s="102"/>
      <c r="K130" s="92"/>
      <c r="L130" s="134"/>
      <c r="M130" s="110"/>
      <c r="N130" s="163"/>
      <c r="O130" s="70"/>
      <c r="P130" s="70"/>
      <c r="Q130" s="94"/>
      <c r="R130" s="95"/>
      <c r="S130" s="191"/>
      <c r="T130" s="95"/>
      <c r="U130" s="94"/>
      <c r="V130" s="95"/>
      <c r="W130" s="94"/>
      <c r="X130" s="95"/>
      <c r="Y130" s="253"/>
    </row>
    <row r="131" spans="1:26">
      <c r="A131" s="59"/>
      <c r="B131" s="178"/>
      <c r="C131" s="112"/>
      <c r="D131" s="68"/>
      <c r="E131" s="59"/>
      <c r="F131" s="102"/>
      <c r="G131" s="102"/>
      <c r="H131" s="103"/>
      <c r="I131" s="102"/>
      <c r="J131" s="102"/>
      <c r="K131" s="92"/>
      <c r="L131" s="100"/>
      <c r="M131" s="67"/>
      <c r="N131" s="58"/>
      <c r="O131" s="70"/>
      <c r="P131" s="70"/>
      <c r="Q131" s="94"/>
      <c r="R131" s="95"/>
      <c r="S131" s="191"/>
      <c r="T131" s="95"/>
      <c r="U131" s="94"/>
      <c r="V131" s="95"/>
      <c r="W131" s="94"/>
      <c r="X131" s="95"/>
      <c r="Y131" s="253"/>
    </row>
    <row r="132" spans="1:26">
      <c r="A132" s="59"/>
      <c r="B132" s="88"/>
      <c r="C132" s="112"/>
      <c r="D132" s="68"/>
      <c r="E132" s="59"/>
      <c r="F132" s="102"/>
      <c r="G132" s="102"/>
      <c r="H132" s="103"/>
      <c r="I132" s="102"/>
      <c r="J132" s="102"/>
      <c r="K132" s="92"/>
      <c r="L132" s="100"/>
      <c r="M132" s="67"/>
      <c r="N132" s="58"/>
      <c r="O132" s="70"/>
      <c r="P132" s="70"/>
      <c r="Q132" s="94"/>
      <c r="R132" s="95"/>
      <c r="S132" s="191"/>
      <c r="T132" s="95"/>
      <c r="U132" s="94"/>
      <c r="V132" s="95"/>
      <c r="W132" s="94"/>
      <c r="X132" s="95"/>
      <c r="Y132" s="253"/>
    </row>
    <row r="133" spans="1:26" ht="13.8" customHeight="1">
      <c r="A133" s="59"/>
      <c r="B133" s="88"/>
      <c r="C133" s="112"/>
      <c r="D133" s="68"/>
      <c r="E133" s="59"/>
      <c r="F133" s="102"/>
      <c r="G133" s="102"/>
      <c r="H133" s="103"/>
      <c r="I133" s="102"/>
      <c r="J133" s="102"/>
      <c r="K133" s="92"/>
      <c r="L133" s="100"/>
      <c r="M133" s="67"/>
      <c r="N133" s="58"/>
      <c r="O133" s="70"/>
      <c r="P133" s="70"/>
      <c r="Q133" s="94"/>
      <c r="R133" s="95"/>
      <c r="S133" s="191"/>
      <c r="T133" s="95"/>
      <c r="U133" s="94"/>
      <c r="V133" s="95"/>
      <c r="W133" s="94"/>
      <c r="X133" s="95"/>
      <c r="Y133" s="253"/>
      <c r="Z133" s="157"/>
    </row>
    <row r="134" spans="1:26" ht="13.8" customHeight="1">
      <c r="A134" s="59"/>
      <c r="B134" s="178"/>
      <c r="C134" s="112"/>
      <c r="D134" s="68"/>
      <c r="E134" s="59"/>
      <c r="F134" s="102"/>
      <c r="G134" s="102"/>
      <c r="H134" s="103"/>
      <c r="I134" s="102"/>
      <c r="J134" s="102"/>
      <c r="K134" s="92"/>
      <c r="L134" s="100"/>
      <c r="M134" s="67"/>
      <c r="N134" s="202"/>
      <c r="O134" s="70"/>
      <c r="P134" s="70"/>
      <c r="Q134" s="94"/>
      <c r="R134" s="95"/>
      <c r="S134" s="191"/>
      <c r="T134" s="95"/>
      <c r="U134" s="94"/>
      <c r="V134" s="95"/>
      <c r="W134" s="94"/>
      <c r="X134" s="95"/>
      <c r="Y134" s="253"/>
      <c r="Z134" s="157"/>
    </row>
    <row r="135" spans="1:26" ht="13.8" customHeight="1">
      <c r="A135" s="59"/>
      <c r="B135" s="178"/>
      <c r="C135" s="112"/>
      <c r="D135" s="68"/>
      <c r="E135" s="59"/>
      <c r="F135" s="102"/>
      <c r="G135" s="102"/>
      <c r="H135" s="103"/>
      <c r="I135" s="102"/>
      <c r="J135" s="102"/>
      <c r="K135" s="92"/>
      <c r="L135" s="100"/>
      <c r="M135" s="67"/>
      <c r="N135" s="202"/>
      <c r="O135" s="70"/>
      <c r="P135" s="70"/>
      <c r="Q135" s="94"/>
      <c r="R135" s="95"/>
      <c r="S135" s="191"/>
      <c r="T135" s="95"/>
      <c r="U135" s="94"/>
      <c r="V135" s="95"/>
      <c r="W135" s="94"/>
      <c r="X135" s="95"/>
      <c r="Y135" s="253"/>
      <c r="Z135" s="157"/>
    </row>
    <row r="136" spans="1:26" ht="13.8" customHeight="1">
      <c r="A136" s="59"/>
      <c r="B136" s="178"/>
      <c r="C136" s="112"/>
      <c r="D136" s="68"/>
      <c r="E136" s="59"/>
      <c r="F136" s="102"/>
      <c r="G136" s="102"/>
      <c r="H136" s="103"/>
      <c r="I136" s="102"/>
      <c r="J136" s="102"/>
      <c r="K136" s="92"/>
      <c r="L136" s="207"/>
      <c r="M136" s="67"/>
      <c r="N136" s="202"/>
      <c r="O136" s="70"/>
      <c r="P136" s="70"/>
      <c r="Q136" s="94"/>
      <c r="R136" s="95"/>
      <c r="S136" s="191"/>
      <c r="T136" s="95"/>
      <c r="U136" s="94"/>
      <c r="V136" s="95"/>
      <c r="W136" s="94"/>
      <c r="X136" s="95"/>
      <c r="Y136" s="253"/>
      <c r="Z136" s="157"/>
    </row>
    <row r="137" spans="1:26" ht="13.8" customHeight="1">
      <c r="A137" s="59"/>
      <c r="B137" s="88"/>
      <c r="C137" s="112"/>
      <c r="D137" s="68"/>
      <c r="E137" s="59"/>
      <c r="F137" s="102"/>
      <c r="G137" s="102"/>
      <c r="H137" s="103"/>
      <c r="I137" s="102"/>
      <c r="J137" s="102"/>
      <c r="K137" s="92"/>
      <c r="L137" s="204"/>
      <c r="M137" s="67"/>
      <c r="N137" s="58"/>
      <c r="O137" s="70"/>
      <c r="P137" s="70"/>
      <c r="Q137" s="94"/>
      <c r="R137" s="95"/>
      <c r="S137" s="191"/>
      <c r="T137" s="95"/>
      <c r="U137" s="94"/>
      <c r="V137" s="95"/>
      <c r="W137" s="94"/>
      <c r="X137" s="95"/>
      <c r="Y137" s="253"/>
      <c r="Z137" s="120"/>
    </row>
    <row r="138" spans="1:26">
      <c r="A138" s="59"/>
      <c r="B138" s="178"/>
      <c r="C138" s="112"/>
      <c r="D138" s="68"/>
      <c r="E138" s="59"/>
      <c r="F138" s="102"/>
      <c r="G138" s="102"/>
      <c r="H138" s="103"/>
      <c r="I138" s="102"/>
      <c r="J138" s="102"/>
      <c r="K138" s="65"/>
      <c r="L138" s="188"/>
      <c r="M138" s="67"/>
      <c r="N138" s="58"/>
      <c r="O138" s="70"/>
      <c r="P138" s="70"/>
      <c r="Q138" s="94"/>
      <c r="R138" s="95"/>
      <c r="S138" s="191"/>
      <c r="T138" s="95"/>
      <c r="U138" s="94"/>
      <c r="V138" s="95"/>
      <c r="W138" s="94"/>
      <c r="X138" s="95"/>
      <c r="Y138" s="253"/>
    </row>
    <row r="139" spans="1:26" ht="14.4">
      <c r="A139" s="59"/>
      <c r="B139" s="158"/>
      <c r="C139" s="114"/>
      <c r="D139" s="68"/>
      <c r="E139" s="59"/>
      <c r="F139" s="102"/>
      <c r="G139" s="102"/>
      <c r="H139" s="103"/>
      <c r="I139" s="102"/>
      <c r="J139" s="102"/>
      <c r="K139" s="65"/>
      <c r="L139" s="189"/>
      <c r="M139" s="67"/>
      <c r="N139" s="58"/>
      <c r="O139" s="70"/>
      <c r="P139" s="70"/>
      <c r="Q139" s="94"/>
      <c r="R139" s="95"/>
      <c r="S139" s="191"/>
      <c r="T139" s="95"/>
      <c r="U139" s="94"/>
      <c r="V139" s="95"/>
      <c r="W139" s="94"/>
      <c r="X139" s="95"/>
      <c r="Y139" s="253"/>
    </row>
    <row r="140" spans="1:26">
      <c r="A140" s="59"/>
      <c r="B140" s="60"/>
      <c r="C140" s="61"/>
      <c r="D140" s="62"/>
      <c r="E140" s="59"/>
      <c r="F140" s="63"/>
      <c r="G140" s="63"/>
      <c r="H140" s="64"/>
      <c r="I140" s="63"/>
      <c r="J140" s="63"/>
      <c r="K140" s="92"/>
      <c r="L140" s="100"/>
      <c r="M140" s="67"/>
      <c r="N140" s="58"/>
      <c r="O140" s="70"/>
      <c r="P140" s="70"/>
      <c r="Q140" s="94"/>
      <c r="R140" s="95"/>
      <c r="S140" s="191"/>
      <c r="T140" s="95"/>
      <c r="U140" s="94"/>
      <c r="V140" s="95"/>
      <c r="W140" s="94"/>
      <c r="X140" s="95"/>
      <c r="Y140" s="253"/>
    </row>
    <row r="141" spans="1:26">
      <c r="A141" s="59"/>
      <c r="B141" s="60"/>
      <c r="C141" s="61"/>
      <c r="D141" s="62"/>
      <c r="E141" s="59"/>
      <c r="F141" s="63"/>
      <c r="G141" s="63"/>
      <c r="H141" s="64"/>
      <c r="I141" s="63"/>
      <c r="J141" s="63"/>
      <c r="K141" s="92"/>
      <c r="L141" s="100"/>
      <c r="M141" s="72"/>
      <c r="N141" s="58"/>
      <c r="O141" s="70"/>
      <c r="P141" s="70"/>
      <c r="Q141" s="94"/>
      <c r="R141" s="95"/>
      <c r="S141" s="191"/>
      <c r="T141" s="95"/>
      <c r="U141" s="94"/>
      <c r="V141" s="95"/>
      <c r="W141" s="94"/>
      <c r="X141" s="95"/>
      <c r="Y141" s="253"/>
    </row>
    <row r="142" spans="1:26">
      <c r="A142" s="59"/>
      <c r="B142" s="54"/>
      <c r="C142" s="61"/>
      <c r="D142" s="62"/>
      <c r="E142" s="59"/>
      <c r="F142" s="63"/>
      <c r="G142" s="63"/>
      <c r="H142" s="64"/>
      <c r="I142" s="63"/>
      <c r="J142" s="63"/>
      <c r="K142" s="92"/>
      <c r="L142" s="100"/>
      <c r="M142" s="263"/>
      <c r="N142" s="58"/>
      <c r="O142" s="70"/>
      <c r="P142" s="70"/>
      <c r="Q142" s="94"/>
      <c r="R142" s="95"/>
      <c r="S142" s="191"/>
      <c r="T142" s="95"/>
      <c r="U142" s="94"/>
      <c r="V142" s="95"/>
      <c r="W142" s="94"/>
      <c r="X142" s="95"/>
      <c r="Y142" s="253"/>
    </row>
    <row r="143" spans="1:26" ht="14.4">
      <c r="A143" s="59"/>
      <c r="B143" s="54"/>
      <c r="C143" s="114"/>
      <c r="D143" s="62"/>
      <c r="E143" s="59"/>
      <c r="F143" s="63"/>
      <c r="G143" s="63"/>
      <c r="H143" s="64"/>
      <c r="I143" s="63"/>
      <c r="J143" s="63"/>
      <c r="K143" s="92"/>
      <c r="L143" s="167"/>
      <c r="M143" s="110"/>
      <c r="N143" s="58"/>
      <c r="O143" s="70"/>
      <c r="P143" s="70"/>
      <c r="Q143" s="94"/>
      <c r="R143" s="95"/>
      <c r="S143" s="191"/>
      <c r="T143" s="95"/>
      <c r="U143" s="94"/>
      <c r="V143" s="95"/>
      <c r="W143" s="94"/>
      <c r="X143" s="95"/>
      <c r="Y143" s="253"/>
    </row>
    <row r="144" spans="1:26" ht="14.4">
      <c r="A144" s="59"/>
      <c r="B144" s="54"/>
      <c r="C144" s="114"/>
      <c r="D144" s="62"/>
      <c r="E144" s="59"/>
      <c r="F144" s="63"/>
      <c r="G144" s="63"/>
      <c r="H144" s="64"/>
      <c r="I144" s="63"/>
      <c r="J144" s="63"/>
      <c r="K144" s="92"/>
      <c r="L144" s="100"/>
      <c r="M144" s="93"/>
      <c r="N144" s="202"/>
      <c r="O144" s="70"/>
      <c r="P144" s="70"/>
      <c r="Q144" s="94"/>
      <c r="R144" s="95"/>
      <c r="S144" s="191"/>
      <c r="T144" s="95"/>
      <c r="U144" s="94"/>
      <c r="V144" s="95"/>
      <c r="W144" s="94"/>
      <c r="X144" s="95"/>
      <c r="Y144" s="253"/>
    </row>
    <row r="145" spans="1:25" ht="14.4">
      <c r="A145" s="59"/>
      <c r="B145" s="60"/>
      <c r="C145" s="114"/>
      <c r="D145" s="62"/>
      <c r="E145" s="59"/>
      <c r="F145" s="63"/>
      <c r="G145" s="63"/>
      <c r="H145" s="64"/>
      <c r="I145" s="63"/>
      <c r="J145" s="63"/>
      <c r="K145" s="92"/>
      <c r="L145" s="100"/>
      <c r="M145" s="263"/>
      <c r="N145" s="58"/>
      <c r="O145" s="70"/>
      <c r="P145" s="70"/>
      <c r="Q145" s="94"/>
      <c r="R145" s="95"/>
      <c r="S145" s="191"/>
      <c r="T145" s="95"/>
      <c r="U145" s="94"/>
      <c r="V145" s="95"/>
      <c r="W145" s="94"/>
      <c r="X145" s="95"/>
      <c r="Y145" s="253"/>
    </row>
    <row r="146" spans="1:25" ht="14.4">
      <c r="A146" s="59"/>
      <c r="B146" s="60"/>
      <c r="C146" s="114"/>
      <c r="D146" s="62"/>
      <c r="E146" s="59"/>
      <c r="F146" s="63"/>
      <c r="G146" s="63"/>
      <c r="H146" s="64"/>
      <c r="I146" s="63"/>
      <c r="J146" s="63"/>
      <c r="K146" s="92"/>
      <c r="L146" s="100"/>
      <c r="M146" s="93"/>
      <c r="N146" s="58"/>
      <c r="O146" s="70"/>
      <c r="P146" s="70"/>
      <c r="Q146" s="94"/>
      <c r="R146" s="95"/>
      <c r="S146" s="191"/>
      <c r="T146" s="95"/>
      <c r="U146" s="94"/>
      <c r="V146" s="95"/>
      <c r="W146" s="94"/>
      <c r="X146" s="95"/>
      <c r="Y146" s="253"/>
    </row>
    <row r="147" spans="1:25" ht="14.4">
      <c r="A147" s="59"/>
      <c r="B147" s="60"/>
      <c r="C147" s="114"/>
      <c r="D147" s="62"/>
      <c r="E147" s="59"/>
      <c r="F147" s="63"/>
      <c r="G147" s="63"/>
      <c r="H147" s="64"/>
      <c r="I147" s="63"/>
      <c r="J147" s="63"/>
      <c r="K147" s="92"/>
      <c r="L147" s="100"/>
      <c r="M147" s="93"/>
      <c r="N147" s="58"/>
      <c r="O147" s="70"/>
      <c r="P147" s="70"/>
      <c r="Q147" s="94"/>
      <c r="R147" s="95"/>
      <c r="S147" s="191"/>
      <c r="T147" s="95"/>
      <c r="U147" s="94"/>
      <c r="V147" s="95"/>
      <c r="W147" s="94"/>
      <c r="X147" s="95"/>
      <c r="Y147" s="253"/>
    </row>
    <row r="148" spans="1:25" ht="14.4">
      <c r="A148" s="59"/>
      <c r="B148" s="60"/>
      <c r="C148" s="114"/>
      <c r="D148" s="62"/>
      <c r="E148" s="59"/>
      <c r="F148" s="63"/>
      <c r="G148" s="63"/>
      <c r="H148" s="64"/>
      <c r="I148" s="63"/>
      <c r="J148" s="63"/>
      <c r="K148" s="92"/>
      <c r="L148" s="100"/>
      <c r="M148" s="93"/>
      <c r="N148" s="58"/>
      <c r="O148" s="70"/>
      <c r="P148" s="70"/>
      <c r="Q148" s="94"/>
      <c r="R148" s="95"/>
      <c r="S148" s="191"/>
      <c r="T148" s="95"/>
      <c r="U148" s="94"/>
      <c r="V148" s="95"/>
      <c r="W148" s="94"/>
      <c r="X148" s="95"/>
      <c r="Y148" s="253"/>
    </row>
    <row r="149" spans="1:25" ht="14.4">
      <c r="A149" s="59"/>
      <c r="B149" s="60"/>
      <c r="C149" s="114"/>
      <c r="D149" s="62"/>
      <c r="E149" s="59"/>
      <c r="F149" s="63"/>
      <c r="G149" s="63"/>
      <c r="H149" s="64"/>
      <c r="I149" s="63"/>
      <c r="J149" s="63"/>
      <c r="K149" s="92"/>
      <c r="L149" s="167"/>
      <c r="M149" s="93"/>
      <c r="N149" s="58"/>
      <c r="O149" s="70"/>
      <c r="P149" s="70"/>
      <c r="Q149" s="94"/>
      <c r="R149" s="95"/>
      <c r="S149" s="191"/>
      <c r="T149" s="95"/>
      <c r="U149" s="94"/>
      <c r="V149" s="95"/>
      <c r="W149" s="94"/>
      <c r="X149" s="95"/>
      <c r="Y149" s="253"/>
    </row>
    <row r="150" spans="1:25" ht="14.4">
      <c r="A150" s="59"/>
      <c r="B150" s="60"/>
      <c r="C150" s="114"/>
      <c r="D150" s="62"/>
      <c r="E150" s="59"/>
      <c r="F150" s="63"/>
      <c r="G150" s="63"/>
      <c r="H150" s="64"/>
      <c r="I150" s="63"/>
      <c r="J150" s="63"/>
      <c r="K150" s="92"/>
      <c r="L150" s="167"/>
      <c r="M150" s="93"/>
      <c r="N150" s="58"/>
      <c r="O150" s="70"/>
      <c r="P150" s="70"/>
      <c r="Q150" s="94"/>
      <c r="R150" s="95"/>
      <c r="S150" s="191"/>
      <c r="T150" s="95"/>
      <c r="U150" s="94"/>
      <c r="V150" s="95"/>
      <c r="W150" s="94"/>
      <c r="X150" s="95"/>
      <c r="Y150" s="253"/>
    </row>
    <row r="151" spans="1:25" ht="14.4">
      <c r="A151" s="59"/>
      <c r="B151" s="60"/>
      <c r="C151" s="114"/>
      <c r="D151" s="62"/>
      <c r="E151" s="59"/>
      <c r="F151" s="63"/>
      <c r="G151" s="63"/>
      <c r="H151" s="64"/>
      <c r="I151" s="63"/>
      <c r="J151" s="63"/>
      <c r="K151" s="92"/>
      <c r="L151" s="100"/>
      <c r="M151" s="93"/>
      <c r="N151" s="58"/>
      <c r="O151" s="70"/>
      <c r="P151" s="70"/>
      <c r="Q151" s="94"/>
      <c r="R151" s="95"/>
      <c r="S151" s="191"/>
      <c r="T151" s="95"/>
      <c r="U151" s="94"/>
      <c r="V151" s="95"/>
      <c r="W151" s="94"/>
      <c r="X151" s="95"/>
      <c r="Y151" s="253"/>
    </row>
    <row r="152" spans="1:25" ht="14.4">
      <c r="A152" s="59"/>
      <c r="B152" s="60"/>
      <c r="C152" s="114"/>
      <c r="D152" s="62"/>
      <c r="E152" s="59"/>
      <c r="F152" s="63"/>
      <c r="G152" s="63"/>
      <c r="H152" s="64"/>
      <c r="I152" s="63"/>
      <c r="J152" s="131"/>
      <c r="K152" s="92"/>
      <c r="L152" s="100"/>
      <c r="M152" s="110"/>
      <c r="N152" s="58"/>
      <c r="O152" s="70"/>
      <c r="P152" s="70"/>
      <c r="Q152" s="94"/>
      <c r="R152" s="95"/>
      <c r="S152" s="191"/>
      <c r="T152" s="95"/>
      <c r="U152" s="94"/>
      <c r="V152" s="95"/>
      <c r="W152" s="94"/>
      <c r="X152" s="95"/>
      <c r="Y152" s="253"/>
    </row>
    <row r="153" spans="1:25" ht="14.4">
      <c r="A153" s="59"/>
      <c r="B153" s="88"/>
      <c r="C153" s="147"/>
      <c r="D153" s="90"/>
      <c r="E153" s="59"/>
      <c r="F153" s="75"/>
      <c r="G153" s="75"/>
      <c r="H153" s="91"/>
      <c r="I153" s="75"/>
      <c r="J153" s="148"/>
      <c r="K153" s="92"/>
      <c r="L153" s="167"/>
      <c r="M153" s="110"/>
      <c r="N153" s="58"/>
      <c r="O153" s="70"/>
      <c r="P153" s="70"/>
      <c r="Q153" s="94"/>
      <c r="R153" s="95"/>
      <c r="S153" s="191"/>
      <c r="T153" s="95"/>
      <c r="U153" s="94"/>
      <c r="V153" s="95"/>
      <c r="W153" s="94"/>
      <c r="X153" s="95"/>
      <c r="Y153" s="253"/>
    </row>
    <row r="154" spans="1:25" ht="14.4">
      <c r="A154" s="59"/>
      <c r="B154" s="88"/>
      <c r="C154" s="147"/>
      <c r="D154" s="90"/>
      <c r="E154" s="59"/>
      <c r="F154" s="75"/>
      <c r="G154" s="75"/>
      <c r="H154" s="91"/>
      <c r="I154" s="75"/>
      <c r="J154" s="148"/>
      <c r="K154" s="92"/>
      <c r="L154" s="94"/>
      <c r="M154" s="110"/>
      <c r="N154" s="58"/>
      <c r="O154" s="70"/>
      <c r="P154" s="70"/>
      <c r="Q154" s="94"/>
      <c r="R154" s="95"/>
      <c r="S154" s="191"/>
      <c r="T154" s="95"/>
      <c r="U154" s="94"/>
      <c r="V154" s="95"/>
      <c r="W154" s="94"/>
      <c r="X154" s="95"/>
      <c r="Y154" s="253"/>
    </row>
    <row r="155" spans="1:25" ht="14.4">
      <c r="A155" s="59"/>
      <c r="B155" s="60"/>
      <c r="C155" s="114"/>
      <c r="D155" s="62"/>
      <c r="E155" s="59"/>
      <c r="F155" s="63"/>
      <c r="G155" s="63"/>
      <c r="H155" s="64"/>
      <c r="I155" s="63"/>
      <c r="J155" s="131"/>
      <c r="K155" s="92"/>
      <c r="L155" s="100"/>
      <c r="M155" s="110"/>
      <c r="N155" s="58"/>
      <c r="O155" s="70"/>
      <c r="P155" s="70"/>
      <c r="Q155" s="94"/>
      <c r="R155" s="95"/>
      <c r="S155" s="191"/>
      <c r="T155" s="95"/>
      <c r="U155" s="94"/>
      <c r="V155" s="95"/>
      <c r="W155" s="94"/>
      <c r="X155" s="95"/>
      <c r="Y155" s="253"/>
    </row>
    <row r="156" spans="1:25" ht="14.4">
      <c r="A156" s="59"/>
      <c r="B156" s="60"/>
      <c r="C156" s="114"/>
      <c r="D156" s="62"/>
      <c r="E156" s="59"/>
      <c r="F156" s="63"/>
      <c r="G156" s="63"/>
      <c r="H156" s="64"/>
      <c r="I156" s="63"/>
      <c r="J156" s="131"/>
      <c r="K156" s="92"/>
      <c r="L156" s="100"/>
      <c r="M156" s="110"/>
      <c r="N156" s="58"/>
      <c r="O156" s="70"/>
      <c r="P156" s="70"/>
      <c r="Q156" s="94"/>
      <c r="R156" s="95"/>
      <c r="S156" s="191"/>
      <c r="T156" s="95"/>
      <c r="U156" s="94"/>
      <c r="V156" s="95"/>
      <c r="W156" s="94"/>
      <c r="X156" s="95"/>
      <c r="Y156" s="253"/>
    </row>
    <row r="157" spans="1:25" ht="14.4">
      <c r="A157" s="59"/>
      <c r="B157" s="60"/>
      <c r="C157" s="114"/>
      <c r="D157" s="62"/>
      <c r="E157" s="59"/>
      <c r="F157" s="63"/>
      <c r="G157" s="63"/>
      <c r="H157" s="64"/>
      <c r="I157" s="63"/>
      <c r="J157" s="131"/>
      <c r="K157" s="92"/>
      <c r="L157" s="167"/>
      <c r="M157" s="110"/>
      <c r="N157" s="58"/>
      <c r="O157" s="70"/>
      <c r="P157" s="70"/>
      <c r="Q157" s="94"/>
      <c r="R157" s="95"/>
      <c r="S157" s="191"/>
      <c r="T157" s="95"/>
      <c r="U157" s="94"/>
      <c r="V157" s="95"/>
      <c r="W157" s="94"/>
      <c r="X157" s="95"/>
      <c r="Y157" s="253"/>
    </row>
    <row r="158" spans="1:25" ht="14.4">
      <c r="A158" s="59"/>
      <c r="B158" s="60"/>
      <c r="C158" s="114"/>
      <c r="D158" s="62"/>
      <c r="E158" s="59"/>
      <c r="F158" s="63"/>
      <c r="G158" s="63"/>
      <c r="H158" s="64"/>
      <c r="I158" s="63"/>
      <c r="J158" s="131"/>
      <c r="K158" s="92"/>
      <c r="L158" s="100"/>
      <c r="M158" s="110"/>
      <c r="N158" s="58"/>
      <c r="O158" s="70"/>
      <c r="P158" s="70"/>
      <c r="Q158" s="94"/>
      <c r="R158" s="95"/>
      <c r="S158" s="191"/>
      <c r="T158" s="95"/>
      <c r="U158" s="94"/>
      <c r="V158" s="95"/>
      <c r="W158" s="94"/>
      <c r="X158" s="95"/>
      <c r="Y158" s="253"/>
    </row>
    <row r="159" spans="1:25" ht="28.8" customHeight="1">
      <c r="A159" s="59"/>
      <c r="B159" s="60"/>
      <c r="C159" s="114"/>
      <c r="D159" s="62"/>
      <c r="E159" s="59"/>
      <c r="F159" s="63"/>
      <c r="G159" s="63"/>
      <c r="H159" s="64"/>
      <c r="I159" s="63"/>
      <c r="J159" s="131"/>
      <c r="K159" s="92"/>
      <c r="L159" s="167"/>
      <c r="M159" s="110"/>
      <c r="N159" s="58"/>
      <c r="O159" s="70"/>
      <c r="P159" s="70"/>
      <c r="Q159" s="94"/>
      <c r="R159" s="95"/>
      <c r="S159" s="191"/>
      <c r="T159" s="95"/>
      <c r="U159" s="94"/>
      <c r="V159" s="95"/>
      <c r="W159" s="94"/>
      <c r="X159" s="95"/>
      <c r="Y159" s="253"/>
    </row>
    <row r="160" spans="1:25" ht="14.4">
      <c r="A160" s="59"/>
      <c r="B160" s="60"/>
      <c r="C160" s="114"/>
      <c r="D160" s="62"/>
      <c r="E160" s="59"/>
      <c r="F160" s="63"/>
      <c r="G160" s="63"/>
      <c r="H160" s="64"/>
      <c r="I160" s="63"/>
      <c r="J160" s="131"/>
      <c r="K160" s="92"/>
      <c r="L160" s="100"/>
      <c r="M160" s="110"/>
      <c r="N160" s="58"/>
      <c r="O160" s="70"/>
      <c r="P160" s="70"/>
      <c r="Q160" s="94"/>
      <c r="R160" s="95"/>
      <c r="S160" s="191"/>
      <c r="T160" s="95"/>
      <c r="U160" s="94"/>
      <c r="V160" s="95"/>
      <c r="W160" s="94"/>
      <c r="X160" s="95"/>
      <c r="Y160" s="253"/>
    </row>
    <row r="161" spans="1:26" ht="14.4">
      <c r="A161" s="59"/>
      <c r="B161" s="60"/>
      <c r="C161" s="114"/>
      <c r="D161" s="62"/>
      <c r="E161" s="59"/>
      <c r="F161" s="63"/>
      <c r="G161" s="63"/>
      <c r="H161" s="64"/>
      <c r="I161" s="63"/>
      <c r="J161" s="131"/>
      <c r="K161" s="92"/>
      <c r="L161" s="100"/>
      <c r="M161" s="110"/>
      <c r="N161" s="58"/>
      <c r="O161" s="70"/>
      <c r="P161" s="70"/>
      <c r="Q161" s="94"/>
      <c r="R161" s="95"/>
      <c r="S161" s="191"/>
      <c r="T161" s="95"/>
      <c r="U161" s="94"/>
      <c r="V161" s="95"/>
      <c r="W161" s="94"/>
      <c r="X161" s="95"/>
      <c r="Y161" s="253"/>
    </row>
    <row r="162" spans="1:26" ht="14.4">
      <c r="A162" s="59"/>
      <c r="B162" s="60"/>
      <c r="C162" s="114"/>
      <c r="D162" s="62"/>
      <c r="E162" s="59"/>
      <c r="F162" s="63"/>
      <c r="G162" s="63"/>
      <c r="H162" s="64"/>
      <c r="I162" s="63"/>
      <c r="J162" s="131"/>
      <c r="K162" s="92"/>
      <c r="L162" s="100"/>
      <c r="M162" s="110"/>
      <c r="N162" s="58"/>
      <c r="O162" s="70"/>
      <c r="P162" s="70"/>
      <c r="Q162" s="94"/>
      <c r="R162" s="95"/>
      <c r="S162" s="191"/>
      <c r="T162" s="95"/>
      <c r="U162" s="94"/>
      <c r="V162" s="95"/>
      <c r="W162" s="94"/>
      <c r="X162" s="95"/>
      <c r="Y162" s="253"/>
    </row>
    <row r="163" spans="1:26" ht="14.4">
      <c r="A163" s="59"/>
      <c r="B163" s="60"/>
      <c r="C163" s="114"/>
      <c r="D163" s="62"/>
      <c r="E163" s="59"/>
      <c r="F163" s="63"/>
      <c r="G163" s="63"/>
      <c r="H163" s="64"/>
      <c r="I163" s="63"/>
      <c r="J163" s="131"/>
      <c r="K163" s="92"/>
      <c r="L163" s="100"/>
      <c r="M163" s="255"/>
      <c r="N163" s="58"/>
      <c r="O163" s="70"/>
      <c r="P163" s="70"/>
      <c r="Q163" s="94"/>
      <c r="R163" s="95"/>
      <c r="S163" s="191"/>
      <c r="T163" s="95"/>
      <c r="U163" s="94"/>
      <c r="V163" s="95"/>
      <c r="W163" s="94"/>
      <c r="X163" s="95"/>
      <c r="Y163" s="253"/>
    </row>
    <row r="164" spans="1:26" ht="14.4">
      <c r="A164" s="59"/>
      <c r="B164" s="60"/>
      <c r="C164" s="114"/>
      <c r="D164" s="62"/>
      <c r="E164" s="59"/>
      <c r="F164" s="63"/>
      <c r="G164" s="63"/>
      <c r="H164" s="64"/>
      <c r="I164" s="63"/>
      <c r="J164" s="131"/>
      <c r="K164" s="92"/>
      <c r="L164" s="100"/>
      <c r="M164" s="110"/>
      <c r="N164" s="202"/>
      <c r="O164" s="70"/>
      <c r="P164" s="70"/>
      <c r="Q164" s="94"/>
      <c r="R164" s="95"/>
      <c r="S164" s="191"/>
      <c r="T164" s="95"/>
      <c r="U164" s="94"/>
      <c r="V164" s="95"/>
      <c r="W164" s="94"/>
      <c r="X164" s="95"/>
      <c r="Y164" s="253"/>
    </row>
    <row r="165" spans="1:26" ht="14.4">
      <c r="A165" s="59"/>
      <c r="B165" s="60"/>
      <c r="C165" s="114"/>
      <c r="D165" s="62"/>
      <c r="E165" s="59"/>
      <c r="F165" s="63"/>
      <c r="G165" s="63"/>
      <c r="H165" s="64"/>
      <c r="I165" s="63"/>
      <c r="J165" s="131"/>
      <c r="K165" s="92"/>
      <c r="L165" s="100"/>
      <c r="M165" s="110"/>
      <c r="N165" s="202"/>
      <c r="O165" s="70"/>
      <c r="P165" s="70"/>
      <c r="Q165" s="94"/>
      <c r="R165" s="95"/>
      <c r="S165" s="191"/>
      <c r="T165" s="95"/>
      <c r="U165" s="94"/>
      <c r="V165" s="95"/>
      <c r="W165" s="94"/>
      <c r="X165" s="95"/>
      <c r="Y165" s="253"/>
    </row>
    <row r="166" spans="1:26" ht="14.4">
      <c r="A166" s="59"/>
      <c r="B166" s="60"/>
      <c r="C166" s="114"/>
      <c r="D166" s="62"/>
      <c r="E166" s="59"/>
      <c r="F166" s="63"/>
      <c r="G166" s="63"/>
      <c r="H166" s="64"/>
      <c r="I166" s="63"/>
      <c r="J166" s="131"/>
      <c r="K166" s="92"/>
      <c r="L166" s="100"/>
      <c r="M166" s="110"/>
      <c r="N166" s="58"/>
      <c r="O166" s="70"/>
      <c r="P166" s="70"/>
      <c r="Q166" s="94"/>
      <c r="R166" s="95"/>
      <c r="S166" s="191"/>
      <c r="T166" s="95"/>
      <c r="U166" s="94"/>
      <c r="V166" s="95"/>
      <c r="W166" s="94"/>
      <c r="X166" s="95"/>
      <c r="Y166" s="253"/>
    </row>
    <row r="167" spans="1:26" ht="14.4">
      <c r="A167" s="59"/>
      <c r="B167" s="60"/>
      <c r="C167" s="114"/>
      <c r="D167" s="62"/>
      <c r="E167" s="59"/>
      <c r="F167" s="63"/>
      <c r="G167" s="63"/>
      <c r="H167" s="64"/>
      <c r="I167" s="63"/>
      <c r="J167" s="131"/>
      <c r="K167" s="92"/>
      <c r="L167" s="110"/>
      <c r="M167" s="110"/>
      <c r="N167" s="58"/>
      <c r="O167" s="70"/>
      <c r="P167" s="70"/>
      <c r="Q167" s="94"/>
      <c r="R167" s="95"/>
      <c r="S167" s="191"/>
      <c r="T167" s="95"/>
      <c r="U167" s="94"/>
      <c r="V167" s="95"/>
      <c r="W167" s="94"/>
      <c r="X167" s="95"/>
      <c r="Y167" s="253"/>
    </row>
    <row r="168" spans="1:26" ht="14.4">
      <c r="A168" s="59"/>
      <c r="B168" s="88"/>
      <c r="C168" s="114"/>
      <c r="D168" s="62"/>
      <c r="E168" s="59"/>
      <c r="F168" s="63"/>
      <c r="G168" s="63"/>
      <c r="H168" s="64"/>
      <c r="I168" s="63"/>
      <c r="J168" s="131"/>
      <c r="K168" s="92"/>
      <c r="L168" s="100"/>
      <c r="M168" s="110"/>
      <c r="N168" s="58"/>
      <c r="O168" s="70"/>
      <c r="P168" s="70"/>
      <c r="Q168" s="94"/>
      <c r="R168" s="95"/>
      <c r="S168" s="191"/>
      <c r="T168" s="95"/>
      <c r="U168" s="94"/>
      <c r="V168" s="95"/>
      <c r="W168" s="94"/>
      <c r="X168" s="95"/>
      <c r="Y168" s="253"/>
    </row>
    <row r="169" spans="1:26" ht="14.4">
      <c r="A169" s="59"/>
      <c r="B169" s="88"/>
      <c r="C169" s="114"/>
      <c r="D169" s="62"/>
      <c r="E169" s="59"/>
      <c r="F169" s="63"/>
      <c r="G169" s="63"/>
      <c r="H169" s="64"/>
      <c r="I169" s="63"/>
      <c r="J169" s="131"/>
      <c r="K169" s="92"/>
      <c r="L169" s="100"/>
      <c r="M169" s="110"/>
      <c r="N169" s="58"/>
      <c r="O169" s="70"/>
      <c r="P169" s="70"/>
      <c r="Q169" s="94"/>
      <c r="R169" s="95"/>
      <c r="S169" s="191"/>
      <c r="T169" s="95"/>
      <c r="U169" s="94"/>
      <c r="V169" s="95"/>
      <c r="W169" s="94"/>
      <c r="X169" s="95"/>
      <c r="Y169" s="253"/>
    </row>
    <row r="170" spans="1:26" ht="14.4">
      <c r="A170" s="59"/>
      <c r="B170" s="60"/>
      <c r="C170" s="114"/>
      <c r="D170" s="62"/>
      <c r="E170" s="59"/>
      <c r="F170" s="63"/>
      <c r="G170" s="63"/>
      <c r="H170" s="64"/>
      <c r="I170" s="63"/>
      <c r="J170" s="131"/>
      <c r="K170" s="92"/>
      <c r="L170" s="100"/>
      <c r="M170" s="110"/>
      <c r="N170" s="58"/>
      <c r="O170" s="70"/>
      <c r="P170" s="70"/>
      <c r="Q170" s="94"/>
      <c r="R170" s="95"/>
      <c r="S170" s="191"/>
      <c r="T170" s="95"/>
      <c r="U170" s="94"/>
      <c r="V170" s="95"/>
      <c r="W170" s="94"/>
      <c r="X170" s="95"/>
      <c r="Y170" s="253"/>
      <c r="Z170" s="157"/>
    </row>
    <row r="171" spans="1:26" ht="14.4">
      <c r="A171" s="59"/>
      <c r="B171" s="178"/>
      <c r="C171" s="114"/>
      <c r="D171" s="62"/>
      <c r="E171" s="59"/>
      <c r="F171" s="63"/>
      <c r="G171" s="63"/>
      <c r="H171" s="64"/>
      <c r="I171" s="63"/>
      <c r="J171" s="131"/>
      <c r="K171" s="92"/>
      <c r="L171" s="100"/>
      <c r="M171" s="110"/>
      <c r="N171" s="202"/>
      <c r="O171" s="70"/>
      <c r="P171" s="70"/>
      <c r="Q171" s="94"/>
      <c r="R171" s="95"/>
      <c r="S171" s="191"/>
      <c r="T171" s="95"/>
      <c r="U171" s="94"/>
      <c r="V171" s="95"/>
      <c r="W171" s="94"/>
      <c r="X171" s="95"/>
      <c r="Y171" s="253"/>
      <c r="Z171" s="157"/>
    </row>
    <row r="172" spans="1:26" ht="14.4">
      <c r="A172" s="59"/>
      <c r="B172" s="178"/>
      <c r="C172" s="114"/>
      <c r="D172" s="62"/>
      <c r="E172" s="59"/>
      <c r="F172" s="63"/>
      <c r="G172" s="63"/>
      <c r="H172" s="64"/>
      <c r="I172" s="63"/>
      <c r="J172" s="131"/>
      <c r="K172" s="92"/>
      <c r="L172" s="100"/>
      <c r="M172" s="110"/>
      <c r="N172" s="202"/>
      <c r="O172" s="70"/>
      <c r="P172" s="70"/>
      <c r="Q172" s="94"/>
      <c r="R172" s="95"/>
      <c r="S172" s="191"/>
      <c r="T172" s="95"/>
      <c r="U172" s="94"/>
      <c r="V172" s="95"/>
      <c r="W172" s="94"/>
      <c r="X172" s="95"/>
      <c r="Y172" s="253"/>
      <c r="Z172" s="157"/>
    </row>
    <row r="173" spans="1:26" ht="14.4">
      <c r="A173" s="59"/>
      <c r="B173" s="178"/>
      <c r="C173" s="114"/>
      <c r="D173" s="62"/>
      <c r="E173" s="59"/>
      <c r="F173" s="63"/>
      <c r="G173" s="63"/>
      <c r="H173" s="64"/>
      <c r="I173" s="63"/>
      <c r="J173" s="131"/>
      <c r="K173" s="92"/>
      <c r="L173" s="100"/>
      <c r="M173" s="110"/>
      <c r="N173" s="202"/>
      <c r="O173" s="70"/>
      <c r="P173" s="70"/>
      <c r="Q173" s="94"/>
      <c r="R173" s="95"/>
      <c r="S173" s="191"/>
      <c r="T173" s="95"/>
      <c r="U173" s="94"/>
      <c r="V173" s="95"/>
      <c r="W173" s="94"/>
      <c r="X173" s="95"/>
      <c r="Y173" s="253"/>
      <c r="Z173" s="157"/>
    </row>
    <row r="174" spans="1:26" ht="14.4">
      <c r="A174" s="59"/>
      <c r="B174" s="178"/>
      <c r="C174" s="114"/>
      <c r="D174" s="62"/>
      <c r="E174" s="59"/>
      <c r="F174" s="63"/>
      <c r="G174" s="63"/>
      <c r="H174" s="64"/>
      <c r="I174" s="63"/>
      <c r="J174" s="131"/>
      <c r="K174" s="92"/>
      <c r="L174" s="100"/>
      <c r="M174" s="110"/>
      <c r="N174" s="202"/>
      <c r="O174" s="70"/>
      <c r="P174" s="70"/>
      <c r="Q174" s="94"/>
      <c r="R174" s="95"/>
      <c r="S174" s="191"/>
      <c r="T174" s="95"/>
      <c r="U174" s="94"/>
      <c r="V174" s="95"/>
      <c r="W174" s="94"/>
      <c r="X174" s="95"/>
      <c r="Y174" s="253"/>
      <c r="Z174" s="157"/>
    </row>
    <row r="175" spans="1:26" ht="14.4">
      <c r="A175" s="59"/>
      <c r="B175" s="178"/>
      <c r="C175" s="114"/>
      <c r="D175" s="62"/>
      <c r="E175" s="59"/>
      <c r="F175" s="63"/>
      <c r="G175" s="63"/>
      <c r="H175" s="64"/>
      <c r="I175" s="63"/>
      <c r="J175" s="131"/>
      <c r="K175" s="92"/>
      <c r="L175" s="100"/>
      <c r="M175" s="110"/>
      <c r="N175" s="202"/>
      <c r="O175" s="70"/>
      <c r="P175" s="70"/>
      <c r="Q175" s="94"/>
      <c r="R175" s="95"/>
      <c r="S175" s="191"/>
      <c r="T175" s="95"/>
      <c r="U175" s="94"/>
      <c r="V175" s="95"/>
      <c r="W175" s="94"/>
      <c r="X175" s="95"/>
      <c r="Y175" s="253"/>
      <c r="Z175" s="157"/>
    </row>
    <row r="176" spans="1:26" ht="14.4">
      <c r="A176" s="59"/>
      <c r="B176" s="178"/>
      <c r="C176" s="114"/>
      <c r="D176" s="62"/>
      <c r="E176" s="59"/>
      <c r="F176" s="63"/>
      <c r="G176" s="63"/>
      <c r="H176" s="64"/>
      <c r="I176" s="63"/>
      <c r="J176" s="131"/>
      <c r="K176" s="92"/>
      <c r="L176" s="100"/>
      <c r="M176" s="110"/>
      <c r="N176" s="202"/>
      <c r="O176" s="70"/>
      <c r="P176" s="70"/>
      <c r="Q176" s="94"/>
      <c r="R176" s="95"/>
      <c r="S176" s="191"/>
      <c r="T176" s="95"/>
      <c r="U176" s="94"/>
      <c r="V176" s="95"/>
      <c r="W176" s="94"/>
      <c r="X176" s="95"/>
      <c r="Y176" s="253"/>
      <c r="Z176" s="157"/>
    </row>
    <row r="177" spans="1:25" ht="14.4">
      <c r="A177" s="59"/>
      <c r="B177" s="60"/>
      <c r="C177" s="114"/>
      <c r="D177" s="62"/>
      <c r="E177" s="59"/>
      <c r="F177" s="63"/>
      <c r="G177" s="63"/>
      <c r="H177" s="64"/>
      <c r="I177" s="63"/>
      <c r="J177" s="131"/>
      <c r="K177" s="92"/>
      <c r="L177" s="110"/>
      <c r="M177" s="190"/>
      <c r="N177" s="163"/>
      <c r="O177" s="70"/>
      <c r="P177" s="70"/>
      <c r="Q177" s="94"/>
      <c r="R177" s="95"/>
      <c r="S177" s="191"/>
      <c r="T177" s="95"/>
      <c r="U177" s="94"/>
      <c r="V177" s="95"/>
      <c r="W177" s="94"/>
      <c r="X177" s="95"/>
      <c r="Y177" s="253"/>
    </row>
    <row r="178" spans="1:25">
      <c r="A178" s="59"/>
      <c r="B178" s="60"/>
      <c r="C178" s="61"/>
      <c r="D178" s="62"/>
      <c r="E178" s="59"/>
      <c r="F178" s="63"/>
      <c r="G178" s="63"/>
      <c r="H178" s="64"/>
      <c r="I178" s="63"/>
      <c r="J178" s="63"/>
      <c r="K178" s="132"/>
      <c r="L178" s="128"/>
      <c r="M178" s="133"/>
      <c r="N178" s="169"/>
      <c r="O178" s="70"/>
      <c r="P178" s="70"/>
      <c r="Q178" s="94"/>
      <c r="R178" s="95"/>
      <c r="S178" s="191"/>
      <c r="T178" s="95"/>
      <c r="U178" s="94"/>
      <c r="V178" s="95"/>
      <c r="W178" s="94"/>
      <c r="X178" s="95"/>
      <c r="Y178" s="253"/>
    </row>
    <row r="179" spans="1:25">
      <c r="A179" s="59"/>
      <c r="B179" s="60"/>
      <c r="C179" s="61"/>
      <c r="D179" s="62"/>
      <c r="E179" s="59"/>
      <c r="F179" s="63"/>
      <c r="G179" s="63"/>
      <c r="H179" s="64"/>
      <c r="I179" s="63"/>
      <c r="J179" s="63"/>
      <c r="K179" s="65"/>
      <c r="L179" s="66"/>
      <c r="M179" s="108"/>
      <c r="N179" s="125"/>
      <c r="O179" s="70"/>
      <c r="P179" s="70"/>
      <c r="Q179" s="94"/>
      <c r="R179" s="95"/>
      <c r="S179" s="191"/>
      <c r="T179" s="95"/>
      <c r="U179" s="94"/>
      <c r="V179" s="95"/>
      <c r="W179" s="94"/>
      <c r="X179" s="95"/>
      <c r="Y179" s="253"/>
    </row>
    <row r="180" spans="1:25">
      <c r="A180" s="59"/>
      <c r="B180" s="60"/>
      <c r="C180" s="61"/>
      <c r="D180" s="62"/>
      <c r="E180" s="59"/>
      <c r="F180" s="63"/>
      <c r="G180" s="63"/>
      <c r="H180" s="64"/>
      <c r="I180" s="63"/>
      <c r="J180" s="63"/>
      <c r="K180" s="65"/>
      <c r="L180" s="66"/>
      <c r="M180" s="108"/>
      <c r="N180" s="125"/>
      <c r="O180" s="70"/>
      <c r="P180" s="70"/>
      <c r="Q180" s="94"/>
      <c r="R180" s="95"/>
      <c r="S180" s="191"/>
      <c r="T180" s="95"/>
      <c r="U180" s="94"/>
      <c r="V180" s="95"/>
      <c r="W180" s="94"/>
      <c r="X180" s="95"/>
      <c r="Y180" s="253"/>
    </row>
    <row r="181" spans="1:25">
      <c r="A181" s="59"/>
      <c r="B181" s="54"/>
      <c r="C181" s="112"/>
      <c r="D181" s="62"/>
      <c r="E181" s="59"/>
      <c r="F181" s="63"/>
      <c r="G181" s="63"/>
      <c r="H181" s="64"/>
      <c r="I181" s="63"/>
      <c r="J181" s="63"/>
      <c r="K181" s="126"/>
      <c r="L181" s="123"/>
      <c r="M181" s="66"/>
      <c r="N181" s="128"/>
      <c r="O181" s="70"/>
      <c r="P181" s="70"/>
      <c r="Q181" s="94"/>
      <c r="R181" s="95"/>
      <c r="S181" s="191"/>
      <c r="T181" s="95"/>
      <c r="U181" s="94"/>
      <c r="V181" s="95"/>
      <c r="W181" s="94"/>
      <c r="X181" s="95"/>
      <c r="Y181" s="253"/>
    </row>
    <row r="182" spans="1:25" ht="14.4">
      <c r="A182" s="59"/>
      <c r="B182" s="60"/>
      <c r="C182" s="114"/>
      <c r="D182" s="68"/>
      <c r="E182" s="59"/>
      <c r="F182" s="76"/>
      <c r="G182" s="76"/>
      <c r="H182" s="99"/>
      <c r="I182" s="63"/>
      <c r="J182" s="63"/>
      <c r="K182" s="65"/>
      <c r="L182" s="141"/>
      <c r="M182" s="66"/>
      <c r="N182" s="66"/>
      <c r="O182" s="70"/>
      <c r="P182" s="269"/>
      <c r="Q182" s="124"/>
      <c r="R182" s="95"/>
      <c r="S182" s="192"/>
      <c r="T182" s="95"/>
      <c r="U182" s="124"/>
      <c r="V182" s="95"/>
      <c r="W182" s="94"/>
      <c r="X182" s="95"/>
      <c r="Y182" s="253"/>
    </row>
    <row r="183" spans="1:25">
      <c r="A183" s="59"/>
      <c r="B183" s="162"/>
      <c r="C183" s="161"/>
      <c r="D183" s="98"/>
      <c r="E183" s="59"/>
      <c r="F183" s="63"/>
      <c r="G183" s="63"/>
      <c r="H183" s="64"/>
      <c r="I183" s="63"/>
      <c r="J183" s="63"/>
      <c r="K183" s="65"/>
      <c r="L183" s="66"/>
      <c r="M183" s="66"/>
      <c r="N183" s="66"/>
      <c r="O183" s="70"/>
      <c r="P183" s="70"/>
      <c r="Q183" s="94"/>
      <c r="R183" s="95"/>
      <c r="S183" s="191"/>
      <c r="T183" s="95"/>
      <c r="U183" s="94"/>
      <c r="V183" s="95"/>
      <c r="W183" s="94"/>
      <c r="X183" s="95"/>
      <c r="Y183" s="253"/>
    </row>
    <row r="184" spans="1:25">
      <c r="A184" s="59"/>
      <c r="B184" s="178"/>
      <c r="C184" s="161"/>
      <c r="D184" s="68"/>
      <c r="E184" s="59"/>
      <c r="F184" s="63"/>
      <c r="G184" s="63"/>
      <c r="H184" s="64"/>
      <c r="I184" s="63"/>
      <c r="J184" s="63"/>
      <c r="K184" s="65"/>
      <c r="L184" s="66"/>
      <c r="M184" s="66"/>
      <c r="N184" s="66"/>
      <c r="O184" s="70"/>
      <c r="P184" s="70"/>
      <c r="Q184" s="94"/>
      <c r="R184" s="95"/>
      <c r="S184" s="191"/>
      <c r="T184" s="95"/>
      <c r="U184" s="94"/>
      <c r="V184" s="95"/>
      <c r="W184" s="94"/>
      <c r="X184" s="95"/>
      <c r="Y184" s="253"/>
    </row>
    <row r="185" spans="1:25">
      <c r="A185" s="59"/>
      <c r="B185" s="60"/>
      <c r="C185" s="61"/>
      <c r="D185" s="68"/>
      <c r="E185" s="59"/>
      <c r="F185" s="102"/>
      <c r="G185" s="102"/>
      <c r="H185" s="103"/>
      <c r="I185" s="102"/>
      <c r="J185" s="102"/>
      <c r="K185" s="65"/>
      <c r="L185" s="65"/>
      <c r="M185" s="65"/>
      <c r="N185" s="65"/>
      <c r="O185" s="70"/>
      <c r="P185" s="70"/>
      <c r="Q185" s="94"/>
      <c r="R185" s="95"/>
      <c r="S185" s="191"/>
      <c r="T185" s="95"/>
      <c r="U185" s="94"/>
      <c r="V185" s="95"/>
      <c r="W185" s="94"/>
      <c r="X185" s="95"/>
      <c r="Y185" s="253"/>
    </row>
    <row r="186" spans="1:25">
      <c r="A186" s="59"/>
      <c r="B186" s="60"/>
      <c r="C186" s="61"/>
      <c r="D186" s="68"/>
      <c r="E186" s="59"/>
      <c r="F186" s="102"/>
      <c r="G186" s="102"/>
      <c r="H186" s="103"/>
      <c r="I186" s="102"/>
      <c r="J186" s="102"/>
      <c r="K186" s="65"/>
      <c r="L186" s="65"/>
      <c r="M186" s="65"/>
      <c r="N186" s="65"/>
      <c r="O186" s="70"/>
      <c r="P186" s="70"/>
      <c r="Q186" s="94"/>
      <c r="R186" s="95"/>
      <c r="S186" s="191"/>
      <c r="T186" s="95"/>
      <c r="U186" s="94"/>
      <c r="V186" s="95"/>
      <c r="W186" s="94"/>
      <c r="X186" s="95"/>
      <c r="Y186" s="253"/>
    </row>
    <row r="187" spans="1:25">
      <c r="A187" s="59"/>
      <c r="B187" s="104"/>
      <c r="C187" s="105"/>
      <c r="D187" s="69"/>
      <c r="E187" s="59"/>
      <c r="F187" s="77"/>
      <c r="G187" s="77"/>
      <c r="H187" s="106"/>
      <c r="I187" s="77"/>
      <c r="J187" s="77"/>
      <c r="K187" s="92"/>
      <c r="L187" s="100"/>
      <c r="M187" s="133"/>
      <c r="N187" s="58"/>
      <c r="O187" s="70"/>
      <c r="P187" s="70"/>
      <c r="Q187" s="94"/>
      <c r="R187" s="95"/>
      <c r="S187" s="191"/>
      <c r="T187" s="95"/>
      <c r="U187" s="94"/>
      <c r="V187" s="95"/>
      <c r="W187" s="94"/>
      <c r="X187" s="95"/>
      <c r="Y187" s="253"/>
    </row>
    <row r="188" spans="1:25">
      <c r="A188" s="59"/>
      <c r="B188" s="60"/>
      <c r="C188" s="61"/>
      <c r="D188" s="62"/>
      <c r="E188" s="59"/>
      <c r="F188" s="63"/>
      <c r="G188" s="63"/>
      <c r="H188" s="64"/>
      <c r="I188" s="63"/>
      <c r="J188" s="63"/>
      <c r="K188" s="92"/>
      <c r="L188" s="100"/>
      <c r="M188" s="72"/>
      <c r="N188" s="58"/>
      <c r="O188" s="70"/>
      <c r="P188" s="70"/>
      <c r="Q188" s="94"/>
      <c r="R188" s="95"/>
      <c r="S188" s="191"/>
      <c r="T188" s="95"/>
      <c r="U188" s="94"/>
      <c r="V188" s="95"/>
      <c r="W188" s="94"/>
      <c r="X188" s="95"/>
      <c r="Y188" s="253"/>
    </row>
    <row r="189" spans="1:25">
      <c r="A189" s="59"/>
      <c r="B189" s="60"/>
      <c r="C189" s="61"/>
      <c r="D189" s="62"/>
      <c r="E189" s="59"/>
      <c r="F189" s="63"/>
      <c r="G189" s="63"/>
      <c r="H189" s="64"/>
      <c r="I189" s="63"/>
      <c r="J189" s="63"/>
      <c r="K189" s="92"/>
      <c r="L189" s="100"/>
      <c r="M189" s="72"/>
      <c r="N189" s="58"/>
      <c r="O189" s="70"/>
      <c r="P189" s="70"/>
      <c r="Q189" s="94"/>
      <c r="R189" s="95"/>
      <c r="S189" s="191"/>
      <c r="T189" s="95"/>
      <c r="U189" s="94"/>
      <c r="V189" s="95"/>
      <c r="W189" s="94"/>
      <c r="X189" s="95"/>
      <c r="Y189" s="253"/>
    </row>
    <row r="190" spans="1:25">
      <c r="A190" s="59"/>
      <c r="B190" s="60"/>
      <c r="C190" s="61"/>
      <c r="D190" s="62"/>
      <c r="E190" s="59"/>
      <c r="F190" s="63"/>
      <c r="G190" s="63"/>
      <c r="H190" s="64"/>
      <c r="I190" s="63"/>
      <c r="J190" s="63"/>
      <c r="K190" s="92"/>
      <c r="L190" s="100"/>
      <c r="M190" s="72"/>
      <c r="N190" s="58"/>
      <c r="O190" s="70"/>
      <c r="P190" s="70"/>
      <c r="Q190" s="94"/>
      <c r="R190" s="95"/>
      <c r="S190" s="191"/>
      <c r="T190" s="95"/>
      <c r="U190" s="94"/>
      <c r="V190" s="95"/>
      <c r="W190" s="94"/>
      <c r="X190" s="95"/>
      <c r="Y190" s="253"/>
    </row>
    <row r="191" spans="1:25" ht="14.4">
      <c r="A191" s="59"/>
      <c r="B191" s="113"/>
      <c r="C191" s="114"/>
      <c r="D191" s="62"/>
      <c r="E191" s="59"/>
      <c r="F191" s="63"/>
      <c r="G191" s="63"/>
      <c r="H191" s="64"/>
      <c r="I191" s="63"/>
      <c r="J191" s="63"/>
      <c r="K191" s="92"/>
      <c r="L191" s="100"/>
      <c r="M191" s="72"/>
      <c r="N191" s="58"/>
      <c r="O191" s="70"/>
      <c r="P191" s="70"/>
      <c r="Q191" s="94"/>
      <c r="R191" s="95"/>
      <c r="S191" s="191"/>
      <c r="T191" s="95"/>
      <c r="U191" s="94"/>
      <c r="V191" s="95"/>
      <c r="W191" s="94"/>
      <c r="X191" s="95"/>
      <c r="Y191" s="253"/>
    </row>
    <row r="192" spans="1:25" ht="14.4">
      <c r="A192" s="59"/>
      <c r="B192" s="113"/>
      <c r="C192" s="114"/>
      <c r="D192" s="62"/>
      <c r="E192" s="59"/>
      <c r="F192" s="63"/>
      <c r="G192" s="63"/>
      <c r="H192" s="64"/>
      <c r="I192" s="63"/>
      <c r="J192" s="63"/>
      <c r="K192" s="92"/>
      <c r="L192" s="100"/>
      <c r="M192" s="72"/>
      <c r="N192" s="58"/>
      <c r="O192" s="70"/>
      <c r="P192" s="70"/>
      <c r="Q192" s="94"/>
      <c r="R192" s="95"/>
      <c r="S192" s="191"/>
      <c r="T192" s="95"/>
      <c r="U192" s="94"/>
      <c r="V192" s="95"/>
      <c r="W192" s="94"/>
      <c r="X192" s="95"/>
      <c r="Y192" s="253"/>
    </row>
    <row r="193" spans="1:26" ht="14.4">
      <c r="A193" s="59"/>
      <c r="B193" s="113"/>
      <c r="C193" s="114"/>
      <c r="D193" s="62"/>
      <c r="E193" s="59"/>
      <c r="F193" s="63"/>
      <c r="G193" s="63"/>
      <c r="H193" s="64"/>
      <c r="I193" s="63"/>
      <c r="J193" s="63"/>
      <c r="K193" s="92"/>
      <c r="L193" s="167"/>
      <c r="M193" s="72"/>
      <c r="N193" s="58"/>
      <c r="O193" s="70"/>
      <c r="P193" s="70"/>
      <c r="Q193" s="94"/>
      <c r="R193" s="95"/>
      <c r="S193" s="191"/>
      <c r="T193" s="95"/>
      <c r="U193" s="94"/>
      <c r="V193" s="95"/>
      <c r="W193" s="94"/>
      <c r="X193" s="95"/>
      <c r="Y193" s="253"/>
    </row>
    <row r="194" spans="1:26" ht="14.4">
      <c r="A194" s="59"/>
      <c r="B194" s="113"/>
      <c r="C194" s="114"/>
      <c r="D194" s="62"/>
      <c r="E194" s="59"/>
      <c r="F194" s="63"/>
      <c r="G194" s="63"/>
      <c r="H194" s="64"/>
      <c r="I194" s="63"/>
      <c r="J194" s="63"/>
      <c r="K194" s="92"/>
      <c r="L194" s="167"/>
      <c r="M194" s="72"/>
      <c r="N194" s="58"/>
      <c r="O194" s="70"/>
      <c r="P194" s="70"/>
      <c r="Q194" s="94"/>
      <c r="R194" s="95"/>
      <c r="S194" s="191"/>
      <c r="T194" s="95"/>
      <c r="U194" s="94"/>
      <c r="V194" s="95"/>
      <c r="W194" s="94"/>
      <c r="X194" s="95"/>
      <c r="Y194" s="253"/>
    </row>
    <row r="195" spans="1:26" ht="14.4">
      <c r="A195" s="59"/>
      <c r="B195" s="113"/>
      <c r="C195" s="114"/>
      <c r="D195" s="62"/>
      <c r="E195" s="59"/>
      <c r="F195" s="63"/>
      <c r="G195" s="63"/>
      <c r="H195" s="64"/>
      <c r="I195" s="63"/>
      <c r="J195" s="63"/>
      <c r="K195" s="92"/>
      <c r="L195" s="100"/>
      <c r="M195" s="72"/>
      <c r="N195" s="58"/>
      <c r="O195" s="70"/>
      <c r="P195" s="70"/>
      <c r="Q195" s="94"/>
      <c r="R195" s="95"/>
      <c r="S195" s="201"/>
      <c r="T195" s="95"/>
      <c r="U195" s="94"/>
      <c r="V195" s="95"/>
      <c r="W195" s="94"/>
      <c r="X195" s="95"/>
      <c r="Y195" s="253"/>
    </row>
    <row r="196" spans="1:26" ht="14.4">
      <c r="A196" s="59"/>
      <c r="B196" s="113"/>
      <c r="C196" s="114"/>
      <c r="D196" s="62"/>
      <c r="E196" s="59"/>
      <c r="F196" s="63"/>
      <c r="G196" s="63"/>
      <c r="H196" s="64"/>
      <c r="I196" s="63"/>
      <c r="J196" s="63"/>
      <c r="K196" s="92"/>
      <c r="L196" s="100"/>
      <c r="M196" s="72"/>
      <c r="N196" s="58"/>
      <c r="O196" s="70"/>
      <c r="P196" s="70"/>
      <c r="Q196" s="94"/>
      <c r="R196" s="95"/>
      <c r="S196" s="201"/>
      <c r="T196" s="95"/>
      <c r="U196" s="94"/>
      <c r="V196" s="95"/>
      <c r="W196" s="94"/>
      <c r="X196" s="95"/>
      <c r="Y196" s="253"/>
    </row>
    <row r="197" spans="1:26" ht="14.4">
      <c r="A197" s="59"/>
      <c r="B197" s="113"/>
      <c r="C197" s="114"/>
      <c r="D197" s="62"/>
      <c r="E197" s="59"/>
      <c r="F197" s="63"/>
      <c r="G197" s="63"/>
      <c r="H197" s="64"/>
      <c r="I197" s="63"/>
      <c r="J197" s="63"/>
      <c r="K197" s="92"/>
      <c r="L197" s="167"/>
      <c r="M197" s="72"/>
      <c r="N197" s="58"/>
      <c r="O197" s="70"/>
      <c r="P197" s="70"/>
      <c r="Q197" s="94"/>
      <c r="R197" s="95"/>
      <c r="S197" s="191"/>
      <c r="T197" s="95"/>
      <c r="U197" s="94"/>
      <c r="V197" s="95"/>
      <c r="W197" s="94"/>
      <c r="X197" s="95"/>
      <c r="Y197" s="253"/>
    </row>
    <row r="198" spans="1:26" ht="14.4">
      <c r="A198" s="59"/>
      <c r="B198" s="121"/>
      <c r="C198" s="122"/>
      <c r="D198" s="98"/>
      <c r="E198" s="59"/>
      <c r="F198" s="76"/>
      <c r="G198" s="76"/>
      <c r="H198" s="99"/>
      <c r="I198" s="76"/>
      <c r="J198" s="63"/>
      <c r="K198" s="92"/>
      <c r="L198" s="167"/>
      <c r="M198" s="145"/>
      <c r="N198" s="58"/>
      <c r="O198" s="70"/>
      <c r="P198" s="70"/>
      <c r="Q198" s="94"/>
      <c r="R198" s="95"/>
      <c r="S198" s="191"/>
      <c r="T198" s="95"/>
      <c r="U198" s="124"/>
      <c r="V198" s="95"/>
      <c r="W198" s="94"/>
      <c r="X198" s="95"/>
      <c r="Y198" s="253"/>
    </row>
    <row r="199" spans="1:26" ht="14.4">
      <c r="A199" s="59"/>
      <c r="B199" s="121"/>
      <c r="C199" s="122"/>
      <c r="D199" s="98"/>
      <c r="E199" s="59"/>
      <c r="F199" s="76"/>
      <c r="G199" s="76"/>
      <c r="H199" s="99"/>
      <c r="I199" s="76"/>
      <c r="J199" s="76"/>
      <c r="K199" s="92"/>
      <c r="L199" s="167"/>
      <c r="M199" s="145"/>
      <c r="N199" s="58"/>
      <c r="O199" s="70"/>
      <c r="P199" s="70"/>
      <c r="Q199" s="94"/>
      <c r="R199" s="95"/>
      <c r="S199" s="191"/>
      <c r="T199" s="95"/>
      <c r="U199" s="124"/>
      <c r="V199" s="95"/>
      <c r="W199" s="94"/>
      <c r="X199" s="95"/>
      <c r="Y199" s="253"/>
    </row>
    <row r="200" spans="1:26" ht="14.4">
      <c r="A200" s="59"/>
      <c r="B200" s="96"/>
      <c r="C200" s="114"/>
      <c r="D200" s="98"/>
      <c r="E200" s="59"/>
      <c r="F200" s="76"/>
      <c r="G200" s="76"/>
      <c r="H200" s="99"/>
      <c r="I200" s="76"/>
      <c r="J200" s="76"/>
      <c r="K200" s="92"/>
      <c r="L200" s="100"/>
      <c r="M200" s="145"/>
      <c r="N200" s="58"/>
      <c r="O200" s="70"/>
      <c r="P200" s="269"/>
      <c r="Q200" s="124"/>
      <c r="R200" s="95"/>
      <c r="S200" s="192"/>
      <c r="T200" s="95"/>
      <c r="U200" s="124"/>
      <c r="V200" s="95"/>
      <c r="W200" s="94"/>
      <c r="X200" s="95"/>
      <c r="Y200" s="253"/>
    </row>
    <row r="201" spans="1:26" ht="14.4">
      <c r="A201" s="59"/>
      <c r="B201" s="96"/>
      <c r="C201" s="114"/>
      <c r="D201" s="135"/>
      <c r="E201" s="59"/>
      <c r="F201" s="139"/>
      <c r="G201" s="139"/>
      <c r="H201" s="140"/>
      <c r="I201" s="139"/>
      <c r="J201" s="139"/>
      <c r="K201" s="92"/>
      <c r="L201" s="100"/>
      <c r="M201" s="145"/>
      <c r="N201" s="58"/>
      <c r="O201" s="70"/>
      <c r="P201" s="70"/>
      <c r="Q201" s="94"/>
      <c r="R201" s="95"/>
      <c r="S201" s="191"/>
      <c r="T201" s="95"/>
      <c r="U201" s="124"/>
      <c r="V201" s="95"/>
      <c r="W201" s="94"/>
      <c r="X201" s="95"/>
      <c r="Y201" s="253"/>
    </row>
    <row r="202" spans="1:26" ht="14.4">
      <c r="A202" s="59"/>
      <c r="B202" s="96"/>
      <c r="C202" s="114"/>
      <c r="D202" s="135"/>
      <c r="E202" s="59"/>
      <c r="F202" s="139"/>
      <c r="G202" s="139"/>
      <c r="H202" s="140"/>
      <c r="I202" s="139"/>
      <c r="J202" s="139"/>
      <c r="K202" s="92"/>
      <c r="L202" s="100"/>
      <c r="M202" s="145"/>
      <c r="N202" s="58"/>
      <c r="O202" s="70"/>
      <c r="P202" s="269"/>
      <c r="Q202" s="124"/>
      <c r="R202" s="95"/>
      <c r="S202" s="192"/>
      <c r="T202" s="95"/>
      <c r="U202" s="124"/>
      <c r="V202" s="95"/>
      <c r="W202" s="94"/>
      <c r="X202" s="95"/>
      <c r="Y202" s="253"/>
    </row>
    <row r="203" spans="1:26" ht="14.4">
      <c r="A203" s="59"/>
      <c r="B203" s="96"/>
      <c r="C203" s="114"/>
      <c r="D203" s="135"/>
      <c r="E203" s="59"/>
      <c r="F203" s="76"/>
      <c r="G203" s="76"/>
      <c r="H203" s="99"/>
      <c r="I203" s="76"/>
      <c r="J203" s="76"/>
      <c r="K203" s="92"/>
      <c r="L203" s="100"/>
      <c r="M203" s="145"/>
      <c r="N203" s="58"/>
      <c r="O203" s="70"/>
      <c r="P203" s="269"/>
      <c r="Q203" s="124"/>
      <c r="R203" s="95"/>
      <c r="S203" s="192"/>
      <c r="T203" s="95"/>
      <c r="U203" s="124"/>
      <c r="V203" s="95"/>
      <c r="W203" s="94"/>
      <c r="X203" s="95"/>
      <c r="Y203" s="253"/>
    </row>
    <row r="204" spans="1:26" ht="14.4">
      <c r="A204" s="59"/>
      <c r="B204" s="60"/>
      <c r="C204" s="114"/>
      <c r="D204" s="62"/>
      <c r="E204" s="59"/>
      <c r="F204" s="63"/>
      <c r="G204" s="63"/>
      <c r="H204" s="99"/>
      <c r="I204" s="76"/>
      <c r="J204" s="146"/>
      <c r="K204" s="92"/>
      <c r="L204" s="100"/>
      <c r="M204" s="127"/>
      <c r="N204" s="58"/>
      <c r="O204" s="70"/>
      <c r="P204" s="269"/>
      <c r="Q204" s="124"/>
      <c r="R204" s="95"/>
      <c r="S204" s="192"/>
      <c r="T204" s="95"/>
      <c r="U204" s="124"/>
      <c r="V204" s="95"/>
      <c r="W204" s="94"/>
      <c r="X204" s="95"/>
      <c r="Y204" s="253"/>
    </row>
    <row r="205" spans="1:26" ht="14.4">
      <c r="A205" s="59"/>
      <c r="B205" s="96"/>
      <c r="C205" s="122"/>
      <c r="D205" s="175"/>
      <c r="E205" s="59"/>
      <c r="F205" s="179"/>
      <c r="G205" s="76"/>
      <c r="H205" s="99"/>
      <c r="I205" s="76"/>
      <c r="J205" s="146"/>
      <c r="K205" s="92"/>
      <c r="L205" s="100"/>
      <c r="M205" s="264"/>
      <c r="N205" s="58"/>
      <c r="O205" s="70"/>
      <c r="P205" s="269"/>
      <c r="Q205" s="124"/>
      <c r="R205" s="95"/>
      <c r="S205" s="192"/>
      <c r="T205" s="95"/>
      <c r="U205" s="124"/>
      <c r="V205" s="95"/>
      <c r="W205" s="94"/>
      <c r="X205" s="95"/>
      <c r="Y205" s="253"/>
    </row>
    <row r="206" spans="1:26" ht="14.4">
      <c r="A206" s="59"/>
      <c r="B206" s="60"/>
      <c r="C206" s="114"/>
      <c r="D206" s="68"/>
      <c r="E206" s="59"/>
      <c r="F206" s="102"/>
      <c r="G206" s="102"/>
      <c r="H206" s="103"/>
      <c r="I206" s="102"/>
      <c r="J206" s="102"/>
      <c r="K206" s="92"/>
      <c r="L206" s="100"/>
      <c r="M206" s="110"/>
      <c r="N206" s="58"/>
      <c r="O206" s="70"/>
      <c r="P206" s="70"/>
      <c r="Q206" s="94"/>
      <c r="R206" s="95"/>
      <c r="S206" s="191"/>
      <c r="T206" s="95"/>
      <c r="U206" s="94"/>
      <c r="V206" s="95"/>
      <c r="W206" s="94"/>
      <c r="X206" s="95"/>
      <c r="Y206" s="253"/>
    </row>
    <row r="207" spans="1:26" ht="14.4">
      <c r="A207" s="59"/>
      <c r="B207" s="60"/>
      <c r="C207" s="114"/>
      <c r="D207" s="68"/>
      <c r="E207" s="59"/>
      <c r="F207" s="102"/>
      <c r="G207" s="102"/>
      <c r="H207" s="103"/>
      <c r="I207" s="102"/>
      <c r="J207" s="102"/>
      <c r="K207" s="92"/>
      <c r="L207" s="100"/>
      <c r="M207" s="67"/>
      <c r="N207" s="58"/>
      <c r="O207" s="70"/>
      <c r="P207" s="70"/>
      <c r="Q207" s="94"/>
      <c r="R207" s="95"/>
      <c r="S207" s="191"/>
      <c r="T207" s="95"/>
      <c r="U207" s="94"/>
      <c r="V207" s="95"/>
      <c r="W207" s="94"/>
      <c r="X207" s="95"/>
      <c r="Y207" s="253"/>
    </row>
    <row r="208" spans="1:26" ht="14.4">
      <c r="A208" s="59"/>
      <c r="B208" s="60"/>
      <c r="C208" s="114"/>
      <c r="D208" s="68"/>
      <c r="E208" s="59"/>
      <c r="F208" s="102"/>
      <c r="G208" s="102"/>
      <c r="H208" s="103"/>
      <c r="I208" s="102"/>
      <c r="J208" s="102"/>
      <c r="K208" s="92"/>
      <c r="L208" s="100"/>
      <c r="M208" s="67"/>
      <c r="N208" s="58"/>
      <c r="O208" s="70"/>
      <c r="P208" s="70"/>
      <c r="Q208" s="94"/>
      <c r="R208" s="95"/>
      <c r="S208" s="201"/>
      <c r="T208" s="95"/>
      <c r="U208" s="94"/>
      <c r="V208" s="95"/>
      <c r="W208" s="94"/>
      <c r="X208" s="95"/>
      <c r="Y208" s="253"/>
      <c r="Z208" s="157"/>
    </row>
    <row r="209" spans="1:26" ht="14.4">
      <c r="A209" s="59"/>
      <c r="B209" s="178"/>
      <c r="C209" s="114"/>
      <c r="D209" s="68"/>
      <c r="E209" s="59"/>
      <c r="F209" s="102"/>
      <c r="G209" s="102"/>
      <c r="H209" s="103"/>
      <c r="I209" s="102"/>
      <c r="J209" s="102"/>
      <c r="K209" s="92"/>
      <c r="L209" s="100"/>
      <c r="M209" s="67"/>
      <c r="N209" s="202"/>
      <c r="O209" s="70"/>
      <c r="P209" s="70"/>
      <c r="Q209" s="94"/>
      <c r="R209" s="95"/>
      <c r="S209" s="201"/>
      <c r="T209" s="95"/>
      <c r="U209" s="94"/>
      <c r="V209" s="95"/>
      <c r="W209" s="94"/>
      <c r="X209" s="95"/>
      <c r="Y209" s="253"/>
      <c r="Z209" s="157"/>
    </row>
    <row r="210" spans="1:26">
      <c r="A210" s="142"/>
      <c r="B210" s="143"/>
      <c r="C210" s="142"/>
      <c r="D210" s="142"/>
      <c r="E210" s="142"/>
      <c r="F210" s="144"/>
      <c r="G210" s="102"/>
      <c r="H210" s="144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</row>
    <row r="211" spans="1:26">
      <c r="L211" s="116"/>
      <c r="N211" s="116"/>
      <c r="Y211" s="159"/>
    </row>
    <row r="212" spans="1:26">
      <c r="L212" s="116"/>
    </row>
    <row r="213" spans="1:26">
      <c r="L213" s="116"/>
      <c r="N213" s="116"/>
    </row>
    <row r="214" spans="1:26">
      <c r="L214" s="116"/>
      <c r="N214" s="116"/>
    </row>
    <row r="215" spans="1:26">
      <c r="L215" s="116"/>
      <c r="N215" s="116"/>
    </row>
    <row r="216" spans="1:26">
      <c r="L216" s="116"/>
      <c r="N216" s="116"/>
    </row>
    <row r="217" spans="1:26">
      <c r="L217" s="116"/>
      <c r="N217" s="116"/>
    </row>
    <row r="218" spans="1:26">
      <c r="L218" s="116"/>
      <c r="N218" s="116"/>
    </row>
    <row r="219" spans="1:26">
      <c r="L219" s="116"/>
      <c r="N219" s="116"/>
    </row>
    <row r="220" spans="1:26">
      <c r="L220" s="116"/>
      <c r="N220" s="116"/>
    </row>
    <row r="221" spans="1:26">
      <c r="L221" s="116"/>
      <c r="N221" s="116"/>
    </row>
    <row r="222" spans="1:26">
      <c r="L222" s="116"/>
      <c r="N222" s="116"/>
    </row>
    <row r="223" spans="1:26">
      <c r="L223" s="116"/>
      <c r="N223" s="116"/>
    </row>
    <row r="224" spans="1:26">
      <c r="L224" s="116"/>
      <c r="N224" s="116"/>
    </row>
    <row r="225" spans="12:14">
      <c r="L225" s="116"/>
      <c r="N225" s="116"/>
    </row>
    <row r="226" spans="12:14">
      <c r="L226" s="116"/>
      <c r="N226" s="116"/>
    </row>
    <row r="227" spans="12:14">
      <c r="L227" s="116"/>
      <c r="N227" s="116"/>
    </row>
    <row r="228" spans="12:14">
      <c r="L228" s="116"/>
      <c r="N228" s="116"/>
    </row>
    <row r="229" spans="12:14">
      <c r="L229" s="116"/>
      <c r="N229" s="116"/>
    </row>
    <row r="230" spans="12:14">
      <c r="L230" s="116"/>
      <c r="N230" s="116"/>
    </row>
    <row r="231" spans="12:14">
      <c r="L231" s="116"/>
      <c r="N231" s="116"/>
    </row>
    <row r="232" spans="12:14">
      <c r="L232" s="116"/>
      <c r="N232" s="116"/>
    </row>
    <row r="233" spans="12:14">
      <c r="L233" s="116"/>
      <c r="N233" s="116"/>
    </row>
    <row r="234" spans="12:14">
      <c r="L234" s="116"/>
      <c r="N234" s="116"/>
    </row>
    <row r="235" spans="12:14">
      <c r="L235" s="116"/>
      <c r="N235" s="116"/>
    </row>
    <row r="236" spans="12:14">
      <c r="L236" s="116"/>
      <c r="N236" s="116"/>
    </row>
    <row r="237" spans="12:14">
      <c r="L237" s="116"/>
      <c r="N237" s="116"/>
    </row>
    <row r="238" spans="12:14">
      <c r="L238" s="116"/>
      <c r="N238" s="116"/>
    </row>
    <row r="239" spans="12:14">
      <c r="L239" s="116"/>
      <c r="N239" s="116"/>
    </row>
    <row r="240" spans="12:14">
      <c r="L240" s="116"/>
      <c r="N240" s="116"/>
    </row>
    <row r="241" spans="12:14">
      <c r="L241" s="116"/>
      <c r="N241" s="116"/>
    </row>
    <row r="242" spans="12:14">
      <c r="L242" s="116"/>
      <c r="N242" s="116"/>
    </row>
    <row r="243" spans="12:14">
      <c r="L243" s="116"/>
      <c r="N243" s="116"/>
    </row>
    <row r="244" spans="12:14">
      <c r="L244" s="116"/>
      <c r="N244" s="116"/>
    </row>
    <row r="245" spans="12:14">
      <c r="L245" s="116"/>
      <c r="N245" s="116"/>
    </row>
    <row r="246" spans="12:14">
      <c r="L246" s="116"/>
      <c r="N246" s="116"/>
    </row>
    <row r="247" spans="12:14">
      <c r="L247" s="116"/>
      <c r="N247" s="116"/>
    </row>
    <row r="248" spans="12:14">
      <c r="L248" s="116"/>
      <c r="N248" s="116"/>
    </row>
    <row r="249" spans="12:14">
      <c r="L249" s="116"/>
      <c r="N249" s="116"/>
    </row>
    <row r="250" spans="12:14">
      <c r="L250" s="116"/>
      <c r="N250" s="116"/>
    </row>
    <row r="251" spans="12:14">
      <c r="L251" s="116"/>
      <c r="N251" s="116"/>
    </row>
    <row r="252" spans="12:14">
      <c r="L252" s="116"/>
      <c r="N252" s="116"/>
    </row>
    <row r="253" spans="12:14">
      <c r="L253" s="116"/>
      <c r="N253" s="116"/>
    </row>
    <row r="254" spans="12:14">
      <c r="L254" s="116"/>
      <c r="N254" s="116"/>
    </row>
    <row r="255" spans="12:14">
      <c r="L255" s="116"/>
      <c r="N255" s="116"/>
    </row>
    <row r="256" spans="12:14">
      <c r="L256" s="116"/>
      <c r="N256" s="116"/>
    </row>
    <row r="257" spans="12:14">
      <c r="L257" s="116"/>
      <c r="N257" s="116"/>
    </row>
    <row r="258" spans="12:14">
      <c r="L258" s="116"/>
      <c r="N258" s="116"/>
    </row>
    <row r="259" spans="12:14">
      <c r="L259" s="116"/>
      <c r="N259" s="116"/>
    </row>
    <row r="260" spans="12:14">
      <c r="L260" s="116"/>
      <c r="N260" s="116"/>
    </row>
    <row r="261" spans="12:14">
      <c r="L261" s="116"/>
      <c r="N261" s="116"/>
    </row>
    <row r="262" spans="12:14">
      <c r="L262" s="116"/>
      <c r="N262" s="116"/>
    </row>
    <row r="263" spans="12:14">
      <c r="L263" s="116"/>
      <c r="N263" s="116"/>
    </row>
    <row r="264" spans="12:14">
      <c r="L264" s="116"/>
      <c r="N264" s="116"/>
    </row>
    <row r="265" spans="12:14">
      <c r="L265" s="116"/>
      <c r="N265" s="116"/>
    </row>
    <row r="266" spans="12:14">
      <c r="L266" s="116"/>
      <c r="N266" s="116"/>
    </row>
    <row r="267" spans="12:14">
      <c r="L267" s="116"/>
      <c r="N267" s="116"/>
    </row>
    <row r="268" spans="12:14">
      <c r="L268" s="116"/>
      <c r="N268" s="116"/>
    </row>
    <row r="269" spans="12:14">
      <c r="L269" s="116"/>
      <c r="N269" s="116"/>
    </row>
    <row r="270" spans="12:14">
      <c r="L270" s="116"/>
      <c r="N270" s="116"/>
    </row>
    <row r="271" spans="12:14">
      <c r="L271" s="116"/>
      <c r="N271" s="116"/>
    </row>
    <row r="272" spans="12:14">
      <c r="L272" s="116"/>
      <c r="N272" s="116"/>
    </row>
    <row r="273" spans="12:14">
      <c r="L273" s="116"/>
      <c r="N273" s="116"/>
    </row>
    <row r="274" spans="12:14">
      <c r="L274" s="116"/>
      <c r="N274" s="116"/>
    </row>
    <row r="275" spans="12:14">
      <c r="L275" s="116"/>
      <c r="N275" s="116"/>
    </row>
    <row r="276" spans="12:14">
      <c r="L276" s="116"/>
      <c r="N276" s="116"/>
    </row>
    <row r="277" spans="12:14">
      <c r="L277" s="116"/>
      <c r="N277" s="116"/>
    </row>
    <row r="278" spans="12:14">
      <c r="L278" s="116"/>
      <c r="N278" s="116"/>
    </row>
    <row r="279" spans="12:14">
      <c r="L279" s="116"/>
      <c r="N279" s="116"/>
    </row>
    <row r="280" spans="12:14">
      <c r="L280" s="116"/>
      <c r="N280" s="116"/>
    </row>
    <row r="281" spans="12:14">
      <c r="L281" s="116"/>
      <c r="N281" s="116"/>
    </row>
    <row r="282" spans="12:14">
      <c r="L282" s="116"/>
      <c r="N282" s="116"/>
    </row>
    <row r="283" spans="12:14">
      <c r="L283" s="116"/>
      <c r="N283" s="116"/>
    </row>
    <row r="284" spans="12:14">
      <c r="L284" s="116"/>
      <c r="N284" s="116"/>
    </row>
    <row r="285" spans="12:14">
      <c r="L285" s="116"/>
      <c r="N285" s="116"/>
    </row>
    <row r="286" spans="12:14">
      <c r="L286" s="116"/>
      <c r="N286" s="116"/>
    </row>
    <row r="287" spans="12:14">
      <c r="L287" s="116"/>
      <c r="N287" s="116"/>
    </row>
    <row r="288" spans="12:14">
      <c r="L288" s="116"/>
      <c r="N288" s="116"/>
    </row>
    <row r="289" spans="12:14">
      <c r="L289" s="116"/>
      <c r="N289" s="116"/>
    </row>
    <row r="290" spans="12:14">
      <c r="L290" s="116"/>
      <c r="N290" s="116"/>
    </row>
    <row r="291" spans="12:14">
      <c r="L291" s="116"/>
      <c r="N291" s="116"/>
    </row>
    <row r="292" spans="12:14">
      <c r="L292" s="116"/>
      <c r="N292" s="116"/>
    </row>
    <row r="293" spans="12:14">
      <c r="L293" s="116"/>
      <c r="N293" s="116"/>
    </row>
    <row r="294" spans="12:14">
      <c r="L294" s="116"/>
      <c r="N294" s="116"/>
    </row>
    <row r="295" spans="12:14">
      <c r="L295" s="116"/>
      <c r="N295" s="116"/>
    </row>
    <row r="296" spans="12:14">
      <c r="L296" s="116"/>
      <c r="N296" s="116"/>
    </row>
    <row r="297" spans="12:14">
      <c r="L297" s="116"/>
      <c r="N297" s="116"/>
    </row>
    <row r="298" spans="12:14">
      <c r="L298" s="116"/>
      <c r="N298" s="116"/>
    </row>
    <row r="299" spans="12:14">
      <c r="L299" s="116"/>
      <c r="N299" s="116"/>
    </row>
    <row r="300" spans="12:14">
      <c r="L300" s="116"/>
      <c r="N300" s="116"/>
    </row>
    <row r="301" spans="12:14">
      <c r="L301" s="116"/>
      <c r="N301" s="116"/>
    </row>
    <row r="302" spans="12:14">
      <c r="L302" s="116"/>
      <c r="N302" s="116"/>
    </row>
    <row r="303" spans="12:14">
      <c r="L303" s="116"/>
      <c r="N303" s="116"/>
    </row>
    <row r="304" spans="12:14">
      <c r="L304" s="116"/>
      <c r="N304" s="116"/>
    </row>
    <row r="305" spans="12:14">
      <c r="L305" s="116"/>
      <c r="N305" s="116"/>
    </row>
    <row r="306" spans="12:14">
      <c r="L306" s="116"/>
      <c r="N306" s="116"/>
    </row>
    <row r="307" spans="12:14">
      <c r="L307" s="116"/>
      <c r="N307" s="116"/>
    </row>
    <row r="308" spans="12:14">
      <c r="L308" s="116"/>
      <c r="N308" s="116"/>
    </row>
    <row r="309" spans="12:14">
      <c r="L309" s="116"/>
      <c r="N309" s="116"/>
    </row>
    <row r="310" spans="12:14">
      <c r="L310" s="116"/>
      <c r="N310" s="116"/>
    </row>
    <row r="311" spans="12:14">
      <c r="L311" s="116"/>
      <c r="N311" s="116"/>
    </row>
    <row r="312" spans="12:14">
      <c r="L312" s="116"/>
      <c r="N312" s="116"/>
    </row>
    <row r="313" spans="12:14">
      <c r="L313" s="116"/>
      <c r="N313" s="116"/>
    </row>
    <row r="314" spans="12:14">
      <c r="L314" s="116"/>
      <c r="N314" s="116"/>
    </row>
    <row r="315" spans="12:14">
      <c r="L315" s="116"/>
      <c r="N315" s="116"/>
    </row>
    <row r="316" spans="12:14">
      <c r="L316" s="116"/>
      <c r="N316" s="116"/>
    </row>
    <row r="317" spans="12:14">
      <c r="L317" s="116"/>
      <c r="N317" s="116"/>
    </row>
    <row r="318" spans="12:14">
      <c r="L318" s="116"/>
      <c r="N318" s="116"/>
    </row>
    <row r="319" spans="12:14">
      <c r="L319" s="116"/>
      <c r="N319" s="116"/>
    </row>
    <row r="320" spans="12:14">
      <c r="L320" s="116"/>
      <c r="N320" s="116"/>
    </row>
    <row r="321" spans="12:14">
      <c r="L321" s="116"/>
      <c r="N321" s="116"/>
    </row>
    <row r="322" spans="12:14">
      <c r="L322" s="116"/>
      <c r="N322" s="116"/>
    </row>
    <row r="323" spans="12:14">
      <c r="L323" s="116"/>
      <c r="N323" s="116"/>
    </row>
    <row r="324" spans="12:14">
      <c r="L324" s="116"/>
      <c r="N324" s="116"/>
    </row>
  </sheetData>
  <sortState xmlns:xlrd2="http://schemas.microsoft.com/office/spreadsheetml/2017/richdata2" ref="B187:Y206">
    <sortCondition ref="C187:C206"/>
  </sortState>
  <mergeCells count="1">
    <mergeCell ref="F1:H1"/>
  </mergeCells>
  <phoneticPr fontId="12" type="noConversion"/>
  <conditionalFormatting sqref="F2:F209">
    <cfRule type="containsText" dxfId="1" priority="3" operator="containsText" text="NON-NPWP">
      <formula>NOT(ISERROR(SEARCH("NON-NPWP",F2)))</formula>
    </cfRule>
  </conditionalFormatting>
  <conditionalFormatting sqref="I2:J209">
    <cfRule type="containsText" dxfId="0" priority="1" operator="containsText" text="Tidak">
      <formula>NOT(ISERROR(SEARCH("Tidak",I2)))</formula>
    </cfRule>
  </conditionalFormatting>
  <dataValidations count="3">
    <dataValidation type="list" allowBlank="1" sqref="I2:J209" xr:uid="{00000000-0002-0000-0200-000000000000}">
      <formula1>"Ya,Tidak"</formula1>
    </dataValidation>
    <dataValidation type="list" allowBlank="1" sqref="G2:G210" xr:uid="{00000000-0002-0000-0200-000001000000}">
      <formula1>"TK/0,TK/1,TK/2,TK/3,K/0,K/1,K/2,K/3"</formula1>
    </dataValidation>
    <dataValidation type="list" allowBlank="1" sqref="F2:F209" xr:uid="{00000000-0002-0000-0200-000002000000}">
      <formula1>"NPWP,NON-NPWP"</formula1>
    </dataValidation>
  </dataValidations>
  <pageMargins left="0.7" right="0.7" top="0.75" bottom="0.75" header="0" footer="0"/>
  <pageSetup paperSize="5" scale="64" orientation="landscape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81"/>
  <sheetViews>
    <sheetView showGridLines="0" zoomScaleNormal="100" workbookViewId="0">
      <pane ySplit="2" topLeftCell="A179" activePane="bottomLeft" state="frozen"/>
      <selection pane="bottomLeft" activeCell="G194" sqref="G194"/>
    </sheetView>
  </sheetViews>
  <sheetFormatPr defaultColWidth="12.69921875" defaultRowHeight="18"/>
  <cols>
    <col min="1" max="1" width="9.19921875" style="149" customWidth="1"/>
    <col min="2" max="2" width="35.5" style="149" customWidth="1"/>
    <col min="3" max="3" width="17.59765625" style="149" customWidth="1"/>
    <col min="4" max="5" width="15.796875" style="149" customWidth="1"/>
    <col min="6" max="6" width="16.796875" style="149" customWidth="1"/>
    <col min="7" max="7" width="15.796875" style="149" customWidth="1"/>
    <col min="8" max="8" width="16.8984375" style="149" customWidth="1"/>
    <col min="9" max="9" width="13.296875" style="149" customWidth="1"/>
    <col min="10" max="10" width="15.796875" style="149" customWidth="1"/>
    <col min="11" max="16384" width="12.69921875" style="149"/>
  </cols>
  <sheetData>
    <row r="1" spans="1:10">
      <c r="A1" s="229" t="s">
        <v>22</v>
      </c>
      <c r="B1" s="229" t="s">
        <v>42</v>
      </c>
      <c r="C1" s="230" t="s">
        <v>32</v>
      </c>
      <c r="D1" s="230" t="s">
        <v>33</v>
      </c>
      <c r="E1" s="230" t="s">
        <v>34</v>
      </c>
      <c r="F1" s="225" t="s">
        <v>35</v>
      </c>
      <c r="G1" s="226"/>
      <c r="H1" s="225" t="s">
        <v>36</v>
      </c>
      <c r="I1" s="226"/>
      <c r="J1" s="227" t="s">
        <v>37</v>
      </c>
    </row>
    <row r="2" spans="1:10">
      <c r="A2" s="228"/>
      <c r="B2" s="228"/>
      <c r="C2" s="228"/>
      <c r="D2" s="228"/>
      <c r="E2" s="228"/>
      <c r="F2" s="150" t="s">
        <v>38</v>
      </c>
      <c r="G2" s="150" t="s">
        <v>39</v>
      </c>
      <c r="H2" s="150" t="s">
        <v>38</v>
      </c>
      <c r="I2" s="150" t="s">
        <v>39</v>
      </c>
      <c r="J2" s="228"/>
    </row>
    <row r="3" spans="1:10">
      <c r="A3" s="45">
        <f>IF('TENAGA KERJA'!A2=0,"",'TENAGA KERJA'!A2)</f>
        <v>1</v>
      </c>
      <c r="B3" s="24" t="str">
        <f>IF('TENAGA KERJA'!B2=0,"",'TENAGA KERJA'!B2)</f>
        <v>ABDUL HALIM</v>
      </c>
      <c r="C3" s="43">
        <f>IF('TENAGA KERJA'!I2="Tidak",0,('TENAGA KERJA'!K2+'TENAGA KERJA'!L2))</f>
        <v>4391337</v>
      </c>
      <c r="D3" s="43">
        <f>C3*SETTING!$C$10</f>
        <v>39082.899299999997</v>
      </c>
      <c r="E3" s="43">
        <f>C3*SETTING!$C$11</f>
        <v>13174.011</v>
      </c>
      <c r="F3" s="43">
        <f>C3*SETTING!$C$12</f>
        <v>162479.46899999998</v>
      </c>
      <c r="G3" s="43">
        <f>C3*SETTING!$C$13</f>
        <v>87826.74</v>
      </c>
      <c r="H3" s="43"/>
      <c r="I3" s="43"/>
      <c r="J3" s="44">
        <f t="shared" ref="J3" si="0">SUM(D3:I3)</f>
        <v>302563.11929999996</v>
      </c>
    </row>
    <row r="4" spans="1:10">
      <c r="A4" s="45">
        <f>IF('TENAGA KERJA'!A3=0,"",'TENAGA KERJA'!A3)</f>
        <v>2</v>
      </c>
      <c r="B4" s="24" t="str">
        <f>IF('TENAGA KERJA'!B3=0,"",'TENAGA KERJA'!B3)</f>
        <v>SRI ASLINDA</v>
      </c>
      <c r="C4" s="43">
        <f>IF('TENAGA KERJA'!I3="Tidak",0,('TENAGA KERJA'!K3+'TENAGA KERJA'!L3))</f>
        <v>4391337</v>
      </c>
      <c r="D4" s="43">
        <f>C4*SETTING!$C$10</f>
        <v>39082.899299999997</v>
      </c>
      <c r="E4" s="43">
        <f>C4*SETTING!$C$11</f>
        <v>13174.011</v>
      </c>
      <c r="F4" s="43">
        <f>C4*SETTING!$C$12</f>
        <v>162479.46899999998</v>
      </c>
      <c r="G4" s="43">
        <f>C4*SETTING!$C$13</f>
        <v>87826.74</v>
      </c>
      <c r="H4" s="43"/>
      <c r="I4" s="43"/>
      <c r="J4" s="44">
        <f t="shared" ref="J4" si="1">SUM(D4:I4)</f>
        <v>302563.11929999996</v>
      </c>
    </row>
    <row r="5" spans="1:10">
      <c r="A5" s="45">
        <f>IF('TENAGA KERJA'!A4=0,"",'TENAGA KERJA'!A4)</f>
        <v>3</v>
      </c>
      <c r="B5" s="24" t="str">
        <f>IF('TENAGA KERJA'!B4=0,"",'TENAGA KERJA'!B4)</f>
        <v>RAFLY RAHMADAN GOBEL</v>
      </c>
      <c r="C5" s="43">
        <f>IF('TENAGA KERJA'!I4="Tidak",0,('TENAGA KERJA'!K4+'TENAGA KERJA'!L4))</f>
        <v>4391337</v>
      </c>
      <c r="D5" s="43">
        <f>C5*SETTING!$C$10</f>
        <v>39082.899299999997</v>
      </c>
      <c r="E5" s="43">
        <f>C5*SETTING!$C$11</f>
        <v>13174.011</v>
      </c>
      <c r="F5" s="43">
        <f>C5*SETTING!$C$12</f>
        <v>162479.46899999998</v>
      </c>
      <c r="G5" s="43">
        <f>C5*SETTING!$C$13</f>
        <v>87826.74</v>
      </c>
      <c r="H5" s="43"/>
      <c r="I5" s="43"/>
      <c r="J5" s="44">
        <f t="shared" ref="J5:J68" si="2">SUM(D5:I5)</f>
        <v>302563.11929999996</v>
      </c>
    </row>
    <row r="6" spans="1:10">
      <c r="A6" s="45">
        <f>IF('TENAGA KERJA'!A5=0,"",'TENAGA KERJA'!A5)</f>
        <v>4</v>
      </c>
      <c r="B6" s="24" t="str">
        <f>IF('TENAGA KERJA'!B5=0,"",'TENAGA KERJA'!B5)</f>
        <v>RAHMAT HIDAYAT</v>
      </c>
      <c r="C6" s="43">
        <f>IF('TENAGA KERJA'!I5="Tidak",0,('TENAGA KERJA'!K5+'TENAGA KERJA'!L5))</f>
        <v>4391337</v>
      </c>
      <c r="D6" s="43">
        <f>C6*SETTING!$C$10</f>
        <v>39082.899299999997</v>
      </c>
      <c r="E6" s="43">
        <f>C6*SETTING!$C$11</f>
        <v>13174.011</v>
      </c>
      <c r="F6" s="43">
        <f>C6*SETTING!$C$12</f>
        <v>162479.46899999998</v>
      </c>
      <c r="G6" s="43">
        <f>C6*SETTING!$C$13</f>
        <v>87826.74</v>
      </c>
      <c r="H6" s="43"/>
      <c r="I6" s="43"/>
      <c r="J6" s="44">
        <f t="shared" si="2"/>
        <v>302563.11929999996</v>
      </c>
    </row>
    <row r="7" spans="1:10">
      <c r="A7" s="45">
        <f>IF('TENAGA KERJA'!A6=0,"",'TENAGA KERJA'!A6)</f>
        <v>5</v>
      </c>
      <c r="B7" s="24" t="str">
        <f>IF('TENAGA KERJA'!B6=0,"",'TENAGA KERJA'!B6)</f>
        <v>ARYABAYA SRIPATI</v>
      </c>
      <c r="C7" s="43">
        <f>IF('TENAGA KERJA'!I6="Tidak",0,('TENAGA KERJA'!K6+'TENAGA KERJA'!L6))</f>
        <v>4391337</v>
      </c>
      <c r="D7" s="43">
        <f>C7*SETTING!$C$10</f>
        <v>39082.899299999997</v>
      </c>
      <c r="E7" s="43">
        <f>C7*SETTING!$C$11</f>
        <v>13174.011</v>
      </c>
      <c r="F7" s="43">
        <f>C7*SETTING!$C$12</f>
        <v>162479.46899999998</v>
      </c>
      <c r="G7" s="43">
        <f>C7*SETTING!$C$13</f>
        <v>87826.74</v>
      </c>
      <c r="H7" s="43"/>
      <c r="I7" s="43"/>
      <c r="J7" s="44">
        <f t="shared" si="2"/>
        <v>302563.11929999996</v>
      </c>
    </row>
    <row r="8" spans="1:10">
      <c r="A8" s="45">
        <f>IF('TENAGA KERJA'!A7=0,"",'TENAGA KERJA'!A7)</f>
        <v>6</v>
      </c>
      <c r="B8" s="24" t="str">
        <f>IF('TENAGA KERJA'!B7=0,"",'TENAGA KERJA'!B7)</f>
        <v>REZA NURHIDAYAT</v>
      </c>
      <c r="C8" s="43">
        <f>IF('TENAGA KERJA'!I7="Tidak",0,('TENAGA KERJA'!K7+'TENAGA KERJA'!L7))</f>
        <v>4391337</v>
      </c>
      <c r="D8" s="43">
        <f>C8*SETTING!$C$10</f>
        <v>39082.899299999997</v>
      </c>
      <c r="E8" s="43">
        <f>C8*SETTING!$C$11</f>
        <v>13174.011</v>
      </c>
      <c r="F8" s="43">
        <f>C8*SETTING!$C$12</f>
        <v>162479.46899999998</v>
      </c>
      <c r="G8" s="43">
        <f>C8*SETTING!$C$13</f>
        <v>87826.74</v>
      </c>
      <c r="H8" s="43"/>
      <c r="I8" s="43"/>
      <c r="J8" s="44">
        <f t="shared" si="2"/>
        <v>302563.11929999996</v>
      </c>
    </row>
    <row r="9" spans="1:10">
      <c r="A9" s="45">
        <f>IF('TENAGA KERJA'!A8=0,"",'TENAGA KERJA'!A8)</f>
        <v>7</v>
      </c>
      <c r="B9" s="24" t="str">
        <f>IF('TENAGA KERJA'!B8=0,"",'TENAGA KERJA'!B8)</f>
        <v>MUHAMMAD ANSHAR A</v>
      </c>
      <c r="C9" s="43">
        <f>IF('TENAGA KERJA'!I8="Tidak",0,('TENAGA KERJA'!K8+'TENAGA KERJA'!L8))</f>
        <v>4391337</v>
      </c>
      <c r="D9" s="43">
        <f>C9*SETTING!$C$10</f>
        <v>39082.899299999997</v>
      </c>
      <c r="E9" s="43">
        <f>C9*SETTING!$C$11</f>
        <v>13174.011</v>
      </c>
      <c r="F9" s="43">
        <f>C9*SETTING!$C$12</f>
        <v>162479.46899999998</v>
      </c>
      <c r="G9" s="43">
        <f>C9*SETTING!$C$13</f>
        <v>87826.74</v>
      </c>
      <c r="H9" s="43"/>
      <c r="I9" s="43"/>
      <c r="J9" s="44">
        <f t="shared" si="2"/>
        <v>302563.11929999996</v>
      </c>
    </row>
    <row r="10" spans="1:10">
      <c r="A10" s="45">
        <f>IF('TENAGA KERJA'!A9=0,"",'TENAGA KERJA'!A9)</f>
        <v>8</v>
      </c>
      <c r="B10" s="24" t="str">
        <f>IF('TENAGA KERJA'!B9=0,"",'TENAGA KERJA'!B9)</f>
        <v>IKA JULITA</v>
      </c>
      <c r="C10" s="43">
        <f>IF('TENAGA KERJA'!I9="Tidak",0,('TENAGA KERJA'!K9+'TENAGA KERJA'!L9))</f>
        <v>4391337</v>
      </c>
      <c r="D10" s="43">
        <f>C10*SETTING!$C$10</f>
        <v>39082.899299999997</v>
      </c>
      <c r="E10" s="43">
        <f>C10*SETTING!$C$11</f>
        <v>13174.011</v>
      </c>
      <c r="F10" s="43">
        <f>C10*SETTING!$C$12</f>
        <v>162479.46899999998</v>
      </c>
      <c r="G10" s="43">
        <f>C10*SETTING!$C$13</f>
        <v>87826.74</v>
      </c>
      <c r="H10" s="43"/>
      <c r="I10" s="43"/>
      <c r="J10" s="44">
        <f t="shared" si="2"/>
        <v>302563.11929999996</v>
      </c>
    </row>
    <row r="11" spans="1:10">
      <c r="A11" s="45">
        <f>IF('TENAGA KERJA'!A10=0,"",'TENAGA KERJA'!A10)</f>
        <v>9</v>
      </c>
      <c r="B11" s="24" t="str">
        <f>IF('TENAGA KERJA'!B10=0,"",'TENAGA KERJA'!B10)</f>
        <v>FAJAR SHADIQ HERNANDA</v>
      </c>
      <c r="C11" s="43">
        <f>IF('TENAGA KERJA'!I10="Tidak",0,('TENAGA KERJA'!K10+'TENAGA KERJA'!L10))</f>
        <v>4391337</v>
      </c>
      <c r="D11" s="43">
        <f>C11*SETTING!$C$10</f>
        <v>39082.899299999997</v>
      </c>
      <c r="E11" s="43">
        <f>C11*SETTING!$C$11</f>
        <v>13174.011</v>
      </c>
      <c r="F11" s="43">
        <f>C11*SETTING!$C$12</f>
        <v>162479.46899999998</v>
      </c>
      <c r="G11" s="43">
        <f>C11*SETTING!$C$13</f>
        <v>87826.74</v>
      </c>
      <c r="H11" s="43"/>
      <c r="I11" s="43"/>
      <c r="J11" s="44">
        <f t="shared" si="2"/>
        <v>302563.11929999996</v>
      </c>
    </row>
    <row r="12" spans="1:10">
      <c r="A12" s="45">
        <f>IF('TENAGA KERJA'!A11=0,"",'TENAGA KERJA'!A11)</f>
        <v>10</v>
      </c>
      <c r="B12" s="24" t="str">
        <f>IF('TENAGA KERJA'!B11=0,"",'TENAGA KERJA'!B11)</f>
        <v>BAGUS DWI ARISTA</v>
      </c>
      <c r="C12" s="43">
        <f>IF('TENAGA KERJA'!I11="Tidak",0,('TENAGA KERJA'!K11+'TENAGA KERJA'!L11))</f>
        <v>4391337</v>
      </c>
      <c r="D12" s="43">
        <f>C12*SETTING!$C$10</f>
        <v>39082.899299999997</v>
      </c>
      <c r="E12" s="43">
        <f>C12*SETTING!$C$11</f>
        <v>13174.011</v>
      </c>
      <c r="F12" s="43">
        <f>C12*SETTING!$C$12</f>
        <v>162479.46899999998</v>
      </c>
      <c r="G12" s="43">
        <f>C12*SETTING!$C$13</f>
        <v>87826.74</v>
      </c>
      <c r="H12" s="43"/>
      <c r="I12" s="43"/>
      <c r="J12" s="44">
        <f t="shared" si="2"/>
        <v>302563.11929999996</v>
      </c>
    </row>
    <row r="13" spans="1:10">
      <c r="A13" s="45">
        <f>IF('TENAGA KERJA'!A12=0,"",'TENAGA KERJA'!A12)</f>
        <v>11</v>
      </c>
      <c r="B13" s="24" t="str">
        <f>IF('TENAGA KERJA'!B12=0,"",'TENAGA KERJA'!B12)</f>
        <v>SITI AISYAH</v>
      </c>
      <c r="C13" s="43">
        <f>IF('TENAGA KERJA'!I12="Tidak",0,('TENAGA KERJA'!K12+'TENAGA KERJA'!L12))</f>
        <v>4391337</v>
      </c>
      <c r="D13" s="43">
        <f>C13*SETTING!$C$10</f>
        <v>39082.899299999997</v>
      </c>
      <c r="E13" s="43">
        <f>C13*SETTING!$C$11</f>
        <v>13174.011</v>
      </c>
      <c r="F13" s="43">
        <f>C13*SETTING!$C$12</f>
        <v>162479.46899999998</v>
      </c>
      <c r="G13" s="43">
        <f>C13*SETTING!$C$13</f>
        <v>87826.74</v>
      </c>
      <c r="H13" s="43"/>
      <c r="I13" s="43"/>
      <c r="J13" s="44">
        <f t="shared" si="2"/>
        <v>302563.11929999996</v>
      </c>
    </row>
    <row r="14" spans="1:10">
      <c r="A14" s="45">
        <f>IF('TENAGA KERJA'!A13=0,"",'TENAGA KERJA'!A13)</f>
        <v>12</v>
      </c>
      <c r="B14" s="24" t="str">
        <f>IF('TENAGA KERJA'!B13=0,"",'TENAGA KERJA'!B13)</f>
        <v>YUDI BISMANTAKA</v>
      </c>
      <c r="C14" s="43">
        <f>IF('TENAGA KERJA'!I13="Tidak",0,('TENAGA KERJA'!K13+'TENAGA KERJA'!L13))</f>
        <v>4391337</v>
      </c>
      <c r="D14" s="43">
        <f>C14*SETTING!$C$10</f>
        <v>39082.899299999997</v>
      </c>
      <c r="E14" s="43">
        <f>C14*SETTING!$C$11</f>
        <v>13174.011</v>
      </c>
      <c r="F14" s="43">
        <f>C14*SETTING!$C$12</f>
        <v>162479.46899999998</v>
      </c>
      <c r="G14" s="43">
        <f>C14*SETTING!$C$13</f>
        <v>87826.74</v>
      </c>
      <c r="H14" s="43"/>
      <c r="I14" s="43"/>
      <c r="J14" s="44">
        <f t="shared" si="2"/>
        <v>302563.11929999996</v>
      </c>
    </row>
    <row r="15" spans="1:10">
      <c r="A15" s="45">
        <f>IF('TENAGA KERJA'!A14=0,"",'TENAGA KERJA'!A14)</f>
        <v>13</v>
      </c>
      <c r="B15" s="24" t="str">
        <f>IF('TENAGA KERJA'!B14=0,"",'TENAGA KERJA'!B14)</f>
        <v>WARDY</v>
      </c>
      <c r="C15" s="43">
        <f>IF('TENAGA KERJA'!I14="Tidak",0,('TENAGA KERJA'!K14+'TENAGA KERJA'!L14))</f>
        <v>4391337</v>
      </c>
      <c r="D15" s="43">
        <f>C15*SETTING!$C$10</f>
        <v>39082.899299999997</v>
      </c>
      <c r="E15" s="43">
        <f>C15*SETTING!$C$11</f>
        <v>13174.011</v>
      </c>
      <c r="F15" s="43">
        <f>C15*SETTING!$C$12</f>
        <v>162479.46899999998</v>
      </c>
      <c r="G15" s="43">
        <f>C15*SETTING!$C$13</f>
        <v>87826.74</v>
      </c>
      <c r="H15" s="43"/>
      <c r="I15" s="43"/>
      <c r="J15" s="44">
        <f t="shared" si="2"/>
        <v>302563.11929999996</v>
      </c>
    </row>
    <row r="16" spans="1:10">
      <c r="A16" s="45">
        <f>IF('TENAGA KERJA'!A15=0,"",'TENAGA KERJA'!A15)</f>
        <v>14</v>
      </c>
      <c r="B16" s="24" t="str">
        <f>IF('TENAGA KERJA'!B15=0,"",'TENAGA KERJA'!B15)</f>
        <v>HANDRI PANGESTU</v>
      </c>
      <c r="C16" s="43">
        <f>IF('TENAGA KERJA'!I15="Tidak",0,('TENAGA KERJA'!K15+'TENAGA KERJA'!L15))</f>
        <v>4391337</v>
      </c>
      <c r="D16" s="43">
        <f>C16*SETTING!$C$10</f>
        <v>39082.899299999997</v>
      </c>
      <c r="E16" s="43">
        <f>C16*SETTING!$C$11</f>
        <v>13174.011</v>
      </c>
      <c r="F16" s="43">
        <f>C16*SETTING!$C$12</f>
        <v>162479.46899999998</v>
      </c>
      <c r="G16" s="43">
        <f>C16*SETTING!$C$13</f>
        <v>87826.74</v>
      </c>
      <c r="H16" s="43"/>
      <c r="I16" s="43"/>
      <c r="J16" s="44">
        <f t="shared" si="2"/>
        <v>302563.11929999996</v>
      </c>
    </row>
    <row r="17" spans="1:11">
      <c r="A17" s="45">
        <f>IF('TENAGA KERJA'!A16=0,"",'TENAGA KERJA'!A16)</f>
        <v>15</v>
      </c>
      <c r="B17" s="24" t="str">
        <f>IF('TENAGA KERJA'!B16=0,"",'TENAGA KERJA'!B16)</f>
        <v>MUHAMMAD BAYU ARDIANTO</v>
      </c>
      <c r="C17" s="43">
        <f>IF('TENAGA KERJA'!I16="Tidak",0,('TENAGA KERJA'!K16+'TENAGA KERJA'!L16))</f>
        <v>4391337</v>
      </c>
      <c r="D17" s="43">
        <f>C17*SETTING!$C$10</f>
        <v>39082.899299999997</v>
      </c>
      <c r="E17" s="43">
        <f>C17*SETTING!$C$11</f>
        <v>13174.011</v>
      </c>
      <c r="F17" s="43">
        <f>C17*SETTING!$C$12</f>
        <v>162479.46899999998</v>
      </c>
      <c r="G17" s="43">
        <f>C17*SETTING!$C$13</f>
        <v>87826.74</v>
      </c>
      <c r="H17" s="43"/>
      <c r="I17" s="43"/>
      <c r="J17" s="44">
        <f t="shared" si="2"/>
        <v>302563.11929999996</v>
      </c>
    </row>
    <row r="18" spans="1:11">
      <c r="A18" s="45">
        <f>IF('TENAGA KERJA'!A17=0,"",'TENAGA KERJA'!A17)</f>
        <v>16</v>
      </c>
      <c r="B18" s="24" t="str">
        <f>IF('TENAGA KERJA'!B17=0,"",'TENAGA KERJA'!B17)</f>
        <v>MUHAMMAD ZETYO D.H</v>
      </c>
      <c r="C18" s="43">
        <f>IF('TENAGA KERJA'!I17="Tidak",0,('TENAGA KERJA'!K17+'TENAGA KERJA'!L17))</f>
        <v>4391337</v>
      </c>
      <c r="D18" s="43">
        <f>C18*SETTING!$C$10</f>
        <v>39082.899299999997</v>
      </c>
      <c r="E18" s="43">
        <f>C18*SETTING!$C$11</f>
        <v>13174.011</v>
      </c>
      <c r="F18" s="43">
        <f>C18*SETTING!$C$12</f>
        <v>162479.46899999998</v>
      </c>
      <c r="G18" s="43">
        <f>C18*SETTING!$C$13</f>
        <v>87826.74</v>
      </c>
      <c r="H18" s="43"/>
      <c r="I18" s="43"/>
      <c r="J18" s="44">
        <f t="shared" si="2"/>
        <v>302563.11929999996</v>
      </c>
    </row>
    <row r="19" spans="1:11">
      <c r="A19" s="45">
        <f>IF('TENAGA KERJA'!A18=0,"",'TENAGA KERJA'!A18)</f>
        <v>17</v>
      </c>
      <c r="B19" s="24" t="str">
        <f>IF('TENAGA KERJA'!B18=0,"",'TENAGA KERJA'!B18)</f>
        <v>MUHAMMAD HIDAYATULLAH</v>
      </c>
      <c r="C19" s="43">
        <f>IF('TENAGA KERJA'!I18="Tidak",0,('TENAGA KERJA'!K18+'TENAGA KERJA'!L18))</f>
        <v>4391337</v>
      </c>
      <c r="D19" s="43">
        <f>C19*SETTING!$C$10</f>
        <v>39082.899299999997</v>
      </c>
      <c r="E19" s="43">
        <f>C19*SETTING!$C$11</f>
        <v>13174.011</v>
      </c>
      <c r="F19" s="43">
        <f>C19*SETTING!$C$12</f>
        <v>162479.46899999998</v>
      </c>
      <c r="G19" s="43">
        <f>C19*SETTING!$C$13</f>
        <v>87826.74</v>
      </c>
      <c r="H19" s="43"/>
      <c r="I19" s="43"/>
      <c r="J19" s="44">
        <f t="shared" si="2"/>
        <v>302563.11929999996</v>
      </c>
    </row>
    <row r="20" spans="1:11">
      <c r="A20" s="45">
        <f>IF('TENAGA KERJA'!A19=0,"",'TENAGA KERJA'!A19)</f>
        <v>18</v>
      </c>
      <c r="B20" s="24" t="str">
        <f>IF('TENAGA KERJA'!B19=0,"",'TENAGA KERJA'!B19)</f>
        <v>ALYA JUNIANTI PRATIWI</v>
      </c>
      <c r="C20" s="43">
        <f>IF('TENAGA KERJA'!I19="Tidak",0,('TENAGA KERJA'!K19+'TENAGA KERJA'!L19))</f>
        <v>4391337</v>
      </c>
      <c r="D20" s="43">
        <f>C20*SETTING!$C$10</f>
        <v>39082.899299999997</v>
      </c>
      <c r="E20" s="43">
        <f>C20*SETTING!$C$11</f>
        <v>13174.011</v>
      </c>
      <c r="F20" s="43">
        <f>C20*SETTING!$C$12</f>
        <v>162479.46899999998</v>
      </c>
      <c r="G20" s="43">
        <f>C20*SETTING!$C$13</f>
        <v>87826.74</v>
      </c>
      <c r="H20" s="43"/>
      <c r="I20" s="43"/>
      <c r="J20" s="44">
        <f t="shared" si="2"/>
        <v>302563.11929999996</v>
      </c>
    </row>
    <row r="21" spans="1:11">
      <c r="A21" s="45">
        <f>IF('TENAGA KERJA'!A20=0,"",'TENAGA KERJA'!A20)</f>
        <v>19</v>
      </c>
      <c r="B21" s="24" t="str">
        <f>IF('TENAGA KERJA'!B20=0,"",'TENAGA KERJA'!B20)</f>
        <v>MUAMMAR AKRAM</v>
      </c>
      <c r="C21" s="43">
        <f>IF('TENAGA KERJA'!I20="Tidak",0,('TENAGA KERJA'!K20+'TENAGA KERJA'!L20))</f>
        <v>4391337</v>
      </c>
      <c r="D21" s="43">
        <f>C21*SETTING!$C$10</f>
        <v>39082.899299999997</v>
      </c>
      <c r="E21" s="43">
        <f>C21*SETTING!$C$11</f>
        <v>13174.011</v>
      </c>
      <c r="F21" s="43">
        <f>C21*SETTING!$C$12</f>
        <v>162479.46899999998</v>
      </c>
      <c r="G21" s="43">
        <f>C21*SETTING!$C$13</f>
        <v>87826.74</v>
      </c>
      <c r="H21" s="43"/>
      <c r="I21" s="43"/>
      <c r="J21" s="44">
        <f t="shared" si="2"/>
        <v>302563.11929999996</v>
      </c>
    </row>
    <row r="22" spans="1:11">
      <c r="A22" s="45">
        <f>IF('TENAGA KERJA'!A21=0,"",'TENAGA KERJA'!A21)</f>
        <v>20</v>
      </c>
      <c r="B22" s="24" t="str">
        <f>IF('TENAGA KERJA'!B21=0,"",'TENAGA KERJA'!B21)</f>
        <v>DARMAWAN SYAH</v>
      </c>
      <c r="C22" s="208">
        <f>IF('TENAGA KERJA'!I21="Tidak",0,('TENAGA KERJA'!K21+'TENAGA KERJA'!L21))+1891337</f>
        <v>4391337</v>
      </c>
      <c r="D22" s="43">
        <f>C22*SETTING!$C$10</f>
        <v>39082.899299999997</v>
      </c>
      <c r="E22" s="43">
        <f>C22*SETTING!$C$11</f>
        <v>13174.011</v>
      </c>
      <c r="F22" s="43">
        <f>C22*SETTING!$C$12</f>
        <v>162479.46899999998</v>
      </c>
      <c r="G22" s="43">
        <f>C22*SETTING!$C$13</f>
        <v>87826.74</v>
      </c>
      <c r="H22" s="43"/>
      <c r="I22" s="43"/>
      <c r="J22" s="44">
        <f t="shared" si="2"/>
        <v>302563.11929999996</v>
      </c>
      <c r="K22" s="151"/>
    </row>
    <row r="23" spans="1:11">
      <c r="A23" s="45">
        <f>IF('TENAGA KERJA'!A22=0,"",'TENAGA KERJA'!A22)</f>
        <v>21</v>
      </c>
      <c r="B23" s="24" t="str">
        <f>IF('TENAGA KERJA'!B22=0,"",'TENAGA KERJA'!B22)</f>
        <v>MARIYAM</v>
      </c>
      <c r="C23" s="43">
        <f>IF('TENAGA KERJA'!I22="Tidak",0,('TENAGA KERJA'!K22+'TENAGA KERJA'!L22))</f>
        <v>4391337</v>
      </c>
      <c r="D23" s="43">
        <f>C23*SETTING!$C$10</f>
        <v>39082.899299999997</v>
      </c>
      <c r="E23" s="43">
        <f>C23*SETTING!$C$11</f>
        <v>13174.011</v>
      </c>
      <c r="F23" s="43">
        <f>C23*SETTING!$C$12</f>
        <v>162479.46899999998</v>
      </c>
      <c r="G23" s="43">
        <f>C23*SETTING!$C$13</f>
        <v>87826.74</v>
      </c>
      <c r="H23" s="43"/>
      <c r="I23" s="43"/>
      <c r="J23" s="44">
        <f t="shared" si="2"/>
        <v>302563.11929999996</v>
      </c>
    </row>
    <row r="24" spans="1:11">
      <c r="A24" s="45">
        <f>IF('TENAGA KERJA'!A23=0,"",'TENAGA KERJA'!A23)</f>
        <v>22</v>
      </c>
      <c r="B24" s="24" t="str">
        <f>IF('TENAGA KERJA'!B23=0,"",'TENAGA KERJA'!B23)</f>
        <v>ACHMAD RENALDI</v>
      </c>
      <c r="C24" s="43">
        <f>IF('TENAGA KERJA'!I23="Tidak",0,('TENAGA KERJA'!K23+'TENAGA KERJA'!L23))</f>
        <v>4391337</v>
      </c>
      <c r="D24" s="43">
        <f>C24*SETTING!$C$10</f>
        <v>39082.899299999997</v>
      </c>
      <c r="E24" s="43">
        <f>C24*SETTING!$C$11</f>
        <v>13174.011</v>
      </c>
      <c r="F24" s="43">
        <f>C24*SETTING!$C$12</f>
        <v>162479.46899999998</v>
      </c>
      <c r="G24" s="43">
        <f>C24*SETTING!$C$13</f>
        <v>87826.74</v>
      </c>
      <c r="H24" s="43"/>
      <c r="I24" s="43"/>
      <c r="J24" s="44">
        <f t="shared" si="2"/>
        <v>302563.11929999996</v>
      </c>
    </row>
    <row r="25" spans="1:11">
      <c r="A25" s="45">
        <f>IF('TENAGA KERJA'!A24=0,"",'TENAGA KERJA'!A24)</f>
        <v>23</v>
      </c>
      <c r="B25" s="24" t="str">
        <f>IF('TENAGA KERJA'!B24=0,"",'TENAGA KERJA'!B24)</f>
        <v>ARIF GUNAWAN</v>
      </c>
      <c r="C25" s="43">
        <f>IF('TENAGA KERJA'!I24="Tidak",0,('TENAGA KERJA'!K24+'TENAGA KERJA'!L24))</f>
        <v>4391337</v>
      </c>
      <c r="D25" s="43">
        <f>C25*SETTING!$C$10</f>
        <v>39082.899299999997</v>
      </c>
      <c r="E25" s="43">
        <f>C25*SETTING!$C$11</f>
        <v>13174.011</v>
      </c>
      <c r="F25" s="43">
        <f>C25*SETTING!$C$12</f>
        <v>162479.46899999998</v>
      </c>
      <c r="G25" s="43">
        <f>C25*SETTING!$C$13</f>
        <v>87826.74</v>
      </c>
      <c r="H25" s="43"/>
      <c r="I25" s="43"/>
      <c r="J25" s="44">
        <f t="shared" si="2"/>
        <v>302563.11929999996</v>
      </c>
    </row>
    <row r="26" spans="1:11">
      <c r="A26" s="45" t="str">
        <f>IF('TENAGA KERJA'!A25=0,"",'TENAGA KERJA'!A25)</f>
        <v/>
      </c>
      <c r="B26" s="24" t="str">
        <f>IF('TENAGA KERJA'!B25=0,"",'TENAGA KERJA'!B25)</f>
        <v/>
      </c>
      <c r="C26" s="43">
        <f>IF('TENAGA KERJA'!I25="Tidak",0,('TENAGA KERJA'!K25+'TENAGA KERJA'!L25))</f>
        <v>0</v>
      </c>
      <c r="D26" s="43">
        <f>C26*SETTING!$C$10</f>
        <v>0</v>
      </c>
      <c r="E26" s="43">
        <f>C26*SETTING!$C$11</f>
        <v>0</v>
      </c>
      <c r="F26" s="43">
        <f>C26*SETTING!$C$12</f>
        <v>0</v>
      </c>
      <c r="G26" s="43">
        <f>C26*SETTING!$C$13</f>
        <v>0</v>
      </c>
      <c r="H26" s="43"/>
      <c r="I26" s="43"/>
      <c r="J26" s="44">
        <f t="shared" si="2"/>
        <v>0</v>
      </c>
      <c r="K26" s="151"/>
    </row>
    <row r="27" spans="1:11">
      <c r="A27" s="45" t="str">
        <f>IF('TENAGA KERJA'!A26=0,"",'TENAGA KERJA'!A26)</f>
        <v/>
      </c>
      <c r="B27" s="24" t="str">
        <f>IF('TENAGA KERJA'!B26=0,"",'TENAGA KERJA'!B26)</f>
        <v/>
      </c>
      <c r="C27" s="43">
        <f>IF('TENAGA KERJA'!I26="Tidak",0,('TENAGA KERJA'!K26+'TENAGA KERJA'!L26))</f>
        <v>0</v>
      </c>
      <c r="D27" s="43">
        <f>C27*SETTING!$C$10</f>
        <v>0</v>
      </c>
      <c r="E27" s="43">
        <f>C27*SETTING!$C$11</f>
        <v>0</v>
      </c>
      <c r="F27" s="43">
        <f>C27*SETTING!$C$12</f>
        <v>0</v>
      </c>
      <c r="G27" s="43">
        <f>C27*SETTING!$C$13</f>
        <v>0</v>
      </c>
      <c r="H27" s="43"/>
      <c r="I27" s="43"/>
      <c r="J27" s="44">
        <f t="shared" si="2"/>
        <v>0</v>
      </c>
    </row>
    <row r="28" spans="1:11">
      <c r="A28" s="45" t="str">
        <f>IF('TENAGA KERJA'!A27=0,"",'TENAGA KERJA'!A27)</f>
        <v/>
      </c>
      <c r="B28" s="24" t="str">
        <f>IF('TENAGA KERJA'!B27=0,"",'TENAGA KERJA'!B27)</f>
        <v/>
      </c>
      <c r="C28" s="43">
        <f>IF('TENAGA KERJA'!I27="Tidak",0,('TENAGA KERJA'!K27+'TENAGA KERJA'!L27))</f>
        <v>0</v>
      </c>
      <c r="D28" s="43">
        <f>C28*SETTING!$C$10</f>
        <v>0</v>
      </c>
      <c r="E28" s="43">
        <f>C28*SETTING!$C$11</f>
        <v>0</v>
      </c>
      <c r="F28" s="43">
        <f>C28*SETTING!$C$12</f>
        <v>0</v>
      </c>
      <c r="G28" s="43">
        <f>C28*SETTING!$C$13</f>
        <v>0</v>
      </c>
      <c r="H28" s="43"/>
      <c r="I28" s="43"/>
      <c r="J28" s="44">
        <f t="shared" si="2"/>
        <v>0</v>
      </c>
    </row>
    <row r="29" spans="1:11">
      <c r="A29" s="45" t="str">
        <f>IF('TENAGA KERJA'!A28=0,"",'TENAGA KERJA'!A28)</f>
        <v/>
      </c>
      <c r="B29" s="24" t="str">
        <f>IF('TENAGA KERJA'!B28=0,"",'TENAGA KERJA'!B28)</f>
        <v/>
      </c>
      <c r="C29" s="43">
        <f>IF('TENAGA KERJA'!I28="Tidak",0,('TENAGA KERJA'!K28+'TENAGA KERJA'!L28))</f>
        <v>0</v>
      </c>
      <c r="D29" s="43">
        <f>C29*SETTING!$C$10</f>
        <v>0</v>
      </c>
      <c r="E29" s="43">
        <f>C29*SETTING!$C$11</f>
        <v>0</v>
      </c>
      <c r="F29" s="43">
        <f>C29*SETTING!$C$12</f>
        <v>0</v>
      </c>
      <c r="G29" s="43">
        <f>C29*SETTING!$C$13</f>
        <v>0</v>
      </c>
      <c r="H29" s="43"/>
      <c r="I29" s="43"/>
      <c r="J29" s="44">
        <f t="shared" si="2"/>
        <v>0</v>
      </c>
    </row>
    <row r="30" spans="1:11">
      <c r="A30" s="45" t="str">
        <f>IF('TENAGA KERJA'!A29=0,"",'TENAGA KERJA'!A29)</f>
        <v/>
      </c>
      <c r="B30" s="24" t="str">
        <f>IF('TENAGA KERJA'!B29=0,"",'TENAGA KERJA'!B29)</f>
        <v/>
      </c>
      <c r="C30" s="43">
        <f>IF('TENAGA KERJA'!I29="Tidak",0,('TENAGA KERJA'!K29+'TENAGA KERJA'!L29))</f>
        <v>0</v>
      </c>
      <c r="D30" s="43">
        <f>C30*SETTING!$C$10</f>
        <v>0</v>
      </c>
      <c r="E30" s="43">
        <f>C30*SETTING!$C$11</f>
        <v>0</v>
      </c>
      <c r="F30" s="43">
        <f>C30*SETTING!$C$12</f>
        <v>0</v>
      </c>
      <c r="G30" s="43">
        <f>C30*SETTING!$C$13</f>
        <v>0</v>
      </c>
      <c r="H30" s="43"/>
      <c r="I30" s="43"/>
      <c r="J30" s="44">
        <f t="shared" si="2"/>
        <v>0</v>
      </c>
    </row>
    <row r="31" spans="1:11">
      <c r="A31" s="45" t="str">
        <f>IF('TENAGA KERJA'!A30=0,"",'TENAGA KERJA'!A30)</f>
        <v/>
      </c>
      <c r="B31" s="24" t="str">
        <f>IF('TENAGA KERJA'!B30=0,"",'TENAGA KERJA'!B30)</f>
        <v/>
      </c>
      <c r="C31" s="43">
        <f>IF('TENAGA KERJA'!I30="Tidak",0,('TENAGA KERJA'!K30+'TENAGA KERJA'!L30))</f>
        <v>0</v>
      </c>
      <c r="D31" s="43">
        <f>C31*SETTING!$C$10</f>
        <v>0</v>
      </c>
      <c r="E31" s="43">
        <f>C31*SETTING!$C$11</f>
        <v>0</v>
      </c>
      <c r="F31" s="43">
        <f>C31*SETTING!$C$12</f>
        <v>0</v>
      </c>
      <c r="G31" s="43">
        <f>C31*SETTING!$C$13</f>
        <v>0</v>
      </c>
      <c r="H31" s="43"/>
      <c r="I31" s="43"/>
      <c r="J31" s="44">
        <f t="shared" si="2"/>
        <v>0</v>
      </c>
    </row>
    <row r="32" spans="1:11">
      <c r="A32" s="45" t="str">
        <f>IF('TENAGA KERJA'!A31=0,"",'TENAGA KERJA'!A31)</f>
        <v/>
      </c>
      <c r="B32" s="24" t="str">
        <f>IF('TENAGA KERJA'!B31=0,"",'TENAGA KERJA'!B31)</f>
        <v/>
      </c>
      <c r="C32" s="43">
        <f>IF('TENAGA KERJA'!I31="Tidak",0,('TENAGA KERJA'!K31+'TENAGA KERJA'!L31))</f>
        <v>0</v>
      </c>
      <c r="D32" s="43">
        <f>C32*SETTING!$C$10</f>
        <v>0</v>
      </c>
      <c r="E32" s="43">
        <f>C32*SETTING!$C$11</f>
        <v>0</v>
      </c>
      <c r="F32" s="43">
        <f>C32*SETTING!$C$12</f>
        <v>0</v>
      </c>
      <c r="G32" s="43">
        <f>C32*SETTING!$C$13</f>
        <v>0</v>
      </c>
      <c r="H32" s="43"/>
      <c r="I32" s="43"/>
      <c r="J32" s="44">
        <f t="shared" si="2"/>
        <v>0</v>
      </c>
    </row>
    <row r="33" spans="1:11">
      <c r="A33" s="45" t="str">
        <f>IF('TENAGA KERJA'!A32=0,"",'TENAGA KERJA'!A32)</f>
        <v/>
      </c>
      <c r="B33" s="24" t="str">
        <f>IF('TENAGA KERJA'!B32=0,"",'TENAGA KERJA'!B32)</f>
        <v/>
      </c>
      <c r="C33" s="43">
        <f>IF('TENAGA KERJA'!I32="Tidak",0,('TENAGA KERJA'!K32+'TENAGA KERJA'!L32))</f>
        <v>0</v>
      </c>
      <c r="D33" s="43">
        <f>C33*SETTING!$C$10</f>
        <v>0</v>
      </c>
      <c r="E33" s="43">
        <f>C33*SETTING!$C$11</f>
        <v>0</v>
      </c>
      <c r="F33" s="43">
        <f>C33*SETTING!$C$12</f>
        <v>0</v>
      </c>
      <c r="G33" s="43">
        <f>C33*SETTING!$C$13</f>
        <v>0</v>
      </c>
      <c r="H33" s="43"/>
      <c r="I33" s="43"/>
      <c r="J33" s="44">
        <f t="shared" si="2"/>
        <v>0</v>
      </c>
    </row>
    <row r="34" spans="1:11">
      <c r="A34" s="45" t="str">
        <f>IF('TENAGA KERJA'!A33=0,"",'TENAGA KERJA'!A33)</f>
        <v/>
      </c>
      <c r="B34" s="24" t="str">
        <f>IF('TENAGA KERJA'!B33=0,"",'TENAGA KERJA'!B33)</f>
        <v/>
      </c>
      <c r="C34" s="43">
        <f>IF('TENAGA KERJA'!I33="Tidak",0,('TENAGA KERJA'!K33+'TENAGA KERJA'!L33))</f>
        <v>0</v>
      </c>
      <c r="D34" s="43">
        <f>C34*SETTING!$C$10</f>
        <v>0</v>
      </c>
      <c r="E34" s="43">
        <f>C34*SETTING!$C$11</f>
        <v>0</v>
      </c>
      <c r="F34" s="43">
        <f>C34*SETTING!$C$12</f>
        <v>0</v>
      </c>
      <c r="G34" s="43">
        <f>C34*SETTING!$C$13</f>
        <v>0</v>
      </c>
      <c r="H34" s="43"/>
      <c r="I34" s="43"/>
      <c r="J34" s="44">
        <f t="shared" si="2"/>
        <v>0</v>
      </c>
    </row>
    <row r="35" spans="1:11">
      <c r="A35" s="45" t="str">
        <f>IF('TENAGA KERJA'!A34=0,"",'TENAGA KERJA'!A34)</f>
        <v/>
      </c>
      <c r="B35" s="24" t="str">
        <f>IF('TENAGA KERJA'!B34=0,"",'TENAGA KERJA'!B34)</f>
        <v/>
      </c>
      <c r="C35" s="43">
        <f>IF('TENAGA KERJA'!I34="Tidak",0,('TENAGA KERJA'!K34+'TENAGA KERJA'!L34))</f>
        <v>0</v>
      </c>
      <c r="D35" s="43">
        <f>C35*SETTING!$C$10</f>
        <v>0</v>
      </c>
      <c r="E35" s="43">
        <f>C35*SETTING!$C$11</f>
        <v>0</v>
      </c>
      <c r="F35" s="43">
        <f>C35*SETTING!$C$12</f>
        <v>0</v>
      </c>
      <c r="G35" s="43">
        <f>C35*SETTING!$C$13</f>
        <v>0</v>
      </c>
      <c r="H35" s="43"/>
      <c r="I35" s="43"/>
      <c r="J35" s="44">
        <f t="shared" si="2"/>
        <v>0</v>
      </c>
    </row>
    <row r="36" spans="1:11">
      <c r="A36" s="45" t="str">
        <f>IF('TENAGA KERJA'!A35=0,"",'TENAGA KERJA'!A35)</f>
        <v/>
      </c>
      <c r="B36" s="24" t="str">
        <f>IF('TENAGA KERJA'!B35=0,"",'TENAGA KERJA'!B35)</f>
        <v/>
      </c>
      <c r="C36" s="43">
        <f>IF('TENAGA KERJA'!I35="Tidak",0,('TENAGA KERJA'!K35+'TENAGA KERJA'!L35))</f>
        <v>0</v>
      </c>
      <c r="D36" s="43">
        <f>C36*SETTING!$C$10</f>
        <v>0</v>
      </c>
      <c r="E36" s="43">
        <f>C36*SETTING!$C$11</f>
        <v>0</v>
      </c>
      <c r="F36" s="43">
        <f>C36*SETTING!$C$12</f>
        <v>0</v>
      </c>
      <c r="G36" s="43">
        <f>C36*SETTING!$C$13</f>
        <v>0</v>
      </c>
      <c r="H36" s="43"/>
      <c r="I36" s="43"/>
      <c r="J36" s="44">
        <f t="shared" si="2"/>
        <v>0</v>
      </c>
    </row>
    <row r="37" spans="1:11">
      <c r="A37" s="45" t="str">
        <f>IF('TENAGA KERJA'!A36=0,"",'TENAGA KERJA'!A36)</f>
        <v/>
      </c>
      <c r="B37" s="24" t="str">
        <f>IF('TENAGA KERJA'!B36=0,"",'TENAGA KERJA'!B36)</f>
        <v/>
      </c>
      <c r="C37" s="43">
        <f>IF('TENAGA KERJA'!I36="Tidak",0,('TENAGA KERJA'!K36+'TENAGA KERJA'!L36))</f>
        <v>0</v>
      </c>
      <c r="D37" s="43">
        <f>C37*SETTING!$C$10</f>
        <v>0</v>
      </c>
      <c r="E37" s="43">
        <f>C37*SETTING!$C$11</f>
        <v>0</v>
      </c>
      <c r="F37" s="43">
        <f>C37*SETTING!$C$12</f>
        <v>0</v>
      </c>
      <c r="G37" s="43">
        <f>C37*SETTING!$C$13</f>
        <v>0</v>
      </c>
      <c r="H37" s="43"/>
      <c r="I37" s="43"/>
      <c r="J37" s="44">
        <f t="shared" si="2"/>
        <v>0</v>
      </c>
    </row>
    <row r="38" spans="1:11">
      <c r="A38" s="45" t="str">
        <f>IF('TENAGA KERJA'!A37=0,"",'TENAGA KERJA'!A37)</f>
        <v/>
      </c>
      <c r="B38" s="24" t="str">
        <f>IF('TENAGA KERJA'!B37=0,"",'TENAGA KERJA'!B37)</f>
        <v/>
      </c>
      <c r="C38" s="43">
        <f>IF('TENAGA KERJA'!I37="Tidak",0,('TENAGA KERJA'!K37+'TENAGA KERJA'!L37))</f>
        <v>0</v>
      </c>
      <c r="D38" s="43">
        <f>C38*SETTING!$C$10</f>
        <v>0</v>
      </c>
      <c r="E38" s="43">
        <f>C38*SETTING!$C$11</f>
        <v>0</v>
      </c>
      <c r="F38" s="43">
        <f>C38*SETTING!$C$12</f>
        <v>0</v>
      </c>
      <c r="G38" s="43">
        <f>C38*SETTING!$C$13</f>
        <v>0</v>
      </c>
      <c r="H38" s="43"/>
      <c r="I38" s="43"/>
      <c r="J38" s="44">
        <f t="shared" si="2"/>
        <v>0</v>
      </c>
    </row>
    <row r="39" spans="1:11">
      <c r="A39" s="45" t="str">
        <f>IF('TENAGA KERJA'!A38=0,"",'TENAGA KERJA'!A38)</f>
        <v/>
      </c>
      <c r="B39" s="24" t="str">
        <f>IF('TENAGA KERJA'!B38=0,"",'TENAGA KERJA'!B38)</f>
        <v/>
      </c>
      <c r="C39" s="43">
        <f>IF('TENAGA KERJA'!I38="Tidak",0,('TENAGA KERJA'!K38+'TENAGA KERJA'!L38))</f>
        <v>0</v>
      </c>
      <c r="D39" s="43">
        <f>C39*SETTING!$C$10</f>
        <v>0</v>
      </c>
      <c r="E39" s="43">
        <f>C39*SETTING!$C$11</f>
        <v>0</v>
      </c>
      <c r="F39" s="43">
        <f>C39*SETTING!$C$12</f>
        <v>0</v>
      </c>
      <c r="G39" s="43">
        <f>C39*SETTING!$C$13</f>
        <v>0</v>
      </c>
      <c r="H39" s="43"/>
      <c r="I39" s="43"/>
      <c r="J39" s="44">
        <f t="shared" si="2"/>
        <v>0</v>
      </c>
    </row>
    <row r="40" spans="1:11">
      <c r="A40" s="45" t="str">
        <f>IF('TENAGA KERJA'!A39=0,"",'TENAGA KERJA'!A39)</f>
        <v/>
      </c>
      <c r="B40" s="24" t="str">
        <f>IF('TENAGA KERJA'!B39=0,"",'TENAGA KERJA'!B39)</f>
        <v/>
      </c>
      <c r="C40" s="43">
        <f>IF('TENAGA KERJA'!I39="Tidak",0,('TENAGA KERJA'!K39+'TENAGA KERJA'!L39))</f>
        <v>0</v>
      </c>
      <c r="D40" s="43">
        <f>C40*SETTING!$C$10</f>
        <v>0</v>
      </c>
      <c r="E40" s="43">
        <f>C40*SETTING!$C$11</f>
        <v>0</v>
      </c>
      <c r="F40" s="43">
        <f>C40*SETTING!$C$12</f>
        <v>0</v>
      </c>
      <c r="G40" s="43">
        <f>C40*SETTING!$C$13</f>
        <v>0</v>
      </c>
      <c r="H40" s="43"/>
      <c r="I40" s="43"/>
      <c r="J40" s="44">
        <f t="shared" si="2"/>
        <v>0</v>
      </c>
      <c r="K40" s="151">
        <f>C38-1796456</f>
        <v>-1796456</v>
      </c>
    </row>
    <row r="41" spans="1:11">
      <c r="A41" s="45" t="str">
        <f>IF('TENAGA KERJA'!A40=0,"",'TENAGA KERJA'!A40)</f>
        <v/>
      </c>
      <c r="B41" s="24" t="str">
        <f>IF('TENAGA KERJA'!B40=0,"",'TENAGA KERJA'!B40)</f>
        <v/>
      </c>
      <c r="C41" s="43">
        <f>IF('TENAGA KERJA'!I40="Tidak",0,('TENAGA KERJA'!K40+'TENAGA KERJA'!L40))</f>
        <v>0</v>
      </c>
      <c r="D41" s="43">
        <f>C41*SETTING!$C$10</f>
        <v>0</v>
      </c>
      <c r="E41" s="43">
        <f>C41*SETTING!$C$11</f>
        <v>0</v>
      </c>
      <c r="F41" s="43">
        <f>C41*SETTING!$C$12</f>
        <v>0</v>
      </c>
      <c r="G41" s="43">
        <f>C41*SETTING!$C$13</f>
        <v>0</v>
      </c>
      <c r="H41" s="43"/>
      <c r="I41" s="43"/>
      <c r="J41" s="44">
        <f t="shared" si="2"/>
        <v>0</v>
      </c>
    </row>
    <row r="42" spans="1:11">
      <c r="A42" s="45" t="str">
        <f>IF('TENAGA KERJA'!A41=0,"",'TENAGA KERJA'!A41)</f>
        <v/>
      </c>
      <c r="B42" s="24" t="str">
        <f>IF('TENAGA KERJA'!B41=0,"",'TENAGA KERJA'!B41)</f>
        <v/>
      </c>
      <c r="C42" s="43">
        <f>IF('TENAGA KERJA'!I41="Tidak",0,('TENAGA KERJA'!K41+'TENAGA KERJA'!L41))</f>
        <v>0</v>
      </c>
      <c r="D42" s="43">
        <f>C42*SETTING!$C$10</f>
        <v>0</v>
      </c>
      <c r="E42" s="43">
        <f>C42*SETTING!$C$11</f>
        <v>0</v>
      </c>
      <c r="F42" s="43">
        <f>C42*SETTING!$C$12</f>
        <v>0</v>
      </c>
      <c r="G42" s="43">
        <f>C42*SETTING!$C$13</f>
        <v>0</v>
      </c>
      <c r="H42" s="43"/>
      <c r="I42" s="43"/>
      <c r="J42" s="44">
        <f t="shared" si="2"/>
        <v>0</v>
      </c>
    </row>
    <row r="43" spans="1:11">
      <c r="A43" s="45" t="str">
        <f>IF('TENAGA KERJA'!A42=0,"",'TENAGA KERJA'!A42)</f>
        <v/>
      </c>
      <c r="B43" s="24" t="str">
        <f>IF('TENAGA KERJA'!B42=0,"",'TENAGA KERJA'!B42)</f>
        <v/>
      </c>
      <c r="C43" s="43">
        <f>IF('TENAGA KERJA'!I42="Tidak",0,('TENAGA KERJA'!K42+'TENAGA KERJA'!L42))</f>
        <v>0</v>
      </c>
      <c r="D43" s="43">
        <f>C43*SETTING!$C$10</f>
        <v>0</v>
      </c>
      <c r="E43" s="43">
        <f>C43*SETTING!$C$11</f>
        <v>0</v>
      </c>
      <c r="F43" s="43">
        <f>C43*SETTING!$C$12</f>
        <v>0</v>
      </c>
      <c r="G43" s="43">
        <f>C43*SETTING!$C$13</f>
        <v>0</v>
      </c>
      <c r="H43" s="43"/>
      <c r="I43" s="43"/>
      <c r="J43" s="44">
        <f t="shared" si="2"/>
        <v>0</v>
      </c>
    </row>
    <row r="44" spans="1:11">
      <c r="A44" s="45" t="str">
        <f>IF('TENAGA KERJA'!A43=0,"",'TENAGA KERJA'!A43)</f>
        <v/>
      </c>
      <c r="B44" s="24" t="str">
        <f>IF('TENAGA KERJA'!B43=0,"",'TENAGA KERJA'!B43)</f>
        <v/>
      </c>
      <c r="C44" s="43">
        <f>IF('TENAGA KERJA'!I43="Tidak",0,('TENAGA KERJA'!K43+'TENAGA KERJA'!L43))</f>
        <v>0</v>
      </c>
      <c r="D44" s="43">
        <f>C44*SETTING!$C$10</f>
        <v>0</v>
      </c>
      <c r="E44" s="43">
        <f>C44*SETTING!$C$11</f>
        <v>0</v>
      </c>
      <c r="F44" s="43">
        <f>C44*SETTING!$C$12</f>
        <v>0</v>
      </c>
      <c r="G44" s="43">
        <f>C44*SETTING!$C$13</f>
        <v>0</v>
      </c>
      <c r="H44" s="43"/>
      <c r="I44" s="43"/>
      <c r="J44" s="44">
        <f t="shared" si="2"/>
        <v>0</v>
      </c>
    </row>
    <row r="45" spans="1:11">
      <c r="A45" s="45" t="str">
        <f>IF('TENAGA KERJA'!A44=0,"",'TENAGA KERJA'!A44)</f>
        <v/>
      </c>
      <c r="B45" s="24" t="str">
        <f>IF('TENAGA KERJA'!B44=0,"",'TENAGA KERJA'!B44)</f>
        <v/>
      </c>
      <c r="C45" s="43">
        <f>IF('TENAGA KERJA'!I44="Tidak",0,('TENAGA KERJA'!K44+'TENAGA KERJA'!L44))</f>
        <v>0</v>
      </c>
      <c r="D45" s="43">
        <f>C45*SETTING!$C$10</f>
        <v>0</v>
      </c>
      <c r="E45" s="43">
        <f>C45*SETTING!$C$11</f>
        <v>0</v>
      </c>
      <c r="F45" s="43">
        <f>C45*SETTING!$C$12</f>
        <v>0</v>
      </c>
      <c r="G45" s="43">
        <f>C45*SETTING!$C$13</f>
        <v>0</v>
      </c>
      <c r="H45" s="43"/>
      <c r="I45" s="43"/>
      <c r="J45" s="44">
        <f t="shared" si="2"/>
        <v>0</v>
      </c>
    </row>
    <row r="46" spans="1:11">
      <c r="A46" s="45" t="str">
        <f>IF('TENAGA KERJA'!A45=0,"",'TENAGA KERJA'!A45)</f>
        <v/>
      </c>
      <c r="B46" s="24" t="str">
        <f>IF('TENAGA KERJA'!B45=0,"",'TENAGA KERJA'!B45)</f>
        <v/>
      </c>
      <c r="C46" s="43">
        <f>IF('TENAGA KERJA'!I45="Tidak",0,('TENAGA KERJA'!K45+'TENAGA KERJA'!L45))</f>
        <v>0</v>
      </c>
      <c r="D46" s="43">
        <f>C46*SETTING!$C$10</f>
        <v>0</v>
      </c>
      <c r="E46" s="43">
        <f>C46*SETTING!$C$11</f>
        <v>0</v>
      </c>
      <c r="F46" s="43">
        <f>C46*SETTING!$C$12</f>
        <v>0</v>
      </c>
      <c r="G46" s="43">
        <f>C46*SETTING!$C$13</f>
        <v>0</v>
      </c>
      <c r="H46" s="43"/>
      <c r="I46" s="43"/>
      <c r="J46" s="44">
        <f t="shared" si="2"/>
        <v>0</v>
      </c>
    </row>
    <row r="47" spans="1:11">
      <c r="A47" s="45" t="str">
        <f>IF('TENAGA KERJA'!A46=0,"",'TENAGA KERJA'!A46)</f>
        <v/>
      </c>
      <c r="B47" s="24" t="str">
        <f>IF('TENAGA KERJA'!B46=0,"",'TENAGA KERJA'!B46)</f>
        <v/>
      </c>
      <c r="C47" s="43">
        <f>IF('TENAGA KERJA'!I46="Tidak",0,('TENAGA KERJA'!K46+'TENAGA KERJA'!L46))</f>
        <v>0</v>
      </c>
      <c r="D47" s="43">
        <f>C47*SETTING!$C$10</f>
        <v>0</v>
      </c>
      <c r="E47" s="43">
        <f>C47*SETTING!$C$11</f>
        <v>0</v>
      </c>
      <c r="F47" s="43">
        <f>C47*SETTING!$C$12</f>
        <v>0</v>
      </c>
      <c r="G47" s="43">
        <f>C47*SETTING!$C$13</f>
        <v>0</v>
      </c>
      <c r="H47" s="43"/>
      <c r="I47" s="43"/>
      <c r="J47" s="44">
        <f t="shared" si="2"/>
        <v>0</v>
      </c>
    </row>
    <row r="48" spans="1:11">
      <c r="A48" s="45" t="str">
        <f>IF('TENAGA KERJA'!A47=0,"",'TENAGA KERJA'!A47)</f>
        <v/>
      </c>
      <c r="B48" s="24" t="str">
        <f>IF('TENAGA KERJA'!B47=0,"",'TENAGA KERJA'!B47)</f>
        <v/>
      </c>
      <c r="C48" s="43">
        <f>IF('TENAGA KERJA'!I47="Tidak",0,('TENAGA KERJA'!K47+'TENAGA KERJA'!L47))</f>
        <v>0</v>
      </c>
      <c r="D48" s="43">
        <f>C48*SETTING!$C$10</f>
        <v>0</v>
      </c>
      <c r="E48" s="43">
        <f>C48*SETTING!$C$11</f>
        <v>0</v>
      </c>
      <c r="F48" s="43">
        <f>C48*SETTING!$C$12</f>
        <v>0</v>
      </c>
      <c r="G48" s="43">
        <f>C48*SETTING!$C$13</f>
        <v>0</v>
      </c>
      <c r="H48" s="43"/>
      <c r="I48" s="43"/>
      <c r="J48" s="44">
        <f t="shared" si="2"/>
        <v>0</v>
      </c>
    </row>
    <row r="49" spans="1:10">
      <c r="A49" s="45" t="str">
        <f>IF('TENAGA KERJA'!A48=0,"",'TENAGA KERJA'!A48)</f>
        <v/>
      </c>
      <c r="B49" s="24" t="str">
        <f>IF('TENAGA KERJA'!B48=0,"",'TENAGA KERJA'!B48)</f>
        <v/>
      </c>
      <c r="C49" s="43">
        <f>IF('TENAGA KERJA'!I48="Tidak",0,('TENAGA KERJA'!K48+'TENAGA KERJA'!L48))</f>
        <v>0</v>
      </c>
      <c r="D49" s="43">
        <f>C49*SETTING!$C$10</f>
        <v>0</v>
      </c>
      <c r="E49" s="43">
        <f>C49*SETTING!$C$11</f>
        <v>0</v>
      </c>
      <c r="F49" s="43">
        <f>C49*SETTING!$C$12</f>
        <v>0</v>
      </c>
      <c r="G49" s="43">
        <f>C49*SETTING!$C$13</f>
        <v>0</v>
      </c>
      <c r="H49" s="43"/>
      <c r="I49" s="43"/>
      <c r="J49" s="44">
        <f t="shared" si="2"/>
        <v>0</v>
      </c>
    </row>
    <row r="50" spans="1:10">
      <c r="A50" s="45" t="str">
        <f>IF('TENAGA KERJA'!A49=0,"",'TENAGA KERJA'!A49)</f>
        <v/>
      </c>
      <c r="B50" s="24" t="str">
        <f>IF('TENAGA KERJA'!B49=0,"",'TENAGA KERJA'!B49)</f>
        <v/>
      </c>
      <c r="C50" s="43">
        <f>IF('TENAGA KERJA'!I49="Tidak",0,('TENAGA KERJA'!K49+'TENAGA KERJA'!L49))</f>
        <v>0</v>
      </c>
      <c r="D50" s="43">
        <f>C50*SETTING!$C$10</f>
        <v>0</v>
      </c>
      <c r="E50" s="43">
        <f>C50*SETTING!$C$11</f>
        <v>0</v>
      </c>
      <c r="F50" s="43">
        <f>C50*SETTING!$C$12</f>
        <v>0</v>
      </c>
      <c r="G50" s="43">
        <f>C50*SETTING!$C$13</f>
        <v>0</v>
      </c>
      <c r="H50" s="43"/>
      <c r="I50" s="43"/>
      <c r="J50" s="44">
        <f t="shared" si="2"/>
        <v>0</v>
      </c>
    </row>
    <row r="51" spans="1:10">
      <c r="A51" s="45" t="str">
        <f>IF('TENAGA KERJA'!A50=0,"",'TENAGA KERJA'!A50)</f>
        <v/>
      </c>
      <c r="B51" s="24" t="str">
        <f>IF('TENAGA KERJA'!B50=0,"",'TENAGA KERJA'!B50)</f>
        <v/>
      </c>
      <c r="C51" s="43">
        <f>IF('TENAGA KERJA'!I50="Tidak",0,('TENAGA KERJA'!K50+'TENAGA KERJA'!L50))</f>
        <v>0</v>
      </c>
      <c r="D51" s="43">
        <f>C51*SETTING!$C$10</f>
        <v>0</v>
      </c>
      <c r="E51" s="43">
        <f>C51*SETTING!$C$11</f>
        <v>0</v>
      </c>
      <c r="F51" s="43">
        <f>C51*SETTING!$C$12</f>
        <v>0</v>
      </c>
      <c r="G51" s="43">
        <f>C51*SETTING!$C$13</f>
        <v>0</v>
      </c>
      <c r="H51" s="43"/>
      <c r="I51" s="43"/>
      <c r="J51" s="44">
        <f t="shared" si="2"/>
        <v>0</v>
      </c>
    </row>
    <row r="52" spans="1:10">
      <c r="A52" s="45" t="str">
        <f>IF('TENAGA KERJA'!A51=0,"",'TENAGA KERJA'!A51)</f>
        <v/>
      </c>
      <c r="B52" s="24" t="str">
        <f>IF('TENAGA KERJA'!B51=0,"",'TENAGA KERJA'!B51)</f>
        <v/>
      </c>
      <c r="C52" s="43">
        <f>IF('TENAGA KERJA'!I51="Tidak",0,('TENAGA KERJA'!K51+'TENAGA KERJA'!L51))</f>
        <v>0</v>
      </c>
      <c r="D52" s="43">
        <f>C52*SETTING!$C$10</f>
        <v>0</v>
      </c>
      <c r="E52" s="43">
        <f>C52*SETTING!$C$11</f>
        <v>0</v>
      </c>
      <c r="F52" s="43">
        <f>C52*SETTING!$C$12</f>
        <v>0</v>
      </c>
      <c r="G52" s="43">
        <f>C52*SETTING!$C$13</f>
        <v>0</v>
      </c>
      <c r="H52" s="43"/>
      <c r="I52" s="43"/>
      <c r="J52" s="44">
        <f t="shared" si="2"/>
        <v>0</v>
      </c>
    </row>
    <row r="53" spans="1:10">
      <c r="A53" s="45" t="str">
        <f>IF('TENAGA KERJA'!A52=0,"",'TENAGA KERJA'!A52)</f>
        <v/>
      </c>
      <c r="B53" s="24" t="str">
        <f>IF('TENAGA KERJA'!B52=0,"",'TENAGA KERJA'!B52)</f>
        <v/>
      </c>
      <c r="C53" s="43">
        <f>IF('TENAGA KERJA'!I52="Tidak",0,('TENAGA KERJA'!K52+'TENAGA KERJA'!L52))</f>
        <v>0</v>
      </c>
      <c r="D53" s="43">
        <f>C53*SETTING!$C$10</f>
        <v>0</v>
      </c>
      <c r="E53" s="43">
        <f>C53*SETTING!$C$11</f>
        <v>0</v>
      </c>
      <c r="F53" s="43">
        <f>C53*SETTING!$C$12</f>
        <v>0</v>
      </c>
      <c r="G53" s="43">
        <f>C53*SETTING!$C$13</f>
        <v>0</v>
      </c>
      <c r="H53" s="43"/>
      <c r="I53" s="43"/>
      <c r="J53" s="44">
        <f t="shared" si="2"/>
        <v>0</v>
      </c>
    </row>
    <row r="54" spans="1:10">
      <c r="A54" s="45" t="str">
        <f>IF('TENAGA KERJA'!A53=0,"",'TENAGA KERJA'!A53)</f>
        <v/>
      </c>
      <c r="B54" s="24" t="str">
        <f>IF('TENAGA KERJA'!B53=0,"",'TENAGA KERJA'!B53)</f>
        <v/>
      </c>
      <c r="C54" s="43">
        <f>IF('TENAGA KERJA'!I53="Tidak",0,('TENAGA KERJA'!K53+'TENAGA KERJA'!L53))</f>
        <v>0</v>
      </c>
      <c r="D54" s="43">
        <f>C54*SETTING!$C$10</f>
        <v>0</v>
      </c>
      <c r="E54" s="43">
        <f>C54*SETTING!$C$11</f>
        <v>0</v>
      </c>
      <c r="F54" s="43">
        <f>C54*SETTING!$C$12</f>
        <v>0</v>
      </c>
      <c r="G54" s="43">
        <f>C54*SETTING!$C$13</f>
        <v>0</v>
      </c>
      <c r="H54" s="43"/>
      <c r="I54" s="43"/>
      <c r="J54" s="44">
        <f t="shared" si="2"/>
        <v>0</v>
      </c>
    </row>
    <row r="55" spans="1:10">
      <c r="A55" s="45" t="str">
        <f>IF('TENAGA KERJA'!A54=0,"",'TENAGA KERJA'!A54)</f>
        <v/>
      </c>
      <c r="B55" s="24" t="str">
        <f>IF('TENAGA KERJA'!B54=0,"",'TENAGA KERJA'!B54)</f>
        <v/>
      </c>
      <c r="C55" s="43">
        <f>IF('TENAGA KERJA'!I54="Tidak",0,('TENAGA KERJA'!K54+'TENAGA KERJA'!L54))</f>
        <v>0</v>
      </c>
      <c r="D55" s="43">
        <f>C55*SETTING!$C$10</f>
        <v>0</v>
      </c>
      <c r="E55" s="43">
        <f>C55*SETTING!$C$11</f>
        <v>0</v>
      </c>
      <c r="F55" s="43">
        <f>C55*SETTING!$C$12</f>
        <v>0</v>
      </c>
      <c r="G55" s="43">
        <f>C55*SETTING!$C$13</f>
        <v>0</v>
      </c>
      <c r="H55" s="43"/>
      <c r="I55" s="43"/>
      <c r="J55" s="44">
        <f t="shared" si="2"/>
        <v>0</v>
      </c>
    </row>
    <row r="56" spans="1:10">
      <c r="A56" s="45" t="str">
        <f>IF('TENAGA KERJA'!A55=0,"",'TENAGA KERJA'!A55)</f>
        <v/>
      </c>
      <c r="B56" s="24" t="str">
        <f>IF('TENAGA KERJA'!B55=0,"",'TENAGA KERJA'!B55)</f>
        <v/>
      </c>
      <c r="C56" s="43">
        <f>IF('TENAGA KERJA'!I55="Tidak",0,('TENAGA KERJA'!K55+'TENAGA KERJA'!L55))</f>
        <v>0</v>
      </c>
      <c r="D56" s="43">
        <f>C56*SETTING!$C$10</f>
        <v>0</v>
      </c>
      <c r="E56" s="43">
        <f>C56*SETTING!$C$11</f>
        <v>0</v>
      </c>
      <c r="F56" s="43">
        <f>C56*SETTING!$C$12</f>
        <v>0</v>
      </c>
      <c r="G56" s="43">
        <f>C56*SETTING!$C$13</f>
        <v>0</v>
      </c>
      <c r="H56" s="43"/>
      <c r="I56" s="43"/>
      <c r="J56" s="44">
        <f t="shared" si="2"/>
        <v>0</v>
      </c>
    </row>
    <row r="57" spans="1:10">
      <c r="A57" s="45" t="str">
        <f>IF('TENAGA KERJA'!A56=0,"",'TENAGA KERJA'!A56)</f>
        <v/>
      </c>
      <c r="B57" s="24" t="str">
        <f>IF('TENAGA KERJA'!B56=0,"",'TENAGA KERJA'!B56)</f>
        <v/>
      </c>
      <c r="C57" s="43">
        <f>IF('TENAGA KERJA'!I56="Tidak",0,('TENAGA KERJA'!K56+'TENAGA KERJA'!L56))</f>
        <v>0</v>
      </c>
      <c r="D57" s="43">
        <f>C57*SETTING!$C$10</f>
        <v>0</v>
      </c>
      <c r="E57" s="43">
        <f>C57*SETTING!$C$11</f>
        <v>0</v>
      </c>
      <c r="F57" s="43">
        <f>C57*SETTING!$C$12</f>
        <v>0</v>
      </c>
      <c r="G57" s="43">
        <f>C57*SETTING!$C$13</f>
        <v>0</v>
      </c>
      <c r="H57" s="43"/>
      <c r="I57" s="43"/>
      <c r="J57" s="44">
        <f t="shared" si="2"/>
        <v>0</v>
      </c>
    </row>
    <row r="58" spans="1:10">
      <c r="A58" s="45" t="str">
        <f>IF('TENAGA KERJA'!A57=0,"",'TENAGA KERJA'!A57)</f>
        <v/>
      </c>
      <c r="B58" s="24" t="str">
        <f>IF('TENAGA KERJA'!B57=0,"",'TENAGA KERJA'!B57)</f>
        <v/>
      </c>
      <c r="C58" s="43">
        <f>IF('TENAGA KERJA'!I57="Tidak",0,('TENAGA KERJA'!K57+'TENAGA KERJA'!L57))</f>
        <v>0</v>
      </c>
      <c r="D58" s="43">
        <f>C58*SETTING!$C$10</f>
        <v>0</v>
      </c>
      <c r="E58" s="43">
        <f>C58*SETTING!$C$11</f>
        <v>0</v>
      </c>
      <c r="F58" s="43">
        <f>C58*SETTING!$C$12</f>
        <v>0</v>
      </c>
      <c r="G58" s="43">
        <f>C58*SETTING!$C$13</f>
        <v>0</v>
      </c>
      <c r="H58" s="43"/>
      <c r="I58" s="43"/>
      <c r="J58" s="44">
        <f t="shared" si="2"/>
        <v>0</v>
      </c>
    </row>
    <row r="59" spans="1:10">
      <c r="A59" s="45" t="str">
        <f>IF('TENAGA KERJA'!A58=0,"",'TENAGA KERJA'!A58)</f>
        <v/>
      </c>
      <c r="B59" s="24" t="str">
        <f>IF('TENAGA KERJA'!B58=0,"",'TENAGA KERJA'!B58)</f>
        <v/>
      </c>
      <c r="C59" s="43">
        <f>IF('TENAGA KERJA'!I58="Tidak",0,('TENAGA KERJA'!K58+'TENAGA KERJA'!L58))</f>
        <v>0</v>
      </c>
      <c r="D59" s="43">
        <f>C59*SETTING!$C$10</f>
        <v>0</v>
      </c>
      <c r="E59" s="43">
        <f>C59*SETTING!$C$11</f>
        <v>0</v>
      </c>
      <c r="F59" s="43">
        <f>C59*SETTING!$C$12</f>
        <v>0</v>
      </c>
      <c r="G59" s="43">
        <f>C59*SETTING!$C$13</f>
        <v>0</v>
      </c>
      <c r="H59" s="43"/>
      <c r="I59" s="43"/>
      <c r="J59" s="44">
        <f t="shared" si="2"/>
        <v>0</v>
      </c>
    </row>
    <row r="60" spans="1:10">
      <c r="A60" s="45" t="str">
        <f>IF('TENAGA KERJA'!A59=0,"",'TENAGA KERJA'!A59)</f>
        <v/>
      </c>
      <c r="B60" s="24" t="str">
        <f>IF('TENAGA KERJA'!B59=0,"",'TENAGA KERJA'!B59)</f>
        <v/>
      </c>
      <c r="C60" s="43">
        <f>IF('TENAGA KERJA'!I59="Tidak",0,('TENAGA KERJA'!K59+'TENAGA KERJA'!L59))</f>
        <v>0</v>
      </c>
      <c r="D60" s="43">
        <f>C60*SETTING!$C$10</f>
        <v>0</v>
      </c>
      <c r="E60" s="43">
        <f>C60*SETTING!$C$11</f>
        <v>0</v>
      </c>
      <c r="F60" s="43">
        <f>C60*SETTING!$C$12</f>
        <v>0</v>
      </c>
      <c r="G60" s="43">
        <f>C60*SETTING!$C$13</f>
        <v>0</v>
      </c>
      <c r="H60" s="43"/>
      <c r="I60" s="43"/>
      <c r="J60" s="44">
        <f t="shared" si="2"/>
        <v>0</v>
      </c>
    </row>
    <row r="61" spans="1:10">
      <c r="A61" s="45" t="str">
        <f>IF('TENAGA KERJA'!A60=0,"",'TENAGA KERJA'!A60)</f>
        <v/>
      </c>
      <c r="B61" s="24" t="str">
        <f>IF('TENAGA KERJA'!B60=0,"",'TENAGA KERJA'!B60)</f>
        <v/>
      </c>
      <c r="C61" s="43">
        <f>IF('TENAGA KERJA'!I60="Tidak",0,('TENAGA KERJA'!K60+'TENAGA KERJA'!L60))</f>
        <v>0</v>
      </c>
      <c r="D61" s="43">
        <f>C61*SETTING!$C$10</f>
        <v>0</v>
      </c>
      <c r="E61" s="43">
        <f>C61*SETTING!$C$11</f>
        <v>0</v>
      </c>
      <c r="F61" s="43">
        <f>C61*SETTING!$C$12</f>
        <v>0</v>
      </c>
      <c r="G61" s="43">
        <f>C61*SETTING!$C$13</f>
        <v>0</v>
      </c>
      <c r="H61" s="43"/>
      <c r="I61" s="43"/>
      <c r="J61" s="44">
        <f t="shared" si="2"/>
        <v>0</v>
      </c>
    </row>
    <row r="62" spans="1:10">
      <c r="A62" s="45" t="str">
        <f>IF('TENAGA KERJA'!A61=0,"",'TENAGA KERJA'!A61)</f>
        <v/>
      </c>
      <c r="B62" s="24" t="str">
        <f>IF('TENAGA KERJA'!B61=0,"",'TENAGA KERJA'!B61)</f>
        <v/>
      </c>
      <c r="C62" s="43">
        <f>IF('TENAGA KERJA'!I61="Tidak",0,('TENAGA KERJA'!K61+'TENAGA KERJA'!L61))</f>
        <v>0</v>
      </c>
      <c r="D62" s="43">
        <f>C62*SETTING!$C$10</f>
        <v>0</v>
      </c>
      <c r="E62" s="43">
        <f>C62*SETTING!$C$11</f>
        <v>0</v>
      </c>
      <c r="F62" s="43">
        <f>C62*SETTING!$C$12</f>
        <v>0</v>
      </c>
      <c r="G62" s="43">
        <f>C62*SETTING!$C$13</f>
        <v>0</v>
      </c>
      <c r="H62" s="43"/>
      <c r="I62" s="43"/>
      <c r="J62" s="44">
        <f t="shared" si="2"/>
        <v>0</v>
      </c>
    </row>
    <row r="63" spans="1:10">
      <c r="A63" s="45" t="str">
        <f>IF('TENAGA KERJA'!A62=0,"",'TENAGA KERJA'!A62)</f>
        <v/>
      </c>
      <c r="B63" s="24" t="str">
        <f>IF('TENAGA KERJA'!B62=0,"",'TENAGA KERJA'!B62)</f>
        <v/>
      </c>
      <c r="C63" s="43">
        <f>IF('TENAGA KERJA'!I62="Tidak",0,('TENAGA KERJA'!K62+'TENAGA KERJA'!L62))</f>
        <v>0</v>
      </c>
      <c r="D63" s="43">
        <f>C63*SETTING!$C$10</f>
        <v>0</v>
      </c>
      <c r="E63" s="43">
        <f>C63*SETTING!$C$11</f>
        <v>0</v>
      </c>
      <c r="F63" s="43">
        <f>C63*SETTING!$C$12</f>
        <v>0</v>
      </c>
      <c r="G63" s="43">
        <f>C63*SETTING!$C$13</f>
        <v>0</v>
      </c>
      <c r="H63" s="43"/>
      <c r="I63" s="43"/>
      <c r="J63" s="44">
        <f t="shared" si="2"/>
        <v>0</v>
      </c>
    </row>
    <row r="64" spans="1:10">
      <c r="A64" s="45" t="str">
        <f>IF('TENAGA KERJA'!A63=0,"",'TENAGA KERJA'!A63)</f>
        <v/>
      </c>
      <c r="B64" s="24" t="str">
        <f>IF('TENAGA KERJA'!B63=0,"",'TENAGA KERJA'!B63)</f>
        <v/>
      </c>
      <c r="C64" s="43">
        <f>IF('TENAGA KERJA'!I63="Tidak",0,('TENAGA KERJA'!K63+'TENAGA KERJA'!L63))</f>
        <v>0</v>
      </c>
      <c r="D64" s="43">
        <f>C64*SETTING!$C$10</f>
        <v>0</v>
      </c>
      <c r="E64" s="43">
        <f>C64*SETTING!$C$11</f>
        <v>0</v>
      </c>
      <c r="F64" s="43">
        <f>C64*SETTING!$C$12</f>
        <v>0</v>
      </c>
      <c r="G64" s="43">
        <f>C64*SETTING!$C$13</f>
        <v>0</v>
      </c>
      <c r="H64" s="43"/>
      <c r="I64" s="43"/>
      <c r="J64" s="44">
        <f t="shared" si="2"/>
        <v>0</v>
      </c>
    </row>
    <row r="65" spans="1:10">
      <c r="A65" s="45" t="str">
        <f>IF('TENAGA KERJA'!A64=0,"",'TENAGA KERJA'!A64)</f>
        <v/>
      </c>
      <c r="B65" s="24" t="str">
        <f>IF('TENAGA KERJA'!B64=0,"",'TENAGA KERJA'!B64)</f>
        <v/>
      </c>
      <c r="C65" s="43">
        <f>IF('TENAGA KERJA'!I64="Tidak",0,('TENAGA KERJA'!K64+'TENAGA KERJA'!L64))</f>
        <v>0</v>
      </c>
      <c r="D65" s="43">
        <f>C65*SETTING!$C$10</f>
        <v>0</v>
      </c>
      <c r="E65" s="43">
        <f>C65*SETTING!$C$11</f>
        <v>0</v>
      </c>
      <c r="F65" s="43">
        <f>C65*SETTING!$C$12</f>
        <v>0</v>
      </c>
      <c r="G65" s="43">
        <f>C65*SETTING!$C$13</f>
        <v>0</v>
      </c>
      <c r="H65" s="43"/>
      <c r="I65" s="43"/>
      <c r="J65" s="44">
        <f t="shared" si="2"/>
        <v>0</v>
      </c>
    </row>
    <row r="66" spans="1:10">
      <c r="A66" s="45" t="str">
        <f>IF('TENAGA KERJA'!A65=0,"",'TENAGA KERJA'!A65)</f>
        <v/>
      </c>
      <c r="B66" s="24" t="str">
        <f>IF('TENAGA KERJA'!B65=0,"",'TENAGA KERJA'!B65)</f>
        <v/>
      </c>
      <c r="C66" s="43">
        <f>IF('TENAGA KERJA'!I65="Tidak",0,('TENAGA KERJA'!K65+'TENAGA KERJA'!L65))</f>
        <v>0</v>
      </c>
      <c r="D66" s="43">
        <f>C66*SETTING!$C$10</f>
        <v>0</v>
      </c>
      <c r="E66" s="43">
        <f>C66*SETTING!$C$11</f>
        <v>0</v>
      </c>
      <c r="F66" s="43">
        <f>C66*SETTING!$C$12</f>
        <v>0</v>
      </c>
      <c r="G66" s="43">
        <f>C66*SETTING!$C$13</f>
        <v>0</v>
      </c>
      <c r="H66" s="43"/>
      <c r="I66" s="43"/>
      <c r="J66" s="44">
        <f t="shared" si="2"/>
        <v>0</v>
      </c>
    </row>
    <row r="67" spans="1:10">
      <c r="A67" s="45" t="str">
        <f>IF('TENAGA KERJA'!A66=0,"",'TENAGA KERJA'!A66)</f>
        <v/>
      </c>
      <c r="B67" s="24" t="str">
        <f>IF('TENAGA KERJA'!B66=0,"",'TENAGA KERJA'!B66)</f>
        <v/>
      </c>
      <c r="C67" s="43">
        <f>IF('TENAGA KERJA'!I66="Tidak",0,('TENAGA KERJA'!K66+'TENAGA KERJA'!L66))</f>
        <v>0</v>
      </c>
      <c r="D67" s="43">
        <f>C67*SETTING!$C$10</f>
        <v>0</v>
      </c>
      <c r="E67" s="43">
        <f>C67*SETTING!$C$11</f>
        <v>0</v>
      </c>
      <c r="F67" s="43">
        <f>C67*SETTING!$C$12</f>
        <v>0</v>
      </c>
      <c r="G67" s="43">
        <f>C67*SETTING!$C$13</f>
        <v>0</v>
      </c>
      <c r="H67" s="43"/>
      <c r="I67" s="43"/>
      <c r="J67" s="44">
        <f t="shared" si="2"/>
        <v>0</v>
      </c>
    </row>
    <row r="68" spans="1:10">
      <c r="A68" s="45" t="str">
        <f>IF('TENAGA KERJA'!A67=0,"",'TENAGA KERJA'!A67)</f>
        <v/>
      </c>
      <c r="B68" s="24" t="str">
        <f>IF('TENAGA KERJA'!B67=0,"",'TENAGA KERJA'!B67)</f>
        <v/>
      </c>
      <c r="C68" s="43">
        <f>IF('TENAGA KERJA'!I67="Tidak",0,('TENAGA KERJA'!K67+'TENAGA KERJA'!L67))</f>
        <v>0</v>
      </c>
      <c r="D68" s="43">
        <f>C68*SETTING!$C$10</f>
        <v>0</v>
      </c>
      <c r="E68" s="43">
        <f>C68*SETTING!$C$11</f>
        <v>0</v>
      </c>
      <c r="F68" s="43">
        <f>C68*SETTING!$C$12</f>
        <v>0</v>
      </c>
      <c r="G68" s="43">
        <f>C68*SETTING!$C$13</f>
        <v>0</v>
      </c>
      <c r="H68" s="43"/>
      <c r="I68" s="43"/>
      <c r="J68" s="44">
        <f t="shared" si="2"/>
        <v>0</v>
      </c>
    </row>
    <row r="69" spans="1:10">
      <c r="A69" s="45" t="str">
        <f>IF('TENAGA KERJA'!A68=0,"",'TENAGA KERJA'!A68)</f>
        <v/>
      </c>
      <c r="B69" s="24" t="str">
        <f>IF('TENAGA KERJA'!B68=0,"",'TENAGA KERJA'!B68)</f>
        <v/>
      </c>
      <c r="C69" s="43">
        <f>IF('TENAGA KERJA'!I68="Tidak",0,('TENAGA KERJA'!K68+'TENAGA KERJA'!L68))</f>
        <v>0</v>
      </c>
      <c r="D69" s="43">
        <f>C69*SETTING!$C$10</f>
        <v>0</v>
      </c>
      <c r="E69" s="43">
        <f>C69*SETTING!$C$11</f>
        <v>0</v>
      </c>
      <c r="F69" s="43">
        <f>C69*SETTING!$C$12</f>
        <v>0</v>
      </c>
      <c r="G69" s="43">
        <f>C69*SETTING!$C$13</f>
        <v>0</v>
      </c>
      <c r="H69" s="43"/>
      <c r="I69" s="43"/>
      <c r="J69" s="44">
        <f t="shared" ref="J69:J132" si="3">SUM(D69:I69)</f>
        <v>0</v>
      </c>
    </row>
    <row r="70" spans="1:10">
      <c r="A70" s="45" t="str">
        <f>IF('TENAGA KERJA'!A69=0,"",'TENAGA KERJA'!A69)</f>
        <v/>
      </c>
      <c r="B70" s="24" t="str">
        <f>IF('TENAGA KERJA'!B69=0,"",'TENAGA KERJA'!B69)</f>
        <v/>
      </c>
      <c r="C70" s="43">
        <f>IF('TENAGA KERJA'!I69="Tidak",0,('TENAGA KERJA'!K69+'TENAGA KERJA'!L69))</f>
        <v>0</v>
      </c>
      <c r="D70" s="43">
        <f>C70*SETTING!$C$10</f>
        <v>0</v>
      </c>
      <c r="E70" s="43">
        <f>C70*SETTING!$C$11</f>
        <v>0</v>
      </c>
      <c r="F70" s="43">
        <f>C70*SETTING!$C$12</f>
        <v>0</v>
      </c>
      <c r="G70" s="43">
        <f>C70*SETTING!$C$13</f>
        <v>0</v>
      </c>
      <c r="H70" s="43"/>
      <c r="I70" s="43"/>
      <c r="J70" s="44">
        <f t="shared" si="3"/>
        <v>0</v>
      </c>
    </row>
    <row r="71" spans="1:10">
      <c r="A71" s="45" t="str">
        <f>IF('TENAGA KERJA'!A70=0,"",'TENAGA KERJA'!A70)</f>
        <v/>
      </c>
      <c r="B71" s="24" t="str">
        <f>IF('TENAGA KERJA'!B70=0,"",'TENAGA KERJA'!B70)</f>
        <v/>
      </c>
      <c r="C71" s="43">
        <f>IF('TENAGA KERJA'!I70="Tidak",0,('TENAGA KERJA'!K70+'TENAGA KERJA'!L70))</f>
        <v>0</v>
      </c>
      <c r="D71" s="43">
        <f>C71*SETTING!$C$10</f>
        <v>0</v>
      </c>
      <c r="E71" s="43">
        <f>C71*SETTING!$C$11</f>
        <v>0</v>
      </c>
      <c r="F71" s="43">
        <f>C71*SETTING!$C$12</f>
        <v>0</v>
      </c>
      <c r="G71" s="43">
        <f>C71*SETTING!$C$13</f>
        <v>0</v>
      </c>
      <c r="H71" s="43"/>
      <c r="I71" s="43"/>
      <c r="J71" s="44">
        <f t="shared" si="3"/>
        <v>0</v>
      </c>
    </row>
    <row r="72" spans="1:10">
      <c r="A72" s="45" t="str">
        <f>IF('TENAGA KERJA'!A71=0,"",'TENAGA KERJA'!A71)</f>
        <v/>
      </c>
      <c r="B72" s="24" t="str">
        <f>IF('TENAGA KERJA'!B71=0,"",'TENAGA KERJA'!B71)</f>
        <v/>
      </c>
      <c r="C72" s="43">
        <f>IF('TENAGA KERJA'!I71="Tidak",0,('TENAGA KERJA'!K71+'TENAGA KERJA'!L71))</f>
        <v>0</v>
      </c>
      <c r="D72" s="43">
        <f>C72*SETTING!$C$10</f>
        <v>0</v>
      </c>
      <c r="E72" s="43">
        <f>C72*SETTING!$C$11</f>
        <v>0</v>
      </c>
      <c r="F72" s="43">
        <f>C72*SETTING!$C$12</f>
        <v>0</v>
      </c>
      <c r="G72" s="43">
        <f>C72*SETTING!$C$13</f>
        <v>0</v>
      </c>
      <c r="H72" s="43"/>
      <c r="I72" s="43"/>
      <c r="J72" s="44">
        <f t="shared" si="3"/>
        <v>0</v>
      </c>
    </row>
    <row r="73" spans="1:10">
      <c r="A73" s="45" t="str">
        <f>IF('TENAGA KERJA'!A72=0,"",'TENAGA KERJA'!A72)</f>
        <v/>
      </c>
      <c r="B73" s="24" t="str">
        <f>IF('TENAGA KERJA'!B72=0,"",'TENAGA KERJA'!B72)</f>
        <v/>
      </c>
      <c r="C73" s="43">
        <f>IF('TENAGA KERJA'!I72="Tidak",0,('TENAGA KERJA'!K72+'TENAGA KERJA'!L72))</f>
        <v>0</v>
      </c>
      <c r="D73" s="43">
        <f>C73*SETTING!$C$10</f>
        <v>0</v>
      </c>
      <c r="E73" s="43">
        <f>C73*SETTING!$C$11</f>
        <v>0</v>
      </c>
      <c r="F73" s="43">
        <f>C73*SETTING!$C$12</f>
        <v>0</v>
      </c>
      <c r="G73" s="43">
        <f>C73*SETTING!$C$13</f>
        <v>0</v>
      </c>
      <c r="H73" s="43"/>
      <c r="I73" s="43"/>
      <c r="J73" s="44">
        <f t="shared" si="3"/>
        <v>0</v>
      </c>
    </row>
    <row r="74" spans="1:10">
      <c r="A74" s="45" t="str">
        <f>IF('TENAGA KERJA'!A73=0,"",'TENAGA KERJA'!A73)</f>
        <v/>
      </c>
      <c r="B74" s="24" t="str">
        <f>IF('TENAGA KERJA'!B73=0,"",'TENAGA KERJA'!B73)</f>
        <v/>
      </c>
      <c r="C74" s="43">
        <f>IF('TENAGA KERJA'!I73="Tidak",0,('TENAGA KERJA'!K73+'TENAGA KERJA'!L73))</f>
        <v>0</v>
      </c>
      <c r="D74" s="43">
        <f>C74*SETTING!$C$10</f>
        <v>0</v>
      </c>
      <c r="E74" s="43">
        <f>C74*SETTING!$C$11</f>
        <v>0</v>
      </c>
      <c r="F74" s="43">
        <f>C74*SETTING!$C$12</f>
        <v>0</v>
      </c>
      <c r="G74" s="43">
        <f>C74*SETTING!$C$13</f>
        <v>0</v>
      </c>
      <c r="H74" s="43"/>
      <c r="I74" s="43"/>
      <c r="J74" s="44">
        <f t="shared" si="3"/>
        <v>0</v>
      </c>
    </row>
    <row r="75" spans="1:10">
      <c r="A75" s="45" t="str">
        <f>IF('TENAGA KERJA'!A74=0,"",'TENAGA KERJA'!A74)</f>
        <v/>
      </c>
      <c r="B75" s="24" t="str">
        <f>IF('TENAGA KERJA'!B74=0,"",'TENAGA KERJA'!B74)</f>
        <v/>
      </c>
      <c r="C75" s="43">
        <f>IF('TENAGA KERJA'!I74="Tidak",0,('TENAGA KERJA'!K74+'TENAGA KERJA'!L74))</f>
        <v>0</v>
      </c>
      <c r="D75" s="43">
        <f>C75*SETTING!$C$10</f>
        <v>0</v>
      </c>
      <c r="E75" s="43">
        <f>C75*SETTING!$C$11</f>
        <v>0</v>
      </c>
      <c r="F75" s="43">
        <f>C75*SETTING!$C$12</f>
        <v>0</v>
      </c>
      <c r="G75" s="43">
        <f>C75*SETTING!$C$13</f>
        <v>0</v>
      </c>
      <c r="H75" s="43"/>
      <c r="I75" s="43"/>
      <c r="J75" s="44">
        <f t="shared" si="3"/>
        <v>0</v>
      </c>
    </row>
    <row r="76" spans="1:10">
      <c r="A76" s="45" t="str">
        <f>IF('TENAGA KERJA'!A75=0,"",'TENAGA KERJA'!A75)</f>
        <v/>
      </c>
      <c r="B76" s="24" t="str">
        <f>IF('TENAGA KERJA'!B75=0,"",'TENAGA KERJA'!B75)</f>
        <v/>
      </c>
      <c r="C76" s="43">
        <f>IF('TENAGA KERJA'!I75="Tidak",0,('TENAGA KERJA'!K75+'TENAGA KERJA'!L75))</f>
        <v>0</v>
      </c>
      <c r="D76" s="43">
        <f>C76*SETTING!$C$10</f>
        <v>0</v>
      </c>
      <c r="E76" s="43">
        <f>C76*SETTING!$C$11</f>
        <v>0</v>
      </c>
      <c r="F76" s="43">
        <f>C76*SETTING!$C$12</f>
        <v>0</v>
      </c>
      <c r="G76" s="43">
        <f>C76*SETTING!$C$13</f>
        <v>0</v>
      </c>
      <c r="H76" s="43"/>
      <c r="I76" s="43"/>
      <c r="J76" s="44">
        <f t="shared" si="3"/>
        <v>0</v>
      </c>
    </row>
    <row r="77" spans="1:10">
      <c r="A77" s="45" t="str">
        <f>IF('TENAGA KERJA'!A76=0,"",'TENAGA KERJA'!A76)</f>
        <v/>
      </c>
      <c r="B77" s="24" t="str">
        <f>IF('TENAGA KERJA'!B76=0,"",'TENAGA KERJA'!B76)</f>
        <v/>
      </c>
      <c r="C77" s="43">
        <f>IF('TENAGA KERJA'!I76="Tidak",0,('TENAGA KERJA'!K76+'TENAGA KERJA'!L76))</f>
        <v>0</v>
      </c>
      <c r="D77" s="43">
        <f>C77*SETTING!$C$10</f>
        <v>0</v>
      </c>
      <c r="E77" s="43">
        <f>C77*SETTING!$C$11</f>
        <v>0</v>
      </c>
      <c r="F77" s="43">
        <f>C77*SETTING!$C$12</f>
        <v>0</v>
      </c>
      <c r="G77" s="43">
        <f>C77*SETTING!$C$13</f>
        <v>0</v>
      </c>
      <c r="H77" s="43"/>
      <c r="I77" s="43"/>
      <c r="J77" s="44">
        <f t="shared" si="3"/>
        <v>0</v>
      </c>
    </row>
    <row r="78" spans="1:10">
      <c r="A78" s="45" t="str">
        <f>IF('TENAGA KERJA'!A77=0,"",'TENAGA KERJA'!A77)</f>
        <v/>
      </c>
      <c r="B78" s="24" t="str">
        <f>IF('TENAGA KERJA'!B77=0,"",'TENAGA KERJA'!B77)</f>
        <v/>
      </c>
      <c r="C78" s="43">
        <f>IF('TENAGA KERJA'!I77="Tidak",0,('TENAGA KERJA'!K77+'TENAGA KERJA'!L77))</f>
        <v>0</v>
      </c>
      <c r="D78" s="43">
        <f>C78*SETTING!$C$10</f>
        <v>0</v>
      </c>
      <c r="E78" s="43">
        <f>C78*SETTING!$C$11</f>
        <v>0</v>
      </c>
      <c r="F78" s="43">
        <f>C78*SETTING!$C$12</f>
        <v>0</v>
      </c>
      <c r="G78" s="43">
        <f>C78*SETTING!$C$13</f>
        <v>0</v>
      </c>
      <c r="H78" s="43"/>
      <c r="I78" s="43"/>
      <c r="J78" s="44">
        <f t="shared" si="3"/>
        <v>0</v>
      </c>
    </row>
    <row r="79" spans="1:10">
      <c r="A79" s="45" t="str">
        <f>IF('TENAGA KERJA'!A78=0,"",'TENAGA KERJA'!A78)</f>
        <v/>
      </c>
      <c r="B79" s="24" t="str">
        <f>IF('TENAGA KERJA'!B78=0,"",'TENAGA KERJA'!B78)</f>
        <v/>
      </c>
      <c r="C79" s="43">
        <f>IF('TENAGA KERJA'!I78="Tidak",0,('TENAGA KERJA'!K78+'TENAGA KERJA'!L78))</f>
        <v>0</v>
      </c>
      <c r="D79" s="43">
        <f>C79*SETTING!$C$10</f>
        <v>0</v>
      </c>
      <c r="E79" s="43">
        <f>C79*SETTING!$C$11</f>
        <v>0</v>
      </c>
      <c r="F79" s="43">
        <f>C79*SETTING!$C$12</f>
        <v>0</v>
      </c>
      <c r="G79" s="43">
        <f>C79*SETTING!$C$13</f>
        <v>0</v>
      </c>
      <c r="H79" s="43"/>
      <c r="I79" s="43"/>
      <c r="J79" s="44">
        <f t="shared" si="3"/>
        <v>0</v>
      </c>
    </row>
    <row r="80" spans="1:10">
      <c r="A80" s="45" t="str">
        <f>IF('TENAGA KERJA'!A79=0,"",'TENAGA KERJA'!A79)</f>
        <v/>
      </c>
      <c r="B80" s="24" t="str">
        <f>IF('TENAGA KERJA'!B79=0,"",'TENAGA KERJA'!B79)</f>
        <v/>
      </c>
      <c r="C80" s="43">
        <f>IF('TENAGA KERJA'!I79="Tidak",0,('TENAGA KERJA'!K79+'TENAGA KERJA'!L79))</f>
        <v>0</v>
      </c>
      <c r="D80" s="43">
        <f>C80*SETTING!$C$10</f>
        <v>0</v>
      </c>
      <c r="E80" s="43">
        <f>C80*SETTING!$C$11</f>
        <v>0</v>
      </c>
      <c r="F80" s="43">
        <f>C80*SETTING!$C$12</f>
        <v>0</v>
      </c>
      <c r="G80" s="43">
        <f>C80*SETTING!$C$13</f>
        <v>0</v>
      </c>
      <c r="H80" s="43"/>
      <c r="I80" s="43"/>
      <c r="J80" s="44">
        <f t="shared" si="3"/>
        <v>0</v>
      </c>
    </row>
    <row r="81" spans="1:11">
      <c r="A81" s="45" t="str">
        <f>IF('TENAGA KERJA'!A80=0,"",'TENAGA KERJA'!A80)</f>
        <v/>
      </c>
      <c r="B81" s="24" t="str">
        <f>IF('TENAGA KERJA'!B80=0,"",'TENAGA KERJA'!B80)</f>
        <v/>
      </c>
      <c r="C81" s="43">
        <f>IF('TENAGA KERJA'!I80="Tidak",0,('TENAGA KERJA'!K80+'TENAGA KERJA'!L80))</f>
        <v>0</v>
      </c>
      <c r="D81" s="43">
        <f>C81*SETTING!$C$10</f>
        <v>0</v>
      </c>
      <c r="E81" s="43">
        <f>C81*SETTING!$C$11</f>
        <v>0</v>
      </c>
      <c r="F81" s="43">
        <f>C81*SETTING!$C$12</f>
        <v>0</v>
      </c>
      <c r="G81" s="43">
        <f>C81*SETTING!$C$13</f>
        <v>0</v>
      </c>
      <c r="H81" s="43"/>
      <c r="I81" s="43"/>
      <c r="J81" s="44">
        <f t="shared" si="3"/>
        <v>0</v>
      </c>
    </row>
    <row r="82" spans="1:11">
      <c r="A82" s="45" t="str">
        <f>IF('TENAGA KERJA'!A81=0,"",'TENAGA KERJA'!A81)</f>
        <v/>
      </c>
      <c r="B82" s="24" t="str">
        <f>IF('TENAGA KERJA'!B81=0,"",'TENAGA KERJA'!B81)</f>
        <v/>
      </c>
      <c r="C82" s="43">
        <f>IF('TENAGA KERJA'!I81="Tidak",0,('TENAGA KERJA'!K81+'TENAGA KERJA'!L81))</f>
        <v>0</v>
      </c>
      <c r="D82" s="43">
        <f>C82*SETTING!$C$10</f>
        <v>0</v>
      </c>
      <c r="E82" s="43">
        <f>C82*SETTING!$C$11</f>
        <v>0</v>
      </c>
      <c r="F82" s="43">
        <f>C82*SETTING!$C$12</f>
        <v>0</v>
      </c>
      <c r="G82" s="43">
        <f>C82*SETTING!$C$13</f>
        <v>0</v>
      </c>
      <c r="H82" s="43"/>
      <c r="I82" s="43"/>
      <c r="J82" s="44">
        <f t="shared" si="3"/>
        <v>0</v>
      </c>
    </row>
    <row r="83" spans="1:11">
      <c r="A83" s="45" t="str">
        <f>IF('TENAGA KERJA'!A82=0,"",'TENAGA KERJA'!A82)</f>
        <v/>
      </c>
      <c r="B83" s="24" t="str">
        <f>IF('TENAGA KERJA'!B82=0,"",'TENAGA KERJA'!B82)</f>
        <v/>
      </c>
      <c r="C83" s="43">
        <f>IF('TENAGA KERJA'!I82="Tidak",0,('TENAGA KERJA'!K82+'TENAGA KERJA'!L82))</f>
        <v>0</v>
      </c>
      <c r="D83" s="43">
        <f>C83*SETTING!$C$10</f>
        <v>0</v>
      </c>
      <c r="E83" s="43">
        <f>C83*SETTING!$C$11</f>
        <v>0</v>
      </c>
      <c r="F83" s="43">
        <f>C83*SETTING!$C$12</f>
        <v>0</v>
      </c>
      <c r="G83" s="43">
        <f>C83*SETTING!$C$13</f>
        <v>0</v>
      </c>
      <c r="H83" s="43"/>
      <c r="I83" s="43"/>
      <c r="J83" s="44">
        <f t="shared" si="3"/>
        <v>0</v>
      </c>
    </row>
    <row r="84" spans="1:11">
      <c r="A84" s="45" t="str">
        <f>IF('TENAGA KERJA'!A83=0,"",'TENAGA KERJA'!A83)</f>
        <v/>
      </c>
      <c r="B84" s="24" t="str">
        <f>IF('TENAGA KERJA'!B83=0,"",'TENAGA KERJA'!B83)</f>
        <v/>
      </c>
      <c r="C84" s="43">
        <f>IF('TENAGA KERJA'!I83="Tidak",0,('TENAGA KERJA'!K83+'TENAGA KERJA'!L83))</f>
        <v>0</v>
      </c>
      <c r="D84" s="43">
        <f>C84*SETTING!$C$10</f>
        <v>0</v>
      </c>
      <c r="E84" s="43">
        <f>C84*SETTING!$C$11</f>
        <v>0</v>
      </c>
      <c r="F84" s="43">
        <f>C84*SETTING!$C$12</f>
        <v>0</v>
      </c>
      <c r="G84" s="43">
        <f>C84*SETTING!$C$13</f>
        <v>0</v>
      </c>
      <c r="H84" s="43"/>
      <c r="I84" s="43"/>
      <c r="J84" s="44">
        <f t="shared" si="3"/>
        <v>0</v>
      </c>
    </row>
    <row r="85" spans="1:11">
      <c r="A85" s="45" t="str">
        <f>IF('TENAGA KERJA'!A84=0,"",'TENAGA KERJA'!A84)</f>
        <v/>
      </c>
      <c r="B85" s="24" t="str">
        <f>IF('TENAGA KERJA'!B84=0,"",'TENAGA KERJA'!B84)</f>
        <v/>
      </c>
      <c r="C85" s="43">
        <f>IF('TENAGA KERJA'!I84="Tidak",0,('TENAGA KERJA'!K84+'TENAGA KERJA'!L84))</f>
        <v>0</v>
      </c>
      <c r="D85" s="43">
        <f>C85*SETTING!$C$10</f>
        <v>0</v>
      </c>
      <c r="E85" s="43">
        <f>C85*SETTING!$C$11</f>
        <v>0</v>
      </c>
      <c r="F85" s="43">
        <f>C85*SETTING!$C$12</f>
        <v>0</v>
      </c>
      <c r="G85" s="43">
        <f>C85*SETTING!$C$13</f>
        <v>0</v>
      </c>
      <c r="H85" s="43"/>
      <c r="I85" s="43"/>
      <c r="J85" s="44">
        <f t="shared" si="3"/>
        <v>0</v>
      </c>
    </row>
    <row r="86" spans="1:11">
      <c r="A86" s="45" t="str">
        <f>IF('TENAGA KERJA'!A85=0,"",'TENAGA KERJA'!A85)</f>
        <v/>
      </c>
      <c r="B86" s="24" t="str">
        <f>IF('TENAGA KERJA'!B85=0,"",'TENAGA KERJA'!B85)</f>
        <v/>
      </c>
      <c r="C86" s="43">
        <f>IF('TENAGA KERJA'!I85="Tidak",0,('TENAGA KERJA'!K85+'TENAGA KERJA'!L85))</f>
        <v>0</v>
      </c>
      <c r="D86" s="43">
        <f>C86*SETTING!$C$10</f>
        <v>0</v>
      </c>
      <c r="E86" s="43">
        <f>C86*SETTING!$C$11</f>
        <v>0</v>
      </c>
      <c r="F86" s="43">
        <f>C86*SETTING!$C$12</f>
        <v>0</v>
      </c>
      <c r="G86" s="43">
        <f>C86*SETTING!$C$13</f>
        <v>0</v>
      </c>
      <c r="H86" s="43"/>
      <c r="I86" s="43"/>
      <c r="J86" s="44">
        <f t="shared" si="3"/>
        <v>0</v>
      </c>
    </row>
    <row r="87" spans="1:11">
      <c r="A87" s="45" t="str">
        <f>IF('TENAGA KERJA'!A86=0,"",'TENAGA KERJA'!A86)</f>
        <v/>
      </c>
      <c r="B87" s="24" t="str">
        <f>IF('TENAGA KERJA'!B86=0,"",'TENAGA KERJA'!B86)</f>
        <v/>
      </c>
      <c r="C87" s="43">
        <f>IF('TENAGA KERJA'!I86="Tidak",0,('TENAGA KERJA'!K86+'TENAGA KERJA'!L86))</f>
        <v>0</v>
      </c>
      <c r="D87" s="43">
        <f>C87*SETTING!$C$10</f>
        <v>0</v>
      </c>
      <c r="E87" s="43">
        <f>C87*SETTING!$C$11</f>
        <v>0</v>
      </c>
      <c r="F87" s="43">
        <f>C87*SETTING!$C$12</f>
        <v>0</v>
      </c>
      <c r="G87" s="43">
        <f>C87*SETTING!$C$13</f>
        <v>0</v>
      </c>
      <c r="H87" s="43"/>
      <c r="I87" s="43"/>
      <c r="J87" s="44">
        <f t="shared" si="3"/>
        <v>0</v>
      </c>
    </row>
    <row r="88" spans="1:11">
      <c r="A88" s="45" t="str">
        <f>IF('TENAGA KERJA'!A87=0,"",'TENAGA KERJA'!A87)</f>
        <v/>
      </c>
      <c r="B88" s="24" t="str">
        <f>IF('TENAGA KERJA'!B87=0,"",'TENAGA KERJA'!B87)</f>
        <v/>
      </c>
      <c r="C88" s="43">
        <f>IF('TENAGA KERJA'!I87="Tidak",0,('TENAGA KERJA'!K87+'TENAGA KERJA'!L87))</f>
        <v>0</v>
      </c>
      <c r="D88" s="43">
        <f>C88*SETTING!$C$10</f>
        <v>0</v>
      </c>
      <c r="E88" s="43">
        <f>C88*SETTING!$C$11</f>
        <v>0</v>
      </c>
      <c r="F88" s="43">
        <f>C88*SETTING!$C$12</f>
        <v>0</v>
      </c>
      <c r="G88" s="43">
        <f>C88*SETTING!$C$13</f>
        <v>0</v>
      </c>
      <c r="H88" s="43"/>
      <c r="I88" s="43"/>
      <c r="J88" s="44">
        <f t="shared" si="3"/>
        <v>0</v>
      </c>
    </row>
    <row r="89" spans="1:11">
      <c r="A89" s="45" t="str">
        <f>IF('TENAGA KERJA'!A88=0,"",'TENAGA KERJA'!A88)</f>
        <v/>
      </c>
      <c r="B89" s="24" t="str">
        <f>IF('TENAGA KERJA'!B88=0,"",'TENAGA KERJA'!B88)</f>
        <v/>
      </c>
      <c r="C89" s="43">
        <f>IF('TENAGA KERJA'!I88="Tidak",0,('TENAGA KERJA'!K88+'TENAGA KERJA'!L88))</f>
        <v>0</v>
      </c>
      <c r="D89" s="43">
        <f>C89*SETTING!$C$10</f>
        <v>0</v>
      </c>
      <c r="E89" s="43">
        <f>C89*SETTING!$C$11</f>
        <v>0</v>
      </c>
      <c r="F89" s="43">
        <f>C89*SETTING!$C$12</f>
        <v>0</v>
      </c>
      <c r="G89" s="43">
        <f>C89*SETTING!$C$13</f>
        <v>0</v>
      </c>
      <c r="H89" s="43"/>
      <c r="I89" s="43"/>
      <c r="J89" s="44">
        <f t="shared" si="3"/>
        <v>0</v>
      </c>
    </row>
    <row r="90" spans="1:11">
      <c r="A90" s="45" t="str">
        <f>IF('TENAGA KERJA'!A89=0,"",'TENAGA KERJA'!A89)</f>
        <v/>
      </c>
      <c r="B90" s="24" t="str">
        <f>IF('TENAGA KERJA'!B89=0,"",'TENAGA KERJA'!B89)</f>
        <v/>
      </c>
      <c r="C90" s="43">
        <f>IF('TENAGA KERJA'!I89="Tidak",0,('TENAGA KERJA'!K89+'TENAGA KERJA'!L89))</f>
        <v>0</v>
      </c>
      <c r="D90" s="43">
        <f>C90*SETTING!$C$10</f>
        <v>0</v>
      </c>
      <c r="E90" s="43">
        <f>C90*SETTING!$C$11</f>
        <v>0</v>
      </c>
      <c r="F90" s="43">
        <f>C90*SETTING!$C$12</f>
        <v>0</v>
      </c>
      <c r="G90" s="43">
        <f>C90*SETTING!$C$13</f>
        <v>0</v>
      </c>
      <c r="H90" s="43"/>
      <c r="I90" s="43"/>
      <c r="J90" s="44">
        <f t="shared" si="3"/>
        <v>0</v>
      </c>
    </row>
    <row r="91" spans="1:11">
      <c r="A91" s="45" t="str">
        <f>IF('TENAGA KERJA'!A90=0,"",'TENAGA KERJA'!A90)</f>
        <v/>
      </c>
      <c r="B91" s="24" t="str">
        <f>IF('TENAGA KERJA'!B90=0,"",'TENAGA KERJA'!B90)</f>
        <v/>
      </c>
      <c r="C91" s="43">
        <f>IF('TENAGA KERJA'!I90="Tidak",0,('TENAGA KERJA'!K90+'TENAGA KERJA'!L90))</f>
        <v>0</v>
      </c>
      <c r="D91" s="43">
        <f>C91*SETTING!$C$10</f>
        <v>0</v>
      </c>
      <c r="E91" s="43">
        <f>C91*SETTING!$C$11</f>
        <v>0</v>
      </c>
      <c r="F91" s="43">
        <f>C91*SETTING!$C$12</f>
        <v>0</v>
      </c>
      <c r="G91" s="43">
        <f>C91*SETTING!$C$13</f>
        <v>0</v>
      </c>
      <c r="H91" s="43"/>
      <c r="I91" s="43"/>
      <c r="J91" s="44">
        <f t="shared" si="3"/>
        <v>0</v>
      </c>
    </row>
    <row r="92" spans="1:11">
      <c r="A92" s="45" t="str">
        <f>IF('TENAGA KERJA'!A91=0,"",'TENAGA KERJA'!A91)</f>
        <v/>
      </c>
      <c r="B92" s="24" t="str">
        <f>IF('TENAGA KERJA'!B91=0,"",'TENAGA KERJA'!B91)</f>
        <v/>
      </c>
      <c r="C92" s="43">
        <f>IF('TENAGA KERJA'!I91="Tidak",0,('TENAGA KERJA'!K91+'TENAGA KERJA'!L91))</f>
        <v>0</v>
      </c>
      <c r="D92" s="43">
        <f>C92*SETTING!$C$10</f>
        <v>0</v>
      </c>
      <c r="E92" s="43">
        <f>C92*SETTING!$C$11</f>
        <v>0</v>
      </c>
      <c r="F92" s="43">
        <f>C92*SETTING!$C$12</f>
        <v>0</v>
      </c>
      <c r="G92" s="43">
        <f>C92*SETTING!$C$13</f>
        <v>0</v>
      </c>
      <c r="H92" s="43"/>
      <c r="I92" s="43"/>
      <c r="J92" s="44">
        <f t="shared" si="3"/>
        <v>0</v>
      </c>
    </row>
    <row r="93" spans="1:11">
      <c r="A93" s="45" t="str">
        <f>IF('TENAGA KERJA'!A92=0,"",'TENAGA KERJA'!A92)</f>
        <v/>
      </c>
      <c r="B93" s="24" t="str">
        <f>IF('TENAGA KERJA'!B92=0,"",'TENAGA KERJA'!B92)</f>
        <v/>
      </c>
      <c r="C93" s="43">
        <f>IF('TENAGA KERJA'!I92="Tidak",0,('TENAGA KERJA'!K92+'TENAGA KERJA'!L92))</f>
        <v>0</v>
      </c>
      <c r="D93" s="43">
        <f>C93*SETTING!$C$10</f>
        <v>0</v>
      </c>
      <c r="E93" s="43">
        <f>C93*SETTING!$C$11</f>
        <v>0</v>
      </c>
      <c r="F93" s="43">
        <f>C93*SETTING!$C$12</f>
        <v>0</v>
      </c>
      <c r="G93" s="43">
        <f>C93*SETTING!$C$13</f>
        <v>0</v>
      </c>
      <c r="H93" s="43"/>
      <c r="I93" s="43"/>
      <c r="J93" s="44">
        <f t="shared" si="3"/>
        <v>0</v>
      </c>
      <c r="K93" s="149">
        <f>4391337-1796456</f>
        <v>2594881</v>
      </c>
    </row>
    <row r="94" spans="1:11">
      <c r="A94" s="45" t="str">
        <f>IF('TENAGA KERJA'!A93=0,"",'TENAGA KERJA'!A93)</f>
        <v/>
      </c>
      <c r="B94" s="24" t="str">
        <f>IF('TENAGA KERJA'!B93=0,"",'TENAGA KERJA'!B93)</f>
        <v/>
      </c>
      <c r="C94" s="43">
        <f>IF('TENAGA KERJA'!I93="Tidak",0,('TENAGA KERJA'!K93+'TENAGA KERJA'!L93))</f>
        <v>0</v>
      </c>
      <c r="D94" s="43">
        <f>C94*SETTING!$C$10</f>
        <v>0</v>
      </c>
      <c r="E94" s="43">
        <f>C94*SETTING!$C$11</f>
        <v>0</v>
      </c>
      <c r="F94" s="43">
        <f>C94*SETTING!$C$12</f>
        <v>0</v>
      </c>
      <c r="G94" s="43">
        <f>C94*SETTING!$C$13</f>
        <v>0</v>
      </c>
      <c r="H94" s="43"/>
      <c r="I94" s="43"/>
      <c r="J94" s="44">
        <f t="shared" si="3"/>
        <v>0</v>
      </c>
    </row>
    <row r="95" spans="1:11">
      <c r="A95" s="45" t="str">
        <f>IF('TENAGA KERJA'!A94=0,"",'TENAGA KERJA'!A94)</f>
        <v/>
      </c>
      <c r="B95" s="24" t="str">
        <f>IF('TENAGA KERJA'!B94=0,"",'TENAGA KERJA'!B94)</f>
        <v/>
      </c>
      <c r="C95" s="43">
        <f>IF('TENAGA KERJA'!I94="Tidak",0,('TENAGA KERJA'!K94+'TENAGA KERJA'!L94))</f>
        <v>0</v>
      </c>
      <c r="D95" s="43">
        <f>C95*SETTING!$C$10</f>
        <v>0</v>
      </c>
      <c r="E95" s="43">
        <f>C95*SETTING!$C$11</f>
        <v>0</v>
      </c>
      <c r="F95" s="43">
        <f>C95*SETTING!$C$12</f>
        <v>0</v>
      </c>
      <c r="G95" s="43">
        <f>C95*SETTING!$C$13</f>
        <v>0</v>
      </c>
      <c r="H95" s="43"/>
      <c r="I95" s="43"/>
      <c r="J95" s="44">
        <f t="shared" si="3"/>
        <v>0</v>
      </c>
    </row>
    <row r="96" spans="1:11">
      <c r="A96" s="45" t="str">
        <f>IF('TENAGA KERJA'!A95=0,"",'TENAGA KERJA'!A95)</f>
        <v/>
      </c>
      <c r="B96" s="24" t="str">
        <f>IF('TENAGA KERJA'!B95=0,"",'TENAGA KERJA'!B95)</f>
        <v/>
      </c>
      <c r="C96" s="43">
        <f>IF('TENAGA KERJA'!I95="Tidak",0,('TENAGA KERJA'!K95+'TENAGA KERJA'!L95))</f>
        <v>0</v>
      </c>
      <c r="D96" s="43">
        <f>C96*SETTING!$C$10</f>
        <v>0</v>
      </c>
      <c r="E96" s="43">
        <f>C96*SETTING!$C$11</f>
        <v>0</v>
      </c>
      <c r="F96" s="43">
        <f>C96*SETTING!$C$12</f>
        <v>0</v>
      </c>
      <c r="G96" s="43">
        <f>C96*SETTING!$C$13</f>
        <v>0</v>
      </c>
      <c r="H96" s="43"/>
      <c r="I96" s="43"/>
      <c r="J96" s="44">
        <f t="shared" si="3"/>
        <v>0</v>
      </c>
    </row>
    <row r="97" spans="1:11">
      <c r="A97" s="45" t="str">
        <f>IF('TENAGA KERJA'!A96=0,"",'TENAGA KERJA'!A96)</f>
        <v/>
      </c>
      <c r="B97" s="24" t="str">
        <f>IF('TENAGA KERJA'!B96=0,"",'TENAGA KERJA'!B96)</f>
        <v/>
      </c>
      <c r="C97" s="43">
        <f>IF('TENAGA KERJA'!I96="Tidak",0,('TENAGA KERJA'!K96+'TENAGA KERJA'!L96))</f>
        <v>0</v>
      </c>
      <c r="D97" s="43">
        <f>C97*SETTING!$C$10</f>
        <v>0</v>
      </c>
      <c r="E97" s="43">
        <f>C97*SETTING!$C$11</f>
        <v>0</v>
      </c>
      <c r="F97" s="43">
        <f>C97*SETTING!$C$12</f>
        <v>0</v>
      </c>
      <c r="G97" s="43">
        <f>C97*SETTING!$C$13</f>
        <v>0</v>
      </c>
      <c r="H97" s="43"/>
      <c r="I97" s="43"/>
      <c r="J97" s="44">
        <f t="shared" si="3"/>
        <v>0</v>
      </c>
    </row>
    <row r="98" spans="1:11">
      <c r="A98" s="45" t="str">
        <f>IF('TENAGA KERJA'!A97=0,"",'TENAGA KERJA'!A97)</f>
        <v/>
      </c>
      <c r="B98" s="24" t="str">
        <f>IF('TENAGA KERJA'!B97=0,"",'TENAGA KERJA'!B97)</f>
        <v/>
      </c>
      <c r="C98" s="43">
        <f>IF('TENAGA KERJA'!I97="Tidak",0,('TENAGA KERJA'!K97+'TENAGA KERJA'!L97))</f>
        <v>0</v>
      </c>
      <c r="D98" s="43">
        <f>C98*SETTING!$C$10</f>
        <v>0</v>
      </c>
      <c r="E98" s="43">
        <f>C98*SETTING!$C$11</f>
        <v>0</v>
      </c>
      <c r="F98" s="43">
        <f>C98*SETTING!$C$12</f>
        <v>0</v>
      </c>
      <c r="G98" s="43">
        <f>C98*SETTING!$C$13</f>
        <v>0</v>
      </c>
      <c r="H98" s="43"/>
      <c r="I98" s="43"/>
      <c r="J98" s="44">
        <f t="shared" si="3"/>
        <v>0</v>
      </c>
    </row>
    <row r="99" spans="1:11">
      <c r="A99" s="45" t="str">
        <f>IF('TENAGA KERJA'!A98=0,"",'TENAGA KERJA'!A98)</f>
        <v/>
      </c>
      <c r="B99" s="24" t="str">
        <f>IF('TENAGA KERJA'!B98=0,"",'TENAGA KERJA'!B98)</f>
        <v/>
      </c>
      <c r="C99" s="208">
        <f>IF('TENAGA KERJA'!I98="Tidak",0,('TENAGA KERJA'!K98+'TENAGA KERJA'!L98))+1891337</f>
        <v>1891337</v>
      </c>
      <c r="D99" s="43">
        <f>C99*SETTING!$C$10</f>
        <v>16832.899300000001</v>
      </c>
      <c r="E99" s="43">
        <f>C99*SETTING!$C$11</f>
        <v>5674.0110000000004</v>
      </c>
      <c r="F99" s="43">
        <f>C99*SETTING!$C$12</f>
        <v>69979.468999999997</v>
      </c>
      <c r="G99" s="43">
        <f>C99*SETTING!$C$13</f>
        <v>37826.74</v>
      </c>
      <c r="H99" s="43"/>
      <c r="I99" s="43"/>
      <c r="J99" s="44">
        <f t="shared" si="3"/>
        <v>130313.11929999999</v>
      </c>
    </row>
    <row r="100" spans="1:11">
      <c r="A100" s="45" t="str">
        <f>IF('TENAGA KERJA'!A99=0,"",'TENAGA KERJA'!A99)</f>
        <v/>
      </c>
      <c r="B100" s="24" t="str">
        <f>IF('TENAGA KERJA'!B99=0,"",'TENAGA KERJA'!B99)</f>
        <v/>
      </c>
      <c r="C100" s="43">
        <f>IF('TENAGA KERJA'!I99="Tidak",0,('TENAGA KERJA'!K99+'TENAGA KERJA'!L99))</f>
        <v>0</v>
      </c>
      <c r="D100" s="43">
        <f>C100*SETTING!$C$10</f>
        <v>0</v>
      </c>
      <c r="E100" s="43">
        <f>C100*SETTING!$C$11</f>
        <v>0</v>
      </c>
      <c r="F100" s="43">
        <f>C100*SETTING!$C$12</f>
        <v>0</v>
      </c>
      <c r="G100" s="43">
        <f>C100*SETTING!$C$13</f>
        <v>0</v>
      </c>
      <c r="H100" s="43"/>
      <c r="I100" s="43"/>
      <c r="J100" s="44">
        <f t="shared" si="3"/>
        <v>0</v>
      </c>
      <c r="K100" s="151">
        <f>SUM(G29:G99)+G168</f>
        <v>75653.48</v>
      </c>
    </row>
    <row r="101" spans="1:11">
      <c r="A101" s="45" t="str">
        <f>IF('TENAGA KERJA'!A100=0,"",'TENAGA KERJA'!A100)</f>
        <v/>
      </c>
      <c r="B101" s="24" t="str">
        <f>IF('TENAGA KERJA'!B100=0,"",'TENAGA KERJA'!B100)</f>
        <v/>
      </c>
      <c r="C101" s="43">
        <f>IF('TENAGA KERJA'!I100="Tidak",0,('TENAGA KERJA'!K100+'TENAGA KERJA'!L100))</f>
        <v>0</v>
      </c>
      <c r="D101" s="43">
        <f>C101*SETTING!$C$10</f>
        <v>0</v>
      </c>
      <c r="E101" s="43">
        <f>C101*SETTING!$C$11</f>
        <v>0</v>
      </c>
      <c r="F101" s="43">
        <f>C101*SETTING!$C$12</f>
        <v>0</v>
      </c>
      <c r="G101" s="43">
        <f>C101*SETTING!$C$13</f>
        <v>0</v>
      </c>
      <c r="H101" s="43"/>
      <c r="I101" s="43"/>
      <c r="J101" s="44">
        <f t="shared" si="3"/>
        <v>0</v>
      </c>
    </row>
    <row r="102" spans="1:11">
      <c r="A102" s="45" t="str">
        <f>IF('TENAGA KERJA'!A101=0,"",'TENAGA KERJA'!A101)</f>
        <v/>
      </c>
      <c r="B102" s="24" t="str">
        <f>IF('TENAGA KERJA'!B101=0,"",'TENAGA KERJA'!B101)</f>
        <v/>
      </c>
      <c r="C102" s="43">
        <f>IF('TENAGA KERJA'!I101="Tidak",0,('TENAGA KERJA'!K101+'TENAGA KERJA'!L101))</f>
        <v>0</v>
      </c>
      <c r="D102" s="43">
        <f>C102*SETTING!$C$10</f>
        <v>0</v>
      </c>
      <c r="E102" s="43">
        <f>C102*SETTING!$C$11</f>
        <v>0</v>
      </c>
      <c r="F102" s="43">
        <f>C102*SETTING!$C$12</f>
        <v>0</v>
      </c>
      <c r="G102" s="43">
        <f>C102*SETTING!$C$13</f>
        <v>0</v>
      </c>
      <c r="H102" s="43"/>
      <c r="I102" s="43"/>
      <c r="J102" s="44">
        <f t="shared" si="3"/>
        <v>0</v>
      </c>
    </row>
    <row r="103" spans="1:11">
      <c r="A103" s="45" t="str">
        <f>IF('TENAGA KERJA'!A102=0,"",'TENAGA KERJA'!A102)</f>
        <v/>
      </c>
      <c r="B103" s="24" t="str">
        <f>IF('TENAGA KERJA'!B102=0,"",'TENAGA KERJA'!B102)</f>
        <v/>
      </c>
      <c r="C103" s="43">
        <f>IF('TENAGA KERJA'!I102="Tidak",0,('TENAGA KERJA'!K102+'TENAGA KERJA'!L102))</f>
        <v>0</v>
      </c>
      <c r="D103" s="43">
        <f>C103*SETTING!$C$10</f>
        <v>0</v>
      </c>
      <c r="E103" s="43">
        <f>C103*SETTING!$C$11</f>
        <v>0</v>
      </c>
      <c r="F103" s="43">
        <f>C103*SETTING!$C$12</f>
        <v>0</v>
      </c>
      <c r="G103" s="43">
        <f>C103*SETTING!$C$13</f>
        <v>0</v>
      </c>
      <c r="H103" s="43"/>
      <c r="I103" s="43"/>
      <c r="J103" s="44">
        <f t="shared" si="3"/>
        <v>0</v>
      </c>
    </row>
    <row r="104" spans="1:11">
      <c r="A104" s="45" t="str">
        <f>IF('TENAGA KERJA'!A103=0,"",'TENAGA KERJA'!A103)</f>
        <v/>
      </c>
      <c r="B104" s="24" t="str">
        <f>IF('TENAGA KERJA'!B103=0,"",'TENAGA KERJA'!B103)</f>
        <v/>
      </c>
      <c r="C104" s="43">
        <f>IF('TENAGA KERJA'!I103="Tidak",0,('TENAGA KERJA'!K103+'TENAGA KERJA'!L103))</f>
        <v>0</v>
      </c>
      <c r="D104" s="43">
        <f>C104*SETTING!$C$10</f>
        <v>0</v>
      </c>
      <c r="E104" s="43">
        <f>C104*SETTING!$C$11</f>
        <v>0</v>
      </c>
      <c r="F104" s="43">
        <f>C104*SETTING!$C$12</f>
        <v>0</v>
      </c>
      <c r="G104" s="43">
        <f>C104*SETTING!$C$13</f>
        <v>0</v>
      </c>
      <c r="H104" s="43"/>
      <c r="I104" s="43"/>
      <c r="J104" s="44">
        <f t="shared" si="3"/>
        <v>0</v>
      </c>
    </row>
    <row r="105" spans="1:11">
      <c r="A105" s="45" t="str">
        <f>IF('TENAGA KERJA'!A104=0,"",'TENAGA KERJA'!A104)</f>
        <v/>
      </c>
      <c r="B105" s="24" t="str">
        <f>IF('TENAGA KERJA'!B104=0,"",'TENAGA KERJA'!B104)</f>
        <v/>
      </c>
      <c r="C105" s="43">
        <f>IF('TENAGA KERJA'!I104="Tidak",0,('TENAGA KERJA'!K104+'TENAGA KERJA'!L104))</f>
        <v>0</v>
      </c>
      <c r="D105" s="43">
        <f>C105*SETTING!$C$10</f>
        <v>0</v>
      </c>
      <c r="E105" s="43">
        <f>C105*SETTING!$C$11</f>
        <v>0</v>
      </c>
      <c r="F105" s="43">
        <f>C105*SETTING!$C$12</f>
        <v>0</v>
      </c>
      <c r="G105" s="43">
        <f>C105*SETTING!$C$13</f>
        <v>0</v>
      </c>
      <c r="H105" s="43"/>
      <c r="I105" s="43"/>
      <c r="J105" s="44">
        <f t="shared" si="3"/>
        <v>0</v>
      </c>
    </row>
    <row r="106" spans="1:11">
      <c r="A106" s="45" t="str">
        <f>IF('TENAGA KERJA'!A105=0,"",'TENAGA KERJA'!A105)</f>
        <v/>
      </c>
      <c r="B106" s="24" t="str">
        <f>IF('TENAGA KERJA'!B105=0,"",'TENAGA KERJA'!B105)</f>
        <v/>
      </c>
      <c r="C106" s="43">
        <f>IF('TENAGA KERJA'!I105="Tidak",0,('TENAGA KERJA'!K105+'TENAGA KERJA'!L105))</f>
        <v>0</v>
      </c>
      <c r="D106" s="43">
        <f>C106*SETTING!$C$10</f>
        <v>0</v>
      </c>
      <c r="E106" s="43">
        <f>C106*SETTING!$C$11</f>
        <v>0</v>
      </c>
      <c r="F106" s="43">
        <f>C106*SETTING!$C$12</f>
        <v>0</v>
      </c>
      <c r="G106" s="43">
        <f>C106*SETTING!$C$13</f>
        <v>0</v>
      </c>
      <c r="H106" s="43"/>
      <c r="I106" s="43"/>
      <c r="J106" s="44">
        <f t="shared" si="3"/>
        <v>0</v>
      </c>
    </row>
    <row r="107" spans="1:11">
      <c r="A107" s="45" t="str">
        <f>IF('TENAGA KERJA'!A106=0,"",'TENAGA KERJA'!A106)</f>
        <v/>
      </c>
      <c r="B107" s="24" t="str">
        <f>IF('TENAGA KERJA'!B106=0,"",'TENAGA KERJA'!B106)</f>
        <v/>
      </c>
      <c r="C107" s="43">
        <f>IF('TENAGA KERJA'!I106="Tidak",0,('TENAGA KERJA'!K106+'TENAGA KERJA'!L106))</f>
        <v>0</v>
      </c>
      <c r="D107" s="43">
        <f>C107*SETTING!$C$10</f>
        <v>0</v>
      </c>
      <c r="E107" s="43">
        <f>C107*SETTING!$C$11</f>
        <v>0</v>
      </c>
      <c r="F107" s="43">
        <f>C107*SETTING!$C$12</f>
        <v>0</v>
      </c>
      <c r="G107" s="43">
        <f>C107*SETTING!$C$13</f>
        <v>0</v>
      </c>
      <c r="H107" s="43"/>
      <c r="I107" s="43"/>
      <c r="J107" s="44">
        <f t="shared" si="3"/>
        <v>0</v>
      </c>
    </row>
    <row r="108" spans="1:11">
      <c r="A108" s="45" t="str">
        <f>IF('TENAGA KERJA'!A107=0,"",'TENAGA KERJA'!A107)</f>
        <v/>
      </c>
      <c r="B108" s="24" t="str">
        <f>IF('TENAGA KERJA'!B107=0,"",'TENAGA KERJA'!B107)</f>
        <v/>
      </c>
      <c r="C108" s="43">
        <f>IF('TENAGA KERJA'!I107="Tidak",0,('TENAGA KERJA'!K107+'TENAGA KERJA'!L107))</f>
        <v>0</v>
      </c>
      <c r="D108" s="43">
        <f>C108*SETTING!$C$10</f>
        <v>0</v>
      </c>
      <c r="E108" s="43">
        <f>C108*SETTING!$C$11</f>
        <v>0</v>
      </c>
      <c r="F108" s="43">
        <f>C108*SETTING!$C$12</f>
        <v>0</v>
      </c>
      <c r="G108" s="43">
        <f>C108*SETTING!$C$13</f>
        <v>0</v>
      </c>
      <c r="H108" s="43"/>
      <c r="I108" s="43"/>
      <c r="J108" s="44">
        <f t="shared" si="3"/>
        <v>0</v>
      </c>
    </row>
    <row r="109" spans="1:11">
      <c r="A109" s="45" t="str">
        <f>IF('TENAGA KERJA'!A108=0,"",'TENAGA KERJA'!A108)</f>
        <v/>
      </c>
      <c r="B109" s="24" t="str">
        <f>IF('TENAGA KERJA'!B108=0,"",'TENAGA KERJA'!B108)</f>
        <v/>
      </c>
      <c r="C109" s="43">
        <f>IF('TENAGA KERJA'!I108="Tidak",0,('TENAGA KERJA'!K108+'TENAGA KERJA'!L108))</f>
        <v>0</v>
      </c>
      <c r="D109" s="43">
        <f>C109*SETTING!$C$10</f>
        <v>0</v>
      </c>
      <c r="E109" s="43">
        <f>C109*SETTING!$C$11</f>
        <v>0</v>
      </c>
      <c r="F109" s="43">
        <f>C109*SETTING!$C$12</f>
        <v>0</v>
      </c>
      <c r="G109" s="43">
        <f>C109*SETTING!$C$13</f>
        <v>0</v>
      </c>
      <c r="H109" s="43"/>
      <c r="I109" s="43"/>
      <c r="J109" s="44">
        <f t="shared" si="3"/>
        <v>0</v>
      </c>
    </row>
    <row r="110" spans="1:11">
      <c r="A110" s="45" t="str">
        <f>IF('TENAGA KERJA'!A109=0,"",'TENAGA KERJA'!A109)</f>
        <v/>
      </c>
      <c r="B110" s="24" t="str">
        <f>IF('TENAGA KERJA'!B109=0,"",'TENAGA KERJA'!B109)</f>
        <v/>
      </c>
      <c r="C110" s="43">
        <f>IF('TENAGA KERJA'!I109="Tidak",0,('TENAGA KERJA'!K109+'TENAGA KERJA'!L109))</f>
        <v>0</v>
      </c>
      <c r="D110" s="43">
        <f>C110*SETTING!$C$10</f>
        <v>0</v>
      </c>
      <c r="E110" s="43">
        <f>C110*SETTING!$C$11</f>
        <v>0</v>
      </c>
      <c r="F110" s="43">
        <f>C110*SETTING!$C$12</f>
        <v>0</v>
      </c>
      <c r="G110" s="43">
        <f>C110*SETTING!$C$13</f>
        <v>0</v>
      </c>
      <c r="H110" s="43"/>
      <c r="I110" s="43"/>
      <c r="J110" s="44">
        <f t="shared" si="3"/>
        <v>0</v>
      </c>
    </row>
    <row r="111" spans="1:11">
      <c r="A111" s="45" t="str">
        <f>IF('TENAGA KERJA'!A110=0,"",'TENAGA KERJA'!A110)</f>
        <v/>
      </c>
      <c r="B111" s="24" t="str">
        <f>IF('TENAGA KERJA'!B110=0,"",'TENAGA KERJA'!B110)</f>
        <v/>
      </c>
      <c r="C111" s="43">
        <f>IF('TENAGA KERJA'!I110="Tidak",0,('TENAGA KERJA'!K110+'TENAGA KERJA'!L110))</f>
        <v>0</v>
      </c>
      <c r="D111" s="43">
        <f>C111*SETTING!$C$10</f>
        <v>0</v>
      </c>
      <c r="E111" s="43">
        <f>C111*SETTING!$C$11</f>
        <v>0</v>
      </c>
      <c r="F111" s="43">
        <f>C111*SETTING!$C$12</f>
        <v>0</v>
      </c>
      <c r="G111" s="43">
        <f>C111*SETTING!$C$13</f>
        <v>0</v>
      </c>
      <c r="H111" s="43"/>
      <c r="I111" s="43"/>
      <c r="J111" s="44">
        <f t="shared" si="3"/>
        <v>0</v>
      </c>
    </row>
    <row r="112" spans="1:11">
      <c r="A112" s="45" t="str">
        <f>IF('TENAGA KERJA'!A111=0,"",'TENAGA KERJA'!A111)</f>
        <v/>
      </c>
      <c r="B112" s="24" t="str">
        <f>IF('TENAGA KERJA'!B111=0,"",'TENAGA KERJA'!B111)</f>
        <v/>
      </c>
      <c r="C112" s="43">
        <f>IF('TENAGA KERJA'!I111="Tidak",0,('TENAGA KERJA'!K111+'TENAGA KERJA'!L111))</f>
        <v>0</v>
      </c>
      <c r="D112" s="43">
        <f>C112*SETTING!$C$10</f>
        <v>0</v>
      </c>
      <c r="E112" s="43">
        <f>C112*SETTING!$C$11</f>
        <v>0</v>
      </c>
      <c r="F112" s="43">
        <f>C112*SETTING!$C$12</f>
        <v>0</v>
      </c>
      <c r="G112" s="43">
        <f>C112*SETTING!$C$13</f>
        <v>0</v>
      </c>
      <c r="H112" s="43"/>
      <c r="I112" s="43"/>
      <c r="J112" s="44">
        <f t="shared" si="3"/>
        <v>0</v>
      </c>
    </row>
    <row r="113" spans="1:10">
      <c r="A113" s="45" t="str">
        <f>IF('TENAGA KERJA'!A112=0,"",'TENAGA KERJA'!A112)</f>
        <v/>
      </c>
      <c r="B113" s="24" t="str">
        <f>IF('TENAGA KERJA'!B112=0,"",'TENAGA KERJA'!B112)</f>
        <v/>
      </c>
      <c r="C113" s="43">
        <f>IF('TENAGA KERJA'!I112="Tidak",0,('TENAGA KERJA'!K112+'TENAGA KERJA'!L112))</f>
        <v>0</v>
      </c>
      <c r="D113" s="43">
        <f>C113*SETTING!$C$10</f>
        <v>0</v>
      </c>
      <c r="E113" s="43">
        <f>C113*SETTING!$C$11</f>
        <v>0</v>
      </c>
      <c r="F113" s="43">
        <f>C113*SETTING!$C$12</f>
        <v>0</v>
      </c>
      <c r="G113" s="43">
        <f>C113*SETTING!$C$13</f>
        <v>0</v>
      </c>
      <c r="H113" s="43"/>
      <c r="I113" s="43"/>
      <c r="J113" s="44">
        <f t="shared" si="3"/>
        <v>0</v>
      </c>
    </row>
    <row r="114" spans="1:10">
      <c r="A114" s="45" t="str">
        <f>IF('TENAGA KERJA'!A113=0,"",'TENAGA KERJA'!A113)</f>
        <v/>
      </c>
      <c r="B114" s="24" t="str">
        <f>IF('TENAGA KERJA'!B113=0,"",'TENAGA KERJA'!B113)</f>
        <v/>
      </c>
      <c r="C114" s="43">
        <f>IF('TENAGA KERJA'!I113="Tidak",0,('TENAGA KERJA'!K113+'TENAGA KERJA'!L113))</f>
        <v>0</v>
      </c>
      <c r="D114" s="43">
        <f>C114*SETTING!$C$10</f>
        <v>0</v>
      </c>
      <c r="E114" s="43">
        <f>C114*SETTING!$C$11</f>
        <v>0</v>
      </c>
      <c r="F114" s="43">
        <f>C114*SETTING!$C$12</f>
        <v>0</v>
      </c>
      <c r="G114" s="43">
        <f>C114*SETTING!$C$13</f>
        <v>0</v>
      </c>
      <c r="H114" s="43"/>
      <c r="I114" s="43"/>
      <c r="J114" s="44">
        <f t="shared" si="3"/>
        <v>0</v>
      </c>
    </row>
    <row r="115" spans="1:10">
      <c r="A115" s="45" t="str">
        <f>IF('TENAGA KERJA'!A114=0,"",'TENAGA KERJA'!A114)</f>
        <v/>
      </c>
      <c r="B115" s="24" t="str">
        <f>IF('TENAGA KERJA'!B114=0,"",'TENAGA KERJA'!B114)</f>
        <v/>
      </c>
      <c r="C115" s="43">
        <f>IF('TENAGA KERJA'!I114="Tidak",0,('TENAGA KERJA'!K114+'TENAGA KERJA'!L114))</f>
        <v>0</v>
      </c>
      <c r="D115" s="43">
        <f>C115*SETTING!$C$10</f>
        <v>0</v>
      </c>
      <c r="E115" s="43">
        <f>C115*SETTING!$C$11</f>
        <v>0</v>
      </c>
      <c r="F115" s="43">
        <f>C115*SETTING!$C$12</f>
        <v>0</v>
      </c>
      <c r="G115" s="43">
        <f>C115*SETTING!$C$13</f>
        <v>0</v>
      </c>
      <c r="H115" s="43"/>
      <c r="I115" s="43"/>
      <c r="J115" s="44">
        <f t="shared" si="3"/>
        <v>0</v>
      </c>
    </row>
    <row r="116" spans="1:10">
      <c r="A116" s="45" t="str">
        <f>IF('TENAGA KERJA'!A115=0,"",'TENAGA KERJA'!A115)</f>
        <v/>
      </c>
      <c r="B116" s="24" t="str">
        <f>IF('TENAGA KERJA'!B115=0,"",'TENAGA KERJA'!B115)</f>
        <v/>
      </c>
      <c r="C116" s="43">
        <f>IF('TENAGA KERJA'!I115="Tidak",0,('TENAGA KERJA'!K115+'TENAGA KERJA'!L115))</f>
        <v>0</v>
      </c>
      <c r="D116" s="43">
        <f>C116*SETTING!$C$10</f>
        <v>0</v>
      </c>
      <c r="E116" s="43">
        <f>C116*SETTING!$C$11</f>
        <v>0</v>
      </c>
      <c r="F116" s="43">
        <f>C116*SETTING!$C$12</f>
        <v>0</v>
      </c>
      <c r="G116" s="43">
        <f>C116*SETTING!$C$13</f>
        <v>0</v>
      </c>
      <c r="H116" s="43"/>
      <c r="I116" s="43"/>
      <c r="J116" s="44">
        <f t="shared" si="3"/>
        <v>0</v>
      </c>
    </row>
    <row r="117" spans="1:10">
      <c r="A117" s="45" t="str">
        <f>IF('TENAGA KERJA'!A116=0,"",'TENAGA KERJA'!A116)</f>
        <v/>
      </c>
      <c r="B117" s="24" t="str">
        <f>IF('TENAGA KERJA'!B116=0,"",'TENAGA KERJA'!B116)</f>
        <v/>
      </c>
      <c r="C117" s="43">
        <f>IF('TENAGA KERJA'!I116="Tidak",0,('TENAGA KERJA'!K116+'TENAGA KERJA'!L116))</f>
        <v>0</v>
      </c>
      <c r="D117" s="43">
        <f>C117*SETTING!$C$10</f>
        <v>0</v>
      </c>
      <c r="E117" s="43">
        <f>C117*SETTING!$C$11</f>
        <v>0</v>
      </c>
      <c r="F117" s="43">
        <f>C117*SETTING!$C$12</f>
        <v>0</v>
      </c>
      <c r="G117" s="43">
        <f>C117*SETTING!$C$13</f>
        <v>0</v>
      </c>
      <c r="H117" s="43"/>
      <c r="I117" s="43"/>
      <c r="J117" s="44">
        <f t="shared" si="3"/>
        <v>0</v>
      </c>
    </row>
    <row r="118" spans="1:10">
      <c r="A118" s="45" t="str">
        <f>IF('TENAGA KERJA'!A117=0,"",'TENAGA KERJA'!A117)</f>
        <v/>
      </c>
      <c r="B118" s="24" t="str">
        <f>IF('TENAGA KERJA'!B117=0,"",'TENAGA KERJA'!B117)</f>
        <v/>
      </c>
      <c r="C118" s="43">
        <f>IF('TENAGA KERJA'!I117="Tidak",0,('TENAGA KERJA'!K117+'TENAGA KERJA'!L117))</f>
        <v>0</v>
      </c>
      <c r="D118" s="43">
        <f>C118*SETTING!$C$10</f>
        <v>0</v>
      </c>
      <c r="E118" s="43">
        <f>C118*SETTING!$C$11</f>
        <v>0</v>
      </c>
      <c r="F118" s="43">
        <f>C118*SETTING!$C$12</f>
        <v>0</v>
      </c>
      <c r="G118" s="43">
        <f>C118*SETTING!$C$13</f>
        <v>0</v>
      </c>
      <c r="H118" s="43"/>
      <c r="I118" s="43"/>
      <c r="J118" s="44">
        <f t="shared" si="3"/>
        <v>0</v>
      </c>
    </row>
    <row r="119" spans="1:10">
      <c r="A119" s="45" t="str">
        <f>IF('TENAGA KERJA'!A118=0,"",'TENAGA KERJA'!A118)</f>
        <v/>
      </c>
      <c r="B119" s="24" t="str">
        <f>IF('TENAGA KERJA'!B118=0,"",'TENAGA KERJA'!B118)</f>
        <v/>
      </c>
      <c r="C119" s="43">
        <f>IF('TENAGA KERJA'!I118="Tidak",0,('TENAGA KERJA'!K118+'TENAGA KERJA'!L118))</f>
        <v>0</v>
      </c>
      <c r="D119" s="43">
        <f>C119*SETTING!$C$10</f>
        <v>0</v>
      </c>
      <c r="E119" s="43">
        <f>C119*SETTING!$C$11</f>
        <v>0</v>
      </c>
      <c r="F119" s="43">
        <f>C119*SETTING!$C$12</f>
        <v>0</v>
      </c>
      <c r="G119" s="43">
        <f>C119*SETTING!$C$13</f>
        <v>0</v>
      </c>
      <c r="H119" s="43"/>
      <c r="I119" s="43"/>
      <c r="J119" s="44">
        <f t="shared" si="3"/>
        <v>0</v>
      </c>
    </row>
    <row r="120" spans="1:10">
      <c r="A120" s="45" t="str">
        <f>IF('TENAGA KERJA'!A119=0,"",'TENAGA KERJA'!A119)</f>
        <v/>
      </c>
      <c r="B120" s="24" t="str">
        <f>IF('TENAGA KERJA'!B119=0,"",'TENAGA KERJA'!B119)</f>
        <v/>
      </c>
      <c r="C120" s="43">
        <f>IF('TENAGA KERJA'!I119="Tidak",0,('TENAGA KERJA'!K119+'TENAGA KERJA'!L119))</f>
        <v>0</v>
      </c>
      <c r="D120" s="43">
        <f>C120*SETTING!$C$10</f>
        <v>0</v>
      </c>
      <c r="E120" s="43">
        <f>C120*SETTING!$C$11</f>
        <v>0</v>
      </c>
      <c r="F120" s="43">
        <f>C120*SETTING!$C$12</f>
        <v>0</v>
      </c>
      <c r="G120" s="43">
        <f>C120*SETTING!$C$13</f>
        <v>0</v>
      </c>
      <c r="H120" s="43"/>
      <c r="I120" s="43"/>
      <c r="J120" s="44">
        <f t="shared" si="3"/>
        <v>0</v>
      </c>
    </row>
    <row r="121" spans="1:10">
      <c r="A121" s="45" t="str">
        <f>IF('TENAGA KERJA'!A120=0,"",'TENAGA KERJA'!A120)</f>
        <v/>
      </c>
      <c r="B121" s="24" t="str">
        <f>IF('TENAGA KERJA'!B120=0,"",'TENAGA KERJA'!B120)</f>
        <v/>
      </c>
      <c r="C121" s="43">
        <f>IF('TENAGA KERJA'!I120="Tidak",0,('TENAGA KERJA'!K120+'TENAGA KERJA'!L120))</f>
        <v>0</v>
      </c>
      <c r="D121" s="43">
        <f>C121*SETTING!$C$10</f>
        <v>0</v>
      </c>
      <c r="E121" s="43">
        <f>C121*SETTING!$C$11</f>
        <v>0</v>
      </c>
      <c r="F121" s="43">
        <f>C121*SETTING!$C$12</f>
        <v>0</v>
      </c>
      <c r="G121" s="43">
        <f>C121*SETTING!$C$13</f>
        <v>0</v>
      </c>
      <c r="H121" s="43"/>
      <c r="I121" s="43"/>
      <c r="J121" s="44">
        <f t="shared" si="3"/>
        <v>0</v>
      </c>
    </row>
    <row r="122" spans="1:10">
      <c r="A122" s="45" t="str">
        <f>IF('TENAGA KERJA'!A121=0,"",'TENAGA KERJA'!A121)</f>
        <v/>
      </c>
      <c r="B122" s="24" t="str">
        <f>IF('TENAGA KERJA'!B121=0,"",'TENAGA KERJA'!B121)</f>
        <v/>
      </c>
      <c r="C122" s="43">
        <f>IF('TENAGA KERJA'!I121="Tidak",0,('TENAGA KERJA'!K121+'TENAGA KERJA'!L121))</f>
        <v>0</v>
      </c>
      <c r="D122" s="43">
        <f>C122*SETTING!$C$10</f>
        <v>0</v>
      </c>
      <c r="E122" s="43">
        <f>C122*SETTING!$C$11</f>
        <v>0</v>
      </c>
      <c r="F122" s="43">
        <f>C122*SETTING!$C$12</f>
        <v>0</v>
      </c>
      <c r="G122" s="43">
        <f>C122*SETTING!$C$13</f>
        <v>0</v>
      </c>
      <c r="H122" s="43"/>
      <c r="I122" s="43"/>
      <c r="J122" s="44">
        <f t="shared" si="3"/>
        <v>0</v>
      </c>
    </row>
    <row r="123" spans="1:10">
      <c r="A123" s="45" t="str">
        <f>IF('TENAGA KERJA'!A122=0,"",'TENAGA KERJA'!A122)</f>
        <v/>
      </c>
      <c r="B123" s="24" t="str">
        <f>IF('TENAGA KERJA'!B122=0,"",'TENAGA KERJA'!B122)</f>
        <v/>
      </c>
      <c r="C123" s="43">
        <f>IF('TENAGA KERJA'!I122="Tidak",0,('TENAGA KERJA'!K122+'TENAGA KERJA'!L122))</f>
        <v>0</v>
      </c>
      <c r="D123" s="43">
        <f>C123*SETTING!$C$10</f>
        <v>0</v>
      </c>
      <c r="E123" s="43">
        <f>C123*SETTING!$C$11</f>
        <v>0</v>
      </c>
      <c r="F123" s="43">
        <f>C123*SETTING!$C$12</f>
        <v>0</v>
      </c>
      <c r="G123" s="43">
        <f>C123*SETTING!$C$13</f>
        <v>0</v>
      </c>
      <c r="H123" s="43"/>
      <c r="I123" s="43"/>
      <c r="J123" s="44">
        <f t="shared" si="3"/>
        <v>0</v>
      </c>
    </row>
    <row r="124" spans="1:10">
      <c r="A124" s="45" t="str">
        <f>IF('TENAGA KERJA'!A123=0,"",'TENAGA KERJA'!A123)</f>
        <v/>
      </c>
      <c r="B124" s="24" t="str">
        <f>IF('TENAGA KERJA'!B123=0,"",'TENAGA KERJA'!B123)</f>
        <v/>
      </c>
      <c r="C124" s="43">
        <f>IF('TENAGA KERJA'!I123="Tidak",0,('TENAGA KERJA'!K123+'TENAGA KERJA'!L123))</f>
        <v>0</v>
      </c>
      <c r="D124" s="43">
        <f>C124*SETTING!$C$10</f>
        <v>0</v>
      </c>
      <c r="E124" s="43">
        <f>C124*SETTING!$C$11</f>
        <v>0</v>
      </c>
      <c r="F124" s="43">
        <f>C124*SETTING!$C$12</f>
        <v>0</v>
      </c>
      <c r="G124" s="43">
        <f>C124*SETTING!$C$13</f>
        <v>0</v>
      </c>
      <c r="H124" s="43"/>
      <c r="I124" s="43"/>
      <c r="J124" s="44">
        <f t="shared" si="3"/>
        <v>0</v>
      </c>
    </row>
    <row r="125" spans="1:10">
      <c r="A125" s="45" t="str">
        <f>IF('TENAGA KERJA'!A124=0,"",'TENAGA KERJA'!A124)</f>
        <v/>
      </c>
      <c r="B125" s="24" t="str">
        <f>IF('TENAGA KERJA'!B124=0,"",'TENAGA KERJA'!B124)</f>
        <v/>
      </c>
      <c r="C125" s="43">
        <f>IF('TENAGA KERJA'!I124="Tidak",0,('TENAGA KERJA'!K124+'TENAGA KERJA'!L124))</f>
        <v>0</v>
      </c>
      <c r="D125" s="43">
        <f>C125*SETTING!$C$10</f>
        <v>0</v>
      </c>
      <c r="E125" s="43">
        <f>C125*SETTING!$C$11</f>
        <v>0</v>
      </c>
      <c r="F125" s="43">
        <f>C125*SETTING!$C$12</f>
        <v>0</v>
      </c>
      <c r="G125" s="43">
        <f>C125*SETTING!$C$13</f>
        <v>0</v>
      </c>
      <c r="H125" s="43"/>
      <c r="I125" s="43"/>
      <c r="J125" s="44">
        <f t="shared" si="3"/>
        <v>0</v>
      </c>
    </row>
    <row r="126" spans="1:10">
      <c r="A126" s="45" t="str">
        <f>IF('TENAGA KERJA'!A125=0,"",'TENAGA KERJA'!A125)</f>
        <v/>
      </c>
      <c r="B126" s="24" t="str">
        <f>IF('TENAGA KERJA'!B125=0,"",'TENAGA KERJA'!B125)</f>
        <v/>
      </c>
      <c r="C126" s="43">
        <f>IF('TENAGA KERJA'!I125="Tidak",0,('TENAGA KERJA'!K125+'TENAGA KERJA'!L125))</f>
        <v>0</v>
      </c>
      <c r="D126" s="43">
        <f>C126*SETTING!$C$10</f>
        <v>0</v>
      </c>
      <c r="E126" s="43">
        <f>C126*SETTING!$C$11</f>
        <v>0</v>
      </c>
      <c r="F126" s="43">
        <f>C126*SETTING!$C$12</f>
        <v>0</v>
      </c>
      <c r="G126" s="43">
        <f>C126*SETTING!$C$13</f>
        <v>0</v>
      </c>
      <c r="H126" s="43"/>
      <c r="I126" s="43"/>
      <c r="J126" s="44">
        <f t="shared" si="3"/>
        <v>0</v>
      </c>
    </row>
    <row r="127" spans="1:10">
      <c r="A127" s="45" t="str">
        <f>IF('TENAGA KERJA'!A126=0,"",'TENAGA KERJA'!A126)</f>
        <v/>
      </c>
      <c r="B127" s="24" t="str">
        <f>IF('TENAGA KERJA'!B126=0,"",'TENAGA KERJA'!B126)</f>
        <v/>
      </c>
      <c r="C127" s="43">
        <f>IF('TENAGA KERJA'!I126="Tidak",0,('TENAGA KERJA'!K126+'TENAGA KERJA'!L126))</f>
        <v>0</v>
      </c>
      <c r="D127" s="43">
        <f>C127*SETTING!$C$10</f>
        <v>0</v>
      </c>
      <c r="E127" s="43">
        <f>C127*SETTING!$C$11</f>
        <v>0</v>
      </c>
      <c r="F127" s="43">
        <f>C127*SETTING!$C$12</f>
        <v>0</v>
      </c>
      <c r="G127" s="43">
        <f>C127*SETTING!$C$13</f>
        <v>0</v>
      </c>
      <c r="H127" s="43"/>
      <c r="I127" s="43"/>
      <c r="J127" s="44">
        <f t="shared" si="3"/>
        <v>0</v>
      </c>
    </row>
    <row r="128" spans="1:10">
      <c r="A128" s="45" t="str">
        <f>IF('TENAGA KERJA'!A127=0,"",'TENAGA KERJA'!A127)</f>
        <v/>
      </c>
      <c r="B128" s="24" t="str">
        <f>IF('TENAGA KERJA'!B127=0,"",'TENAGA KERJA'!B127)</f>
        <v/>
      </c>
      <c r="C128" s="43">
        <f>IF('TENAGA KERJA'!I127="Tidak",0,('TENAGA KERJA'!K127+'TENAGA KERJA'!L127))</f>
        <v>0</v>
      </c>
      <c r="D128" s="43">
        <f>C128*SETTING!$C$10</f>
        <v>0</v>
      </c>
      <c r="E128" s="43">
        <f>C128*SETTING!$C$11</f>
        <v>0</v>
      </c>
      <c r="F128" s="43">
        <f>C128*SETTING!$C$12</f>
        <v>0</v>
      </c>
      <c r="G128" s="43">
        <f>C128*SETTING!$C$13</f>
        <v>0</v>
      </c>
      <c r="H128" s="43"/>
      <c r="I128" s="43"/>
      <c r="J128" s="44">
        <f t="shared" si="3"/>
        <v>0</v>
      </c>
    </row>
    <row r="129" spans="1:18">
      <c r="A129" s="45" t="str">
        <f>IF('TENAGA KERJA'!A128=0,"",'TENAGA KERJA'!A128)</f>
        <v/>
      </c>
      <c r="B129" s="24" t="str">
        <f>IF('TENAGA KERJA'!B128=0,"",'TENAGA KERJA'!B128)</f>
        <v/>
      </c>
      <c r="C129" s="43">
        <f>IF('TENAGA KERJA'!I128="Tidak",0,('TENAGA KERJA'!K128+'TENAGA KERJA'!L128))</f>
        <v>0</v>
      </c>
      <c r="D129" s="43">
        <f>C129*SETTING!$C$10</f>
        <v>0</v>
      </c>
      <c r="E129" s="43">
        <f>C129*SETTING!$C$11</f>
        <v>0</v>
      </c>
      <c r="F129" s="43">
        <f>C129*SETTING!$C$12</f>
        <v>0</v>
      </c>
      <c r="G129" s="43">
        <f>C129*SETTING!$C$13</f>
        <v>0</v>
      </c>
      <c r="H129" s="43"/>
      <c r="I129" s="43"/>
      <c r="J129" s="44">
        <f t="shared" si="3"/>
        <v>0</v>
      </c>
    </row>
    <row r="130" spans="1:18">
      <c r="A130" s="45" t="str">
        <f>IF('TENAGA KERJA'!A129=0,"",'TENAGA KERJA'!A129)</f>
        <v/>
      </c>
      <c r="B130" s="24" t="str">
        <f>IF('TENAGA KERJA'!B129=0,"",'TENAGA KERJA'!B129)</f>
        <v/>
      </c>
      <c r="C130" s="43">
        <f>IF('TENAGA KERJA'!I129="Tidak",0,('TENAGA KERJA'!K129+'TENAGA KERJA'!L129))</f>
        <v>0</v>
      </c>
      <c r="D130" s="43">
        <f>C130*SETTING!$C$10</f>
        <v>0</v>
      </c>
      <c r="E130" s="43">
        <f>C130*SETTING!$C$11</f>
        <v>0</v>
      </c>
      <c r="F130" s="43">
        <f>C130*SETTING!$C$12</f>
        <v>0</v>
      </c>
      <c r="G130" s="43">
        <f>C130*SETTING!$C$13</f>
        <v>0</v>
      </c>
      <c r="H130" s="43"/>
      <c r="I130" s="43"/>
      <c r="J130" s="44">
        <f t="shared" si="3"/>
        <v>0</v>
      </c>
    </row>
    <row r="131" spans="1:18">
      <c r="A131" s="45" t="str">
        <f>IF('TENAGA KERJA'!A130=0,"",'TENAGA KERJA'!A130)</f>
        <v/>
      </c>
      <c r="B131" s="24" t="str">
        <f>IF('TENAGA KERJA'!B130=0,"",'TENAGA KERJA'!B130)</f>
        <v/>
      </c>
      <c r="C131" s="208">
        <f>IF('TENAGA KERJA'!I130="Tidak",0,('TENAGA KERJA'!K130+'TENAGA KERJA'!L130))+1891337</f>
        <v>1891337</v>
      </c>
      <c r="D131" s="43">
        <f>C131*SETTING!$C$10</f>
        <v>16832.899300000001</v>
      </c>
      <c r="E131" s="43">
        <f>C131*SETTING!$C$11</f>
        <v>5674.0110000000004</v>
      </c>
      <c r="F131" s="43">
        <f>C131*SETTING!$C$12</f>
        <v>69979.468999999997</v>
      </c>
      <c r="G131" s="43">
        <f>C131*SETTING!$C$13</f>
        <v>37826.74</v>
      </c>
      <c r="H131" s="43"/>
      <c r="I131" s="43"/>
      <c r="J131" s="44">
        <f t="shared" si="3"/>
        <v>130313.11929999999</v>
      </c>
    </row>
    <row r="132" spans="1:18">
      <c r="A132" s="45" t="str">
        <f>IF('TENAGA KERJA'!A131=0,"",'TENAGA KERJA'!A131)</f>
        <v/>
      </c>
      <c r="B132" s="24" t="str">
        <f>IF('TENAGA KERJA'!B131=0,"",'TENAGA KERJA'!B131)</f>
        <v/>
      </c>
      <c r="C132" s="43">
        <f>IF('TENAGA KERJA'!I131="Tidak",0,('TENAGA KERJA'!K131+'TENAGA KERJA'!L131))</f>
        <v>0</v>
      </c>
      <c r="D132" s="43">
        <f>C132*SETTING!$C$10</f>
        <v>0</v>
      </c>
      <c r="E132" s="43">
        <f>C132*SETTING!$C$11</f>
        <v>0</v>
      </c>
      <c r="F132" s="43">
        <f>C132*SETTING!$C$12</f>
        <v>0</v>
      </c>
      <c r="G132" s="43">
        <f>C132*SETTING!$C$13</f>
        <v>0</v>
      </c>
      <c r="H132" s="43"/>
      <c r="I132" s="43"/>
      <c r="J132" s="44">
        <f t="shared" si="3"/>
        <v>0</v>
      </c>
    </row>
    <row r="133" spans="1:18">
      <c r="A133" s="45" t="str">
        <f>IF('TENAGA KERJA'!A132=0,"",'TENAGA KERJA'!A132)</f>
        <v/>
      </c>
      <c r="B133" s="24" t="str">
        <f>IF('TENAGA KERJA'!B132=0,"",'TENAGA KERJA'!B132)</f>
        <v/>
      </c>
      <c r="C133" s="43">
        <f>IF('TENAGA KERJA'!I132="Tidak",0,('TENAGA KERJA'!K132+'TENAGA KERJA'!L132))</f>
        <v>0</v>
      </c>
      <c r="D133" s="43">
        <f>C133*SETTING!$C$10</f>
        <v>0</v>
      </c>
      <c r="E133" s="43">
        <f>C133*SETTING!$C$11</f>
        <v>0</v>
      </c>
      <c r="F133" s="43">
        <f>C133*SETTING!$C$12</f>
        <v>0</v>
      </c>
      <c r="G133" s="43">
        <f>C133*SETTING!$C$13</f>
        <v>0</v>
      </c>
      <c r="H133" s="43"/>
      <c r="I133" s="43"/>
      <c r="J133" s="44">
        <f t="shared" ref="J133:J196" si="4">SUM(D133:I133)</f>
        <v>0</v>
      </c>
    </row>
    <row r="134" spans="1:18">
      <c r="A134" s="45" t="str">
        <f>IF('TENAGA KERJA'!A133=0,"",'TENAGA KERJA'!A133)</f>
        <v/>
      </c>
      <c r="B134" s="24" t="str">
        <f>IF('TENAGA KERJA'!B133=0,"",'TENAGA KERJA'!B133)</f>
        <v/>
      </c>
      <c r="C134" s="43">
        <f>IF('TENAGA KERJA'!I133="Tidak",0,('TENAGA KERJA'!K133+'TENAGA KERJA'!L133))</f>
        <v>0</v>
      </c>
      <c r="D134" s="43">
        <f>C134*SETTING!$C$10</f>
        <v>0</v>
      </c>
      <c r="E134" s="43">
        <f>C134*SETTING!$C$11</f>
        <v>0</v>
      </c>
      <c r="F134" s="43">
        <f>C134*SETTING!$C$12</f>
        <v>0</v>
      </c>
      <c r="G134" s="43">
        <f>C134*SETTING!$C$13</f>
        <v>0</v>
      </c>
      <c r="H134" s="43"/>
      <c r="I134" s="43"/>
      <c r="J134" s="44">
        <f t="shared" si="4"/>
        <v>0</v>
      </c>
    </row>
    <row r="135" spans="1:18">
      <c r="A135" s="45" t="str">
        <f>IF('TENAGA KERJA'!A134=0,"",'TENAGA KERJA'!A134)</f>
        <v/>
      </c>
      <c r="B135" s="24" t="str">
        <f>IF('TENAGA KERJA'!B134=0,"",'TENAGA KERJA'!B134)</f>
        <v/>
      </c>
      <c r="C135" s="43">
        <f>IF('TENAGA KERJA'!I134="Tidak",0,('TENAGA KERJA'!K134+'TENAGA KERJA'!L134))</f>
        <v>0</v>
      </c>
      <c r="D135" s="43">
        <f>C135*SETTING!$C$10</f>
        <v>0</v>
      </c>
      <c r="E135" s="43">
        <f>C135*SETTING!$C$11</f>
        <v>0</v>
      </c>
      <c r="F135" s="43">
        <f>C135*SETTING!$C$12</f>
        <v>0</v>
      </c>
      <c r="G135" s="43">
        <f>C135*SETTING!$C$13</f>
        <v>0</v>
      </c>
      <c r="H135" s="43"/>
      <c r="I135" s="43"/>
      <c r="J135" s="44">
        <f t="shared" si="4"/>
        <v>0</v>
      </c>
    </row>
    <row r="136" spans="1:18">
      <c r="A136" s="45" t="str">
        <f>IF('TENAGA KERJA'!A135=0,"",'TENAGA KERJA'!A135)</f>
        <v/>
      </c>
      <c r="B136" s="24" t="str">
        <f>IF('TENAGA KERJA'!B135=0,"",'TENAGA KERJA'!B135)</f>
        <v/>
      </c>
      <c r="C136" s="43">
        <f>IF('TENAGA KERJA'!I135="Tidak",0,('TENAGA KERJA'!K135+'TENAGA KERJA'!L135))</f>
        <v>0</v>
      </c>
      <c r="D136" s="43">
        <f>C136*SETTING!$C$10</f>
        <v>0</v>
      </c>
      <c r="E136" s="43">
        <f>C136*SETTING!$C$11</f>
        <v>0</v>
      </c>
      <c r="F136" s="43">
        <f>C136*SETTING!$C$12</f>
        <v>0</v>
      </c>
      <c r="G136" s="43">
        <f>C136*SETTING!$C$13</f>
        <v>0</v>
      </c>
      <c r="H136" s="43"/>
      <c r="I136" s="43"/>
      <c r="J136" s="44">
        <f t="shared" si="4"/>
        <v>0</v>
      </c>
      <c r="K136" s="151">
        <f>C135-2049291</f>
        <v>-2049291</v>
      </c>
    </row>
    <row r="137" spans="1:18">
      <c r="A137" s="45" t="str">
        <f>IF('TENAGA KERJA'!A136=0,"",'TENAGA KERJA'!A136)</f>
        <v/>
      </c>
      <c r="B137" s="24" t="str">
        <f>IF('TENAGA KERJA'!B136=0,"",'TENAGA KERJA'!B136)</f>
        <v/>
      </c>
      <c r="C137" s="43">
        <f>IF('TENAGA KERJA'!I136="Tidak",0,('TENAGA KERJA'!K136+'TENAGA KERJA'!L136))</f>
        <v>0</v>
      </c>
      <c r="D137" s="43">
        <f>C137*SETTING!$C$10</f>
        <v>0</v>
      </c>
      <c r="E137" s="43">
        <f>C137*SETTING!$C$11</f>
        <v>0</v>
      </c>
      <c r="F137" s="43">
        <f>C137*SETTING!$C$12</f>
        <v>0</v>
      </c>
      <c r="G137" s="43">
        <f>C137*SETTING!$C$13</f>
        <v>0</v>
      </c>
      <c r="H137" s="43"/>
      <c r="I137" s="43"/>
      <c r="J137" s="44">
        <f t="shared" si="4"/>
        <v>0</v>
      </c>
    </row>
    <row r="138" spans="1:18">
      <c r="A138" s="45" t="str">
        <f>IF('TENAGA KERJA'!A137=0,"",'TENAGA KERJA'!A137)</f>
        <v/>
      </c>
      <c r="B138" s="24" t="str">
        <f>IF('TENAGA KERJA'!B137=0,"",'TENAGA KERJA'!B137)</f>
        <v/>
      </c>
      <c r="C138" s="43">
        <f>IF('TENAGA KERJA'!I137="Tidak",0,('TENAGA KERJA'!K137+'TENAGA KERJA'!L137))</f>
        <v>0</v>
      </c>
      <c r="D138" s="43">
        <f>C138*SETTING!$C$10</f>
        <v>0</v>
      </c>
      <c r="E138" s="43">
        <f>C138*SETTING!$C$11</f>
        <v>0</v>
      </c>
      <c r="F138" s="43">
        <f>C138*SETTING!$C$12</f>
        <v>0</v>
      </c>
      <c r="G138" s="43">
        <f>C138*SETTING!$C$13</f>
        <v>0</v>
      </c>
      <c r="H138" s="43"/>
      <c r="I138" s="43"/>
      <c r="J138" s="44">
        <f t="shared" si="4"/>
        <v>0</v>
      </c>
      <c r="K138" s="151">
        <f>SUM(G102:G137)</f>
        <v>37826.74</v>
      </c>
    </row>
    <row r="139" spans="1:18">
      <c r="A139" s="45" t="str">
        <f>IF('TENAGA KERJA'!A138=0,"",'TENAGA KERJA'!A138)</f>
        <v/>
      </c>
      <c r="B139" s="24" t="str">
        <f>IF('TENAGA KERJA'!B138=0,"",'TENAGA KERJA'!B138)</f>
        <v/>
      </c>
      <c r="C139" s="43">
        <f>IF('TENAGA KERJA'!I138="Tidak",0,('TENAGA KERJA'!K138+'TENAGA KERJA'!L138))</f>
        <v>0</v>
      </c>
      <c r="D139" s="43">
        <f>C139*SETTING!$C$10</f>
        <v>0</v>
      </c>
      <c r="E139" s="43">
        <f>C139*SETTING!$C$11</f>
        <v>0</v>
      </c>
      <c r="F139" s="43">
        <f>C139*SETTING!$C$12</f>
        <v>0</v>
      </c>
      <c r="G139" s="43">
        <f>C139*SETTING!$C$13</f>
        <v>0</v>
      </c>
      <c r="H139" s="43"/>
      <c r="I139" s="43"/>
      <c r="J139" s="44">
        <f t="shared" si="4"/>
        <v>0</v>
      </c>
    </row>
    <row r="140" spans="1:18">
      <c r="A140" s="45" t="str">
        <f>IF('TENAGA KERJA'!A139=0,"",'TENAGA KERJA'!A139)</f>
        <v/>
      </c>
      <c r="B140" s="24" t="str">
        <f>IF('TENAGA KERJA'!B139=0,"",'TENAGA KERJA'!B139)</f>
        <v/>
      </c>
      <c r="C140" s="43">
        <f>IF('TENAGA KERJA'!I139="Tidak",0,('TENAGA KERJA'!K139+'TENAGA KERJA'!L139))</f>
        <v>0</v>
      </c>
      <c r="D140" s="43">
        <f>C140*SETTING!$C$10</f>
        <v>0</v>
      </c>
      <c r="E140" s="43">
        <f>C140*SETTING!$C$11</f>
        <v>0</v>
      </c>
      <c r="F140" s="43">
        <f>C140*SETTING!$C$12</f>
        <v>0</v>
      </c>
      <c r="G140" s="43">
        <f>C140*SETTING!$C$13</f>
        <v>0</v>
      </c>
      <c r="H140" s="43"/>
      <c r="I140" s="43"/>
      <c r="J140" s="44">
        <f t="shared" si="4"/>
        <v>0</v>
      </c>
    </row>
    <row r="141" spans="1:18">
      <c r="A141" s="45" t="str">
        <f>IF('TENAGA KERJA'!A140=0,"",'TENAGA KERJA'!A140)</f>
        <v/>
      </c>
      <c r="B141" s="24" t="str">
        <f>IF('TENAGA KERJA'!B140=0,"",'TENAGA KERJA'!B140)</f>
        <v/>
      </c>
      <c r="C141" s="43">
        <f>IF('TENAGA KERJA'!I140="Tidak",0,('TENAGA KERJA'!K140+'TENAGA KERJA'!L140))</f>
        <v>0</v>
      </c>
      <c r="D141" s="43">
        <f>C141*SETTING!$C$10</f>
        <v>0</v>
      </c>
      <c r="E141" s="43">
        <f>C141*SETTING!$C$11</f>
        <v>0</v>
      </c>
      <c r="F141" s="43">
        <f>C141*SETTING!$C$12</f>
        <v>0</v>
      </c>
      <c r="G141" s="43">
        <f>C141*SETTING!$C$13</f>
        <v>0</v>
      </c>
      <c r="H141" s="43"/>
      <c r="I141" s="43"/>
      <c r="J141" s="44">
        <f t="shared" si="4"/>
        <v>0</v>
      </c>
    </row>
    <row r="142" spans="1:18">
      <c r="A142" s="45" t="str">
        <f>IF('TENAGA KERJA'!A141=0,"",'TENAGA KERJA'!A141)</f>
        <v/>
      </c>
      <c r="B142" s="24" t="str">
        <f>IF('TENAGA KERJA'!B141=0,"",'TENAGA KERJA'!B141)</f>
        <v/>
      </c>
      <c r="C142" s="43">
        <f>IF('TENAGA KERJA'!I141="Tidak",0,('TENAGA KERJA'!K141+'TENAGA KERJA'!L141))</f>
        <v>0</v>
      </c>
      <c r="D142" s="43">
        <f>C142*SETTING!$C$10</f>
        <v>0</v>
      </c>
      <c r="E142" s="43">
        <f>C142*SETTING!$C$11</f>
        <v>0</v>
      </c>
      <c r="F142" s="43">
        <f>C142*SETTING!$C$12</f>
        <v>0</v>
      </c>
      <c r="G142" s="43">
        <f>C142*SETTING!$C$13</f>
        <v>0</v>
      </c>
      <c r="H142" s="43"/>
      <c r="I142" s="43"/>
      <c r="J142" s="44">
        <f t="shared" si="4"/>
        <v>0</v>
      </c>
    </row>
    <row r="143" spans="1:18">
      <c r="A143" s="45" t="str">
        <f>IF('TENAGA KERJA'!A142=0,"",'TENAGA KERJA'!A142)</f>
        <v/>
      </c>
      <c r="B143" s="24" t="str">
        <f>IF('TENAGA KERJA'!B142=0,"",'TENAGA KERJA'!B142)</f>
        <v/>
      </c>
      <c r="C143" s="43">
        <f>IF('TENAGA KERJA'!I142="Tidak",0,('TENAGA KERJA'!K142+'TENAGA KERJA'!L142))</f>
        <v>0</v>
      </c>
      <c r="D143" s="43">
        <f>C143*SETTING!$C$10</f>
        <v>0</v>
      </c>
      <c r="E143" s="43">
        <f>C143*SETTING!$C$11</f>
        <v>0</v>
      </c>
      <c r="F143" s="43">
        <f>C143*SETTING!$C$12</f>
        <v>0</v>
      </c>
      <c r="G143" s="43">
        <f>C143*SETTING!$C$13</f>
        <v>0</v>
      </c>
      <c r="H143" s="43"/>
      <c r="I143" s="43"/>
      <c r="J143" s="44">
        <f t="shared" si="4"/>
        <v>0</v>
      </c>
      <c r="K143" s="151" t="e">
        <f>SUM(#REF!)</f>
        <v>#REF!</v>
      </c>
      <c r="L143" s="151" t="e">
        <f>SUM(#REF!)</f>
        <v>#REF!</v>
      </c>
      <c r="M143" s="151" t="e">
        <f>SUM(#REF!)</f>
        <v>#REF!</v>
      </c>
      <c r="N143" s="151" t="e">
        <f>SUM(#REF!)</f>
        <v>#REF!</v>
      </c>
      <c r="O143" s="151" t="e">
        <f>SUM(#REF!)</f>
        <v>#REF!</v>
      </c>
      <c r="P143" s="151" t="e">
        <f>SUM(#REF!)</f>
        <v>#REF!</v>
      </c>
      <c r="Q143" s="151" t="e">
        <f>SUM(#REF!)</f>
        <v>#REF!</v>
      </c>
      <c r="R143" s="151" t="e">
        <f t="shared" ref="R143" si="5">SUM(K103:K143)</f>
        <v>#REF!</v>
      </c>
    </row>
    <row r="144" spans="1:18">
      <c r="A144" s="45" t="str">
        <f>IF('TENAGA KERJA'!A143=0,"",'TENAGA KERJA'!A143)</f>
        <v/>
      </c>
      <c r="B144" s="24" t="str">
        <f>IF('TENAGA KERJA'!B143=0,"",'TENAGA KERJA'!B143)</f>
        <v/>
      </c>
      <c r="C144" s="43">
        <f>IF('TENAGA KERJA'!I143="Tidak",0,('TENAGA KERJA'!K143+'TENAGA KERJA'!L143))</f>
        <v>0</v>
      </c>
      <c r="D144" s="43">
        <f>C144*SETTING!$C$10</f>
        <v>0</v>
      </c>
      <c r="E144" s="43">
        <f>C144*SETTING!$C$11</f>
        <v>0</v>
      </c>
      <c r="F144" s="43">
        <f>C144*SETTING!$C$12</f>
        <v>0</v>
      </c>
      <c r="G144" s="43">
        <f>C144*SETTING!$C$13</f>
        <v>0</v>
      </c>
      <c r="H144" s="43"/>
      <c r="I144" s="43"/>
      <c r="J144" s="44">
        <f t="shared" si="4"/>
        <v>0</v>
      </c>
    </row>
    <row r="145" spans="1:11">
      <c r="A145" s="45" t="str">
        <f>IF('TENAGA KERJA'!A144=0,"",'TENAGA KERJA'!A144)</f>
        <v/>
      </c>
      <c r="B145" s="24" t="str">
        <f>IF('TENAGA KERJA'!B144=0,"",'TENAGA KERJA'!B144)</f>
        <v/>
      </c>
      <c r="C145" s="208">
        <f>IF('TENAGA KERJA'!I144="Tidak",0,('TENAGA KERJA'!K144+'TENAGA KERJA'!L144))</f>
        <v>0</v>
      </c>
      <c r="D145" s="43">
        <f>C145*SETTING!$C$10</f>
        <v>0</v>
      </c>
      <c r="E145" s="43">
        <f>C145*SETTING!$C$11</f>
        <v>0</v>
      </c>
      <c r="F145" s="43">
        <f>C145*SETTING!$C$12</f>
        <v>0</v>
      </c>
      <c r="G145" s="43">
        <f>C145*SETTING!$C$13</f>
        <v>0</v>
      </c>
      <c r="H145" s="43"/>
      <c r="I145" s="43"/>
      <c r="J145" s="44">
        <f t="shared" si="4"/>
        <v>0</v>
      </c>
    </row>
    <row r="146" spans="1:11">
      <c r="A146" s="45" t="str">
        <f>IF('TENAGA KERJA'!A145=0,"",'TENAGA KERJA'!A145)</f>
        <v/>
      </c>
      <c r="B146" s="24" t="str">
        <f>IF('TENAGA KERJA'!B145=0,"",'TENAGA KERJA'!B145)</f>
        <v/>
      </c>
      <c r="C146" s="43">
        <f>IF('TENAGA KERJA'!I145="Tidak",0,('TENAGA KERJA'!K145+'TENAGA KERJA'!L145))</f>
        <v>0</v>
      </c>
      <c r="D146" s="43">
        <f>C146*SETTING!$C$10</f>
        <v>0</v>
      </c>
      <c r="E146" s="43">
        <f>C146*SETTING!$C$11</f>
        <v>0</v>
      </c>
      <c r="F146" s="43">
        <f>C146*SETTING!$C$12</f>
        <v>0</v>
      </c>
      <c r="G146" s="43">
        <f>C146*SETTING!$C$13</f>
        <v>0</v>
      </c>
      <c r="H146" s="43"/>
      <c r="I146" s="43"/>
      <c r="J146" s="44">
        <f t="shared" si="4"/>
        <v>0</v>
      </c>
    </row>
    <row r="147" spans="1:11">
      <c r="A147" s="45" t="str">
        <f>IF('TENAGA KERJA'!A146=0,"",'TENAGA KERJA'!A146)</f>
        <v/>
      </c>
      <c r="B147" s="24" t="str">
        <f>IF('TENAGA KERJA'!B146=0,"",'TENAGA KERJA'!B146)</f>
        <v/>
      </c>
      <c r="C147" s="43">
        <f>IF('TENAGA KERJA'!I146="Tidak",0,('TENAGA KERJA'!K146+'TENAGA KERJA'!L146))</f>
        <v>0</v>
      </c>
      <c r="D147" s="43">
        <f>C147*SETTING!$C$10</f>
        <v>0</v>
      </c>
      <c r="E147" s="43">
        <f>C147*SETTING!$C$11</f>
        <v>0</v>
      </c>
      <c r="F147" s="43">
        <f>C147*SETTING!$C$12</f>
        <v>0</v>
      </c>
      <c r="G147" s="43">
        <f>C147*SETTING!$C$13</f>
        <v>0</v>
      </c>
      <c r="H147" s="43"/>
      <c r="I147" s="43"/>
      <c r="J147" s="44">
        <f t="shared" si="4"/>
        <v>0</v>
      </c>
    </row>
    <row r="148" spans="1:11">
      <c r="A148" s="45" t="str">
        <f>IF('TENAGA KERJA'!A147=0,"",'TENAGA KERJA'!A147)</f>
        <v/>
      </c>
      <c r="B148" s="24" t="str">
        <f>IF('TENAGA KERJA'!B147=0,"",'TENAGA KERJA'!B147)</f>
        <v/>
      </c>
      <c r="C148" s="43">
        <f>IF('TENAGA KERJA'!I147="Tidak",0,('TENAGA KERJA'!K147+'TENAGA KERJA'!L147))</f>
        <v>0</v>
      </c>
      <c r="D148" s="43">
        <f>C148*SETTING!$C$10</f>
        <v>0</v>
      </c>
      <c r="E148" s="43">
        <f>C148*SETTING!$C$11</f>
        <v>0</v>
      </c>
      <c r="F148" s="43">
        <f>C148*SETTING!$C$12</f>
        <v>0</v>
      </c>
      <c r="G148" s="43">
        <f>C148*SETTING!$C$13</f>
        <v>0</v>
      </c>
      <c r="H148" s="43"/>
      <c r="I148" s="43"/>
      <c r="J148" s="44">
        <f t="shared" si="4"/>
        <v>0</v>
      </c>
    </row>
    <row r="149" spans="1:11">
      <c r="A149" s="45" t="str">
        <f>IF('TENAGA KERJA'!A148=0,"",'TENAGA KERJA'!A148)</f>
        <v/>
      </c>
      <c r="B149" s="24" t="str">
        <f>IF('TENAGA KERJA'!B148=0,"",'TENAGA KERJA'!B148)</f>
        <v/>
      </c>
      <c r="C149" s="43">
        <f>IF('TENAGA KERJA'!I148="Tidak",0,('TENAGA KERJA'!K148+'TENAGA KERJA'!L148))</f>
        <v>0</v>
      </c>
      <c r="D149" s="43">
        <f>C149*SETTING!$C$10</f>
        <v>0</v>
      </c>
      <c r="E149" s="43">
        <f>C149*SETTING!$C$11</f>
        <v>0</v>
      </c>
      <c r="F149" s="43">
        <f>C149*SETTING!$C$12</f>
        <v>0</v>
      </c>
      <c r="G149" s="43">
        <f>C149*SETTING!$C$13</f>
        <v>0</v>
      </c>
      <c r="H149" s="43"/>
      <c r="I149" s="43"/>
      <c r="J149" s="44">
        <f t="shared" si="4"/>
        <v>0</v>
      </c>
    </row>
    <row r="150" spans="1:11">
      <c r="A150" s="45" t="str">
        <f>IF('TENAGA KERJA'!A149=0,"",'TENAGA KERJA'!A149)</f>
        <v/>
      </c>
      <c r="B150" s="24" t="str">
        <f>IF('TENAGA KERJA'!B149=0,"",'TENAGA KERJA'!B149)</f>
        <v/>
      </c>
      <c r="C150" s="43">
        <f>IF('TENAGA KERJA'!I149="Tidak",0,('TENAGA KERJA'!K149+'TENAGA KERJA'!L149))</f>
        <v>0</v>
      </c>
      <c r="D150" s="43">
        <f>C150*SETTING!$C$10</f>
        <v>0</v>
      </c>
      <c r="E150" s="43">
        <f>C150*SETTING!$C$11</f>
        <v>0</v>
      </c>
      <c r="F150" s="43">
        <f>C150*SETTING!$C$12</f>
        <v>0</v>
      </c>
      <c r="G150" s="43">
        <f>C150*SETTING!$C$13</f>
        <v>0</v>
      </c>
      <c r="H150" s="43"/>
      <c r="I150" s="43"/>
      <c r="J150" s="44">
        <f t="shared" si="4"/>
        <v>0</v>
      </c>
    </row>
    <row r="151" spans="1:11">
      <c r="A151" s="45" t="str">
        <f>IF('TENAGA KERJA'!A150=0,"",'TENAGA KERJA'!A150)</f>
        <v/>
      </c>
      <c r="B151" s="24" t="str">
        <f>IF('TENAGA KERJA'!B150=0,"",'TENAGA KERJA'!B150)</f>
        <v/>
      </c>
      <c r="C151" s="43">
        <f>IF('TENAGA KERJA'!I150="Tidak",0,('TENAGA KERJA'!K150+'TENAGA KERJA'!L150))</f>
        <v>0</v>
      </c>
      <c r="D151" s="43">
        <f>C151*SETTING!$C$10</f>
        <v>0</v>
      </c>
      <c r="E151" s="43">
        <f>C151*SETTING!$C$11</f>
        <v>0</v>
      </c>
      <c r="F151" s="43">
        <f>C151*SETTING!$C$12</f>
        <v>0</v>
      </c>
      <c r="G151" s="43">
        <f>C151*SETTING!$C$13</f>
        <v>0</v>
      </c>
      <c r="H151" s="43"/>
      <c r="I151" s="43"/>
      <c r="J151" s="44">
        <f t="shared" si="4"/>
        <v>0</v>
      </c>
    </row>
    <row r="152" spans="1:11">
      <c r="A152" s="45" t="str">
        <f>IF('TENAGA KERJA'!A151=0,"",'TENAGA KERJA'!A151)</f>
        <v/>
      </c>
      <c r="B152" s="24" t="str">
        <f>IF('TENAGA KERJA'!B151=0,"",'TENAGA KERJA'!B151)</f>
        <v/>
      </c>
      <c r="C152" s="43">
        <f>IF('TENAGA KERJA'!I151="Tidak",0,('TENAGA KERJA'!K151+'TENAGA KERJA'!L151))</f>
        <v>0</v>
      </c>
      <c r="D152" s="43">
        <f>C152*SETTING!$C$10</f>
        <v>0</v>
      </c>
      <c r="E152" s="43">
        <f>C152*SETTING!$C$11</f>
        <v>0</v>
      </c>
      <c r="F152" s="43">
        <f>C152*SETTING!$C$12</f>
        <v>0</v>
      </c>
      <c r="G152" s="43">
        <f>C152*SETTING!$C$13</f>
        <v>0</v>
      </c>
      <c r="H152" s="43"/>
      <c r="I152" s="43"/>
      <c r="J152" s="44">
        <f t="shared" si="4"/>
        <v>0</v>
      </c>
    </row>
    <row r="153" spans="1:11">
      <c r="A153" s="45" t="str">
        <f>IF('TENAGA KERJA'!A152=0,"",'TENAGA KERJA'!A152)</f>
        <v/>
      </c>
      <c r="B153" s="24" t="str">
        <f>IF('TENAGA KERJA'!B152=0,"",'TENAGA KERJA'!B152)</f>
        <v/>
      </c>
      <c r="C153" s="43">
        <f>IF('TENAGA KERJA'!I152="Tidak",0,('TENAGA KERJA'!K152+'TENAGA KERJA'!L152))</f>
        <v>0</v>
      </c>
      <c r="D153" s="43">
        <f>C153*SETTING!$C$10</f>
        <v>0</v>
      </c>
      <c r="E153" s="43">
        <f>C153*SETTING!$C$11</f>
        <v>0</v>
      </c>
      <c r="F153" s="43">
        <f>C153*SETTING!$C$12</f>
        <v>0</v>
      </c>
      <c r="G153" s="43">
        <f>C153*SETTING!$C$13</f>
        <v>0</v>
      </c>
      <c r="H153" s="43"/>
      <c r="I153" s="43"/>
      <c r="J153" s="44">
        <f t="shared" si="4"/>
        <v>0</v>
      </c>
    </row>
    <row r="154" spans="1:11">
      <c r="A154" s="45" t="str">
        <f>IF('TENAGA KERJA'!A153=0,"",'TENAGA KERJA'!A153)</f>
        <v/>
      </c>
      <c r="B154" s="24" t="str">
        <f>IF('TENAGA KERJA'!B153=0,"",'TENAGA KERJA'!B153)</f>
        <v/>
      </c>
      <c r="C154" s="43">
        <f>IF('TENAGA KERJA'!I153="Tidak",0,('TENAGA KERJA'!K153+'TENAGA KERJA'!L153))</f>
        <v>0</v>
      </c>
      <c r="D154" s="43">
        <f>C154*SETTING!$C$10</f>
        <v>0</v>
      </c>
      <c r="E154" s="43">
        <f>C154*SETTING!$C$11</f>
        <v>0</v>
      </c>
      <c r="F154" s="43">
        <f>C154*SETTING!$C$12</f>
        <v>0</v>
      </c>
      <c r="G154" s="43">
        <f>C154*SETTING!$C$13</f>
        <v>0</v>
      </c>
      <c r="H154" s="43"/>
      <c r="I154" s="43"/>
      <c r="J154" s="44">
        <f t="shared" si="4"/>
        <v>0</v>
      </c>
    </row>
    <row r="155" spans="1:11">
      <c r="A155" s="45" t="str">
        <f>IF('TENAGA KERJA'!A154=0,"",'TENAGA KERJA'!A154)</f>
        <v/>
      </c>
      <c r="B155" s="24" t="str">
        <f>IF('TENAGA KERJA'!B154=0,"",'TENAGA KERJA'!B154)</f>
        <v/>
      </c>
      <c r="C155" s="208">
        <f>IF('TENAGA KERJA'!I154="Tidak",0,('TENAGA KERJA'!K154+'TENAGA KERJA'!L154))+1891337</f>
        <v>1891337</v>
      </c>
      <c r="D155" s="43">
        <f>C155*SETTING!$C$10</f>
        <v>16832.899300000001</v>
      </c>
      <c r="E155" s="43">
        <f>C155*SETTING!$C$11</f>
        <v>5674.0110000000004</v>
      </c>
      <c r="F155" s="43">
        <f>C155*SETTING!$C$12</f>
        <v>69979.468999999997</v>
      </c>
      <c r="G155" s="43">
        <f>C155*SETTING!$C$13</f>
        <v>37826.74</v>
      </c>
      <c r="H155" s="43"/>
      <c r="I155" s="43"/>
      <c r="J155" s="44">
        <f t="shared" si="4"/>
        <v>130313.11929999999</v>
      </c>
      <c r="K155" s="151">
        <v>1891337</v>
      </c>
    </row>
    <row r="156" spans="1:11">
      <c r="A156" s="45" t="str">
        <f>IF('TENAGA KERJA'!A155=0,"",'TENAGA KERJA'!A155)</f>
        <v/>
      </c>
      <c r="B156" s="24" t="str">
        <f>IF('TENAGA KERJA'!B155=0,"",'TENAGA KERJA'!B155)</f>
        <v/>
      </c>
      <c r="C156" s="43">
        <f>IF('TENAGA KERJA'!I155="Tidak",0,('TENAGA KERJA'!K155+'TENAGA KERJA'!L155))</f>
        <v>0</v>
      </c>
      <c r="D156" s="43">
        <f>C156*SETTING!$C$10</f>
        <v>0</v>
      </c>
      <c r="E156" s="43">
        <f>C156*SETTING!$C$11</f>
        <v>0</v>
      </c>
      <c r="F156" s="43">
        <f>C156*SETTING!$C$12</f>
        <v>0</v>
      </c>
      <c r="G156" s="43">
        <f>C156*SETTING!$C$13</f>
        <v>0</v>
      </c>
      <c r="H156" s="43"/>
      <c r="I156" s="43"/>
      <c r="J156" s="44">
        <f t="shared" si="4"/>
        <v>0</v>
      </c>
    </row>
    <row r="157" spans="1:11">
      <c r="A157" s="45" t="str">
        <f>IF('TENAGA KERJA'!A156=0,"",'TENAGA KERJA'!A156)</f>
        <v/>
      </c>
      <c r="B157" s="24" t="str">
        <f>IF('TENAGA KERJA'!B156=0,"",'TENAGA KERJA'!B156)</f>
        <v/>
      </c>
      <c r="C157" s="43">
        <f>IF('TENAGA KERJA'!I156="Tidak",0,('TENAGA KERJA'!K156+'TENAGA KERJA'!L156))</f>
        <v>0</v>
      </c>
      <c r="D157" s="43">
        <f>C157*SETTING!$C$10</f>
        <v>0</v>
      </c>
      <c r="E157" s="43">
        <f>C157*SETTING!$C$11</f>
        <v>0</v>
      </c>
      <c r="F157" s="43">
        <f>C157*SETTING!$C$12</f>
        <v>0</v>
      </c>
      <c r="G157" s="43">
        <f>C157*SETTING!$C$13</f>
        <v>0</v>
      </c>
      <c r="H157" s="43"/>
      <c r="I157" s="43"/>
      <c r="J157" s="44">
        <f t="shared" si="4"/>
        <v>0</v>
      </c>
    </row>
    <row r="158" spans="1:11">
      <c r="A158" s="45" t="str">
        <f>IF('TENAGA KERJA'!A157=0,"",'TENAGA KERJA'!A157)</f>
        <v/>
      </c>
      <c r="B158" s="24" t="str">
        <f>IF('TENAGA KERJA'!B157=0,"",'TENAGA KERJA'!B157)</f>
        <v/>
      </c>
      <c r="C158" s="43">
        <f>IF('TENAGA KERJA'!I157="Tidak",0,('TENAGA KERJA'!K157+'TENAGA KERJA'!L157))</f>
        <v>0</v>
      </c>
      <c r="D158" s="43">
        <f>C158*SETTING!$C$10</f>
        <v>0</v>
      </c>
      <c r="E158" s="43">
        <f>C158*SETTING!$C$11</f>
        <v>0</v>
      </c>
      <c r="F158" s="43">
        <f>C158*SETTING!$C$12</f>
        <v>0</v>
      </c>
      <c r="G158" s="43">
        <f>C158*SETTING!$C$13</f>
        <v>0</v>
      </c>
      <c r="H158" s="43"/>
      <c r="I158" s="43"/>
      <c r="J158" s="44">
        <f t="shared" si="4"/>
        <v>0</v>
      </c>
    </row>
    <row r="159" spans="1:11">
      <c r="A159" s="45" t="str">
        <f>IF('TENAGA KERJA'!A158=0,"",'TENAGA KERJA'!A158)</f>
        <v/>
      </c>
      <c r="B159" s="24" t="str">
        <f>IF('TENAGA KERJA'!B158=0,"",'TENAGA KERJA'!B158)</f>
        <v/>
      </c>
      <c r="C159" s="43">
        <f>IF('TENAGA KERJA'!I158="Tidak",0,('TENAGA KERJA'!K158+'TENAGA KERJA'!L158))</f>
        <v>0</v>
      </c>
      <c r="D159" s="43">
        <f>C159*SETTING!$C$10</f>
        <v>0</v>
      </c>
      <c r="E159" s="43">
        <f>C159*SETTING!$C$11</f>
        <v>0</v>
      </c>
      <c r="F159" s="43">
        <f>C159*SETTING!$C$12</f>
        <v>0</v>
      </c>
      <c r="G159" s="43">
        <f>C159*SETTING!$C$13</f>
        <v>0</v>
      </c>
      <c r="H159" s="43"/>
      <c r="I159" s="43"/>
      <c r="J159" s="44">
        <f t="shared" si="4"/>
        <v>0</v>
      </c>
    </row>
    <row r="160" spans="1:11">
      <c r="A160" s="45" t="str">
        <f>IF('TENAGA KERJA'!A159=0,"",'TENAGA KERJA'!A159)</f>
        <v/>
      </c>
      <c r="B160" s="24" t="str">
        <f>IF('TENAGA KERJA'!B159=0,"",'TENAGA KERJA'!B159)</f>
        <v/>
      </c>
      <c r="C160" s="43">
        <f>IF('TENAGA KERJA'!I159="Tidak",0,('TENAGA KERJA'!K159+'TENAGA KERJA'!L159))</f>
        <v>0</v>
      </c>
      <c r="D160" s="43">
        <f>C160*SETTING!$C$10</f>
        <v>0</v>
      </c>
      <c r="E160" s="43">
        <f>C160*SETTING!$C$11</f>
        <v>0</v>
      </c>
      <c r="F160" s="43">
        <f>C160*SETTING!$C$12</f>
        <v>0</v>
      </c>
      <c r="G160" s="43">
        <f>C160*SETTING!$C$13</f>
        <v>0</v>
      </c>
      <c r="H160" s="43"/>
      <c r="I160" s="43"/>
      <c r="J160" s="44">
        <f t="shared" si="4"/>
        <v>0</v>
      </c>
    </row>
    <row r="161" spans="1:14">
      <c r="A161" s="45" t="str">
        <f>IF('TENAGA KERJA'!A160=0,"",'TENAGA KERJA'!A160)</f>
        <v/>
      </c>
      <c r="B161" s="24" t="str">
        <f>IF('TENAGA KERJA'!B160=0,"",'TENAGA KERJA'!B160)</f>
        <v/>
      </c>
      <c r="C161" s="43">
        <f>IF('TENAGA KERJA'!I160="Tidak",0,('TENAGA KERJA'!K160+'TENAGA KERJA'!L160))</f>
        <v>0</v>
      </c>
      <c r="D161" s="43">
        <f>C161*SETTING!$C$10</f>
        <v>0</v>
      </c>
      <c r="E161" s="43">
        <f>C161*SETTING!$C$11</f>
        <v>0</v>
      </c>
      <c r="F161" s="43">
        <f>C161*SETTING!$C$12</f>
        <v>0</v>
      </c>
      <c r="G161" s="43">
        <f>C161*SETTING!$C$13</f>
        <v>0</v>
      </c>
      <c r="H161" s="43"/>
      <c r="I161" s="43"/>
      <c r="J161" s="44">
        <f t="shared" si="4"/>
        <v>0</v>
      </c>
    </row>
    <row r="162" spans="1:14">
      <c r="A162" s="45" t="str">
        <f>IF('TENAGA KERJA'!A161=0,"",'TENAGA KERJA'!A161)</f>
        <v/>
      </c>
      <c r="B162" s="24" t="str">
        <f>IF('TENAGA KERJA'!B161=0,"",'TENAGA KERJA'!B161)</f>
        <v/>
      </c>
      <c r="C162" s="43">
        <f>IF('TENAGA KERJA'!I161="Tidak",0,('TENAGA KERJA'!K161+'TENAGA KERJA'!L161))</f>
        <v>0</v>
      </c>
      <c r="D162" s="43">
        <f>C162*SETTING!$C$10</f>
        <v>0</v>
      </c>
      <c r="E162" s="43">
        <f>C162*SETTING!$C$11</f>
        <v>0</v>
      </c>
      <c r="F162" s="43">
        <f>C162*SETTING!$C$12</f>
        <v>0</v>
      </c>
      <c r="G162" s="43">
        <f>C162*SETTING!$C$13</f>
        <v>0</v>
      </c>
      <c r="H162" s="43"/>
      <c r="I162" s="43"/>
      <c r="J162" s="44">
        <f t="shared" si="4"/>
        <v>0</v>
      </c>
    </row>
    <row r="163" spans="1:14">
      <c r="A163" s="45" t="str">
        <f>IF('TENAGA KERJA'!A162=0,"",'TENAGA KERJA'!A162)</f>
        <v/>
      </c>
      <c r="B163" s="24" t="str">
        <f>IF('TENAGA KERJA'!B162=0,"",'TENAGA KERJA'!B162)</f>
        <v/>
      </c>
      <c r="C163" s="43">
        <f>IF('TENAGA KERJA'!I162="Tidak",0,('TENAGA KERJA'!K162+'TENAGA KERJA'!L162))</f>
        <v>0</v>
      </c>
      <c r="D163" s="43">
        <f>C163*SETTING!$C$10</f>
        <v>0</v>
      </c>
      <c r="E163" s="43">
        <f>C163*SETTING!$C$11</f>
        <v>0</v>
      </c>
      <c r="F163" s="43">
        <f>C163*SETTING!$C$12</f>
        <v>0</v>
      </c>
      <c r="G163" s="43">
        <f>C163*SETTING!$C$13</f>
        <v>0</v>
      </c>
      <c r="H163" s="43"/>
      <c r="I163" s="43"/>
      <c r="J163" s="44">
        <f t="shared" si="4"/>
        <v>0</v>
      </c>
    </row>
    <row r="164" spans="1:14">
      <c r="A164" s="45" t="str">
        <f>IF('TENAGA KERJA'!A163=0,"",'TENAGA KERJA'!A163)</f>
        <v/>
      </c>
      <c r="B164" s="24" t="str">
        <f>IF('TENAGA KERJA'!B163=0,"",'TENAGA KERJA'!B163)</f>
        <v/>
      </c>
      <c r="C164" s="43">
        <f>IF('TENAGA KERJA'!I163="Tidak",0,('TENAGA KERJA'!K163+'TENAGA KERJA'!L163))</f>
        <v>0</v>
      </c>
      <c r="D164" s="43">
        <f>C164*SETTING!$C$10</f>
        <v>0</v>
      </c>
      <c r="E164" s="43">
        <f>C164*SETTING!$C$11</f>
        <v>0</v>
      </c>
      <c r="F164" s="43">
        <f>C164*SETTING!$C$12</f>
        <v>0</v>
      </c>
      <c r="G164" s="43">
        <f>C164*SETTING!$C$13</f>
        <v>0</v>
      </c>
      <c r="H164" s="43"/>
      <c r="I164" s="43"/>
      <c r="J164" s="44">
        <f t="shared" si="4"/>
        <v>0</v>
      </c>
    </row>
    <row r="165" spans="1:14">
      <c r="A165" s="45" t="str">
        <f>IF('TENAGA KERJA'!A164=0,"",'TENAGA KERJA'!A164)</f>
        <v/>
      </c>
      <c r="B165" s="24" t="str">
        <f>IF('TENAGA KERJA'!B164=0,"",'TENAGA KERJA'!B164)</f>
        <v/>
      </c>
      <c r="C165" s="208">
        <f>IF('TENAGA KERJA'!I164="Tidak",0,('TENAGA KERJA'!K164+'TENAGA KERJA'!L164))</f>
        <v>0</v>
      </c>
      <c r="D165" s="43">
        <f>C165*SETTING!$C$10</f>
        <v>0</v>
      </c>
      <c r="E165" s="43">
        <f>C165*SETTING!$C$11</f>
        <v>0</v>
      </c>
      <c r="F165" s="43">
        <f>C165*SETTING!$C$12</f>
        <v>0</v>
      </c>
      <c r="G165" s="43">
        <f>C165*SETTING!$C$13</f>
        <v>0</v>
      </c>
      <c r="H165" s="43"/>
      <c r="I165" s="43"/>
      <c r="J165" s="44">
        <f t="shared" si="4"/>
        <v>0</v>
      </c>
      <c r="K165" s="151">
        <f>SUM(G133:G164)</f>
        <v>37826.74</v>
      </c>
      <c r="L165" s="151">
        <f>SUM(E133:E164)-E161</f>
        <v>5674.0110000000004</v>
      </c>
      <c r="M165" s="151">
        <f>SUM(F133:F164)-F161</f>
        <v>69979.468999999997</v>
      </c>
      <c r="N165" s="151">
        <f>SUM(G133:G164)-G161</f>
        <v>37826.74</v>
      </c>
    </row>
    <row r="166" spans="1:14">
      <c r="A166" s="45" t="str">
        <f>IF('TENAGA KERJA'!A165=0,"",'TENAGA KERJA'!A165)</f>
        <v/>
      </c>
      <c r="B166" s="24" t="str">
        <f>IF('TENAGA KERJA'!B165=0,"",'TENAGA KERJA'!B165)</f>
        <v/>
      </c>
      <c r="C166" s="43">
        <f>IF('TENAGA KERJA'!I165="Tidak",0,('TENAGA KERJA'!K165+'TENAGA KERJA'!L165))</f>
        <v>0</v>
      </c>
      <c r="D166" s="43">
        <f>C166*SETTING!$C$10</f>
        <v>0</v>
      </c>
      <c r="E166" s="43">
        <f>C166*SETTING!$C$11</f>
        <v>0</v>
      </c>
      <c r="F166" s="43">
        <f>C166*SETTING!$C$12</f>
        <v>0</v>
      </c>
      <c r="G166" s="43">
        <f>C166*SETTING!$C$13</f>
        <v>0</v>
      </c>
      <c r="H166" s="43"/>
      <c r="I166" s="43"/>
      <c r="J166" s="44">
        <f t="shared" si="4"/>
        <v>0</v>
      </c>
      <c r="N166" s="152">
        <v>2739802.26</v>
      </c>
    </row>
    <row r="167" spans="1:14">
      <c r="A167" s="45" t="str">
        <f>IF('TENAGA KERJA'!A166=0,"",'TENAGA KERJA'!A166)</f>
        <v/>
      </c>
      <c r="B167" s="24" t="str">
        <f>IF('TENAGA KERJA'!B166=0,"",'TENAGA KERJA'!B166)</f>
        <v/>
      </c>
      <c r="C167" s="43">
        <f>IF('TENAGA KERJA'!I166="Tidak",0,('TENAGA KERJA'!K166+'TENAGA KERJA'!L166))</f>
        <v>0</v>
      </c>
      <c r="D167" s="43">
        <f>C167*SETTING!$C$10</f>
        <v>0</v>
      </c>
      <c r="E167" s="43">
        <f>C167*SETTING!$C$11</f>
        <v>0</v>
      </c>
      <c r="F167" s="43">
        <f>C167*SETTING!$C$12</f>
        <v>0</v>
      </c>
      <c r="G167" s="43">
        <f>C167*SETTING!$C$13</f>
        <v>0</v>
      </c>
      <c r="H167" s="43"/>
      <c r="I167" s="43"/>
      <c r="J167" s="44">
        <f t="shared" si="4"/>
        <v>0</v>
      </c>
      <c r="K167" s="151">
        <f>C164-C166</f>
        <v>0</v>
      </c>
    </row>
    <row r="168" spans="1:14">
      <c r="A168" s="45" t="str">
        <f>IF('TENAGA KERJA'!A167=0,"",'TENAGA KERJA'!A167)</f>
        <v/>
      </c>
      <c r="B168" s="24" t="str">
        <f>IF('TENAGA KERJA'!B167=0,"",'TENAGA KERJA'!B167)</f>
        <v/>
      </c>
      <c r="C168" s="208">
        <f>IF('TENAGA KERJA'!I167="Tidak",0,('TENAGA KERJA'!K167+'TENAGA KERJA'!L167))+1891337</f>
        <v>1891337</v>
      </c>
      <c r="D168" s="43">
        <f>C168*SETTING!$C$10</f>
        <v>16832.899300000001</v>
      </c>
      <c r="E168" s="43">
        <f>C168*SETTING!$C$11</f>
        <v>5674.0110000000004</v>
      </c>
      <c r="F168" s="43">
        <f>C168*SETTING!$C$12</f>
        <v>69979.468999999997</v>
      </c>
      <c r="G168" s="43">
        <f>C168*SETTING!$C$13</f>
        <v>37826.74</v>
      </c>
      <c r="H168" s="43"/>
      <c r="I168" s="43"/>
      <c r="J168" s="44">
        <f t="shared" si="4"/>
        <v>130313.11929999999</v>
      </c>
    </row>
    <row r="169" spans="1:14">
      <c r="A169" s="45" t="str">
        <f>IF('TENAGA KERJA'!A168=0,"",'TENAGA KERJA'!A168)</f>
        <v/>
      </c>
      <c r="B169" s="24" t="str">
        <f>IF('TENAGA KERJA'!B168=0,"",'TENAGA KERJA'!B168)</f>
        <v/>
      </c>
      <c r="C169" s="43">
        <f>IF('TENAGA KERJA'!I168="Tidak",0,('TENAGA KERJA'!K168+'TENAGA KERJA'!L168))</f>
        <v>0</v>
      </c>
      <c r="D169" s="43">
        <f>C169*SETTING!$C$10</f>
        <v>0</v>
      </c>
      <c r="E169" s="43">
        <f>C169*SETTING!$C$11</f>
        <v>0</v>
      </c>
      <c r="F169" s="43">
        <f>C169*SETTING!$C$12</f>
        <v>0</v>
      </c>
      <c r="G169" s="43">
        <f>C169*SETTING!$C$13</f>
        <v>0</v>
      </c>
      <c r="H169" s="43"/>
      <c r="I169" s="43"/>
      <c r="J169" s="44">
        <f t="shared" si="4"/>
        <v>0</v>
      </c>
    </row>
    <row r="170" spans="1:14">
      <c r="A170" s="45" t="str">
        <f>IF('TENAGA KERJA'!A169=0,"",'TENAGA KERJA'!A169)</f>
        <v/>
      </c>
      <c r="B170" s="24" t="str">
        <f>IF('TENAGA KERJA'!B169=0,"",'TENAGA KERJA'!B169)</f>
        <v/>
      </c>
      <c r="C170" s="43">
        <f>IF('TENAGA KERJA'!I169="Tidak",0,('TENAGA KERJA'!K169+'TENAGA KERJA'!L169))</f>
        <v>0</v>
      </c>
      <c r="D170" s="43">
        <f>C170*SETTING!$C$10</f>
        <v>0</v>
      </c>
      <c r="E170" s="43">
        <f>C170*SETTING!$C$11</f>
        <v>0</v>
      </c>
      <c r="F170" s="43">
        <f>C170*SETTING!$C$12</f>
        <v>0</v>
      </c>
      <c r="G170" s="43">
        <f>C170*SETTING!$C$13</f>
        <v>0</v>
      </c>
      <c r="H170" s="43"/>
      <c r="I170" s="43"/>
      <c r="J170" s="44">
        <f t="shared" si="4"/>
        <v>0</v>
      </c>
    </row>
    <row r="171" spans="1:14">
      <c r="A171" s="45" t="str">
        <f>IF('TENAGA KERJA'!A170=0,"",'TENAGA KERJA'!A170)</f>
        <v/>
      </c>
      <c r="B171" s="24" t="str">
        <f>IF('TENAGA KERJA'!B170=0,"",'TENAGA KERJA'!B170)</f>
        <v/>
      </c>
      <c r="C171" s="43">
        <f>IF('TENAGA KERJA'!I170="Tidak",0,('TENAGA KERJA'!K170+'TENAGA KERJA'!L170))</f>
        <v>0</v>
      </c>
      <c r="D171" s="43">
        <f>C171*SETTING!$C$10</f>
        <v>0</v>
      </c>
      <c r="E171" s="43">
        <f>C171*SETTING!$C$11</f>
        <v>0</v>
      </c>
      <c r="F171" s="43">
        <f>C171*SETTING!$C$12</f>
        <v>0</v>
      </c>
      <c r="G171" s="43">
        <f>C171*SETTING!$C$13</f>
        <v>0</v>
      </c>
      <c r="H171" s="43"/>
      <c r="I171" s="43"/>
      <c r="J171" s="44">
        <f t="shared" si="4"/>
        <v>0</v>
      </c>
    </row>
    <row r="172" spans="1:14">
      <c r="A172" s="45" t="str">
        <f>IF('TENAGA KERJA'!A171=0,"",'TENAGA KERJA'!A171)</f>
        <v/>
      </c>
      <c r="B172" s="24" t="str">
        <f>IF('TENAGA KERJA'!B171=0,"",'TENAGA KERJA'!B171)</f>
        <v/>
      </c>
      <c r="C172" s="43">
        <f>IF('TENAGA KERJA'!I171="Tidak",0,('TENAGA KERJA'!K171+'TENAGA KERJA'!L171))</f>
        <v>0</v>
      </c>
      <c r="D172" s="43">
        <f>C172*SETTING!$C$10</f>
        <v>0</v>
      </c>
      <c r="E172" s="43">
        <f>C172*SETTING!$C$11</f>
        <v>0</v>
      </c>
      <c r="F172" s="43">
        <f>C172*SETTING!$C$12</f>
        <v>0</v>
      </c>
      <c r="G172" s="43">
        <f>C172*SETTING!$C$13</f>
        <v>0</v>
      </c>
      <c r="H172" s="43"/>
      <c r="I172" s="43"/>
      <c r="J172" s="44">
        <f t="shared" si="4"/>
        <v>0</v>
      </c>
    </row>
    <row r="173" spans="1:14">
      <c r="A173" s="45" t="str">
        <f>IF('TENAGA KERJA'!A172=0,"",'TENAGA KERJA'!A172)</f>
        <v/>
      </c>
      <c r="B173" s="24" t="str">
        <f>IF('TENAGA KERJA'!B172=0,"",'TENAGA KERJA'!B172)</f>
        <v/>
      </c>
      <c r="C173" s="43">
        <f>IF('TENAGA KERJA'!I172="Tidak",0,('TENAGA KERJA'!K172+'TENAGA KERJA'!L172))</f>
        <v>0</v>
      </c>
      <c r="D173" s="43">
        <f>C173*SETTING!$C$10</f>
        <v>0</v>
      </c>
      <c r="E173" s="43">
        <f>C173*SETTING!$C$11</f>
        <v>0</v>
      </c>
      <c r="F173" s="43">
        <f>C173*SETTING!$C$12</f>
        <v>0</v>
      </c>
      <c r="G173" s="43">
        <f>C173*SETTING!$C$13</f>
        <v>0</v>
      </c>
      <c r="H173" s="43"/>
      <c r="I173" s="43"/>
      <c r="J173" s="44">
        <f t="shared" si="4"/>
        <v>0</v>
      </c>
    </row>
    <row r="174" spans="1:14">
      <c r="A174" s="45" t="str">
        <f>IF('TENAGA KERJA'!A173=0,"",'TENAGA KERJA'!A173)</f>
        <v/>
      </c>
      <c r="B174" s="24" t="str">
        <f>IF('TENAGA KERJA'!B173=0,"",'TENAGA KERJA'!B173)</f>
        <v/>
      </c>
      <c r="C174" s="43">
        <f>IF('TENAGA KERJA'!I173="Tidak",0,('TENAGA KERJA'!K173+'TENAGA KERJA'!L173))</f>
        <v>0</v>
      </c>
      <c r="D174" s="43">
        <f>C174*SETTING!$C$10</f>
        <v>0</v>
      </c>
      <c r="E174" s="43">
        <f>C174*SETTING!$C$11</f>
        <v>0</v>
      </c>
      <c r="F174" s="43">
        <f>C174*SETTING!$C$12</f>
        <v>0</v>
      </c>
      <c r="G174" s="43">
        <f>C174*SETTING!$C$13</f>
        <v>0</v>
      </c>
      <c r="H174" s="43"/>
      <c r="I174" s="43"/>
      <c r="J174" s="44">
        <f t="shared" si="4"/>
        <v>0</v>
      </c>
    </row>
    <row r="175" spans="1:14">
      <c r="A175" s="45" t="str">
        <f>IF('TENAGA KERJA'!A174=0,"",'TENAGA KERJA'!A174)</f>
        <v/>
      </c>
      <c r="B175" s="24" t="str">
        <f>IF('TENAGA KERJA'!B174=0,"",'TENAGA KERJA'!B174)</f>
        <v/>
      </c>
      <c r="C175" s="43">
        <f>IF('TENAGA KERJA'!I174="Tidak",0,('TENAGA KERJA'!K174+'TENAGA KERJA'!L174))</f>
        <v>0</v>
      </c>
      <c r="D175" s="43">
        <f>C175*SETTING!$C$10</f>
        <v>0</v>
      </c>
      <c r="E175" s="43">
        <f>C175*SETTING!$C$11</f>
        <v>0</v>
      </c>
      <c r="F175" s="43">
        <f>C175*SETTING!$C$12</f>
        <v>0</v>
      </c>
      <c r="G175" s="43">
        <f>C175*SETTING!$C$13</f>
        <v>0</v>
      </c>
      <c r="H175" s="43"/>
      <c r="I175" s="43"/>
      <c r="J175" s="44">
        <f t="shared" si="4"/>
        <v>0</v>
      </c>
    </row>
    <row r="176" spans="1:14">
      <c r="A176" s="45" t="str">
        <f>IF('TENAGA KERJA'!A175=0,"",'TENAGA KERJA'!A175)</f>
        <v/>
      </c>
      <c r="B176" s="24" t="str">
        <f>IF('TENAGA KERJA'!B175=0,"",'TENAGA KERJA'!B175)</f>
        <v/>
      </c>
      <c r="C176" s="43">
        <f>IF('TENAGA KERJA'!I175="Tidak",0,('TENAGA KERJA'!K175+'TENAGA KERJA'!L175))</f>
        <v>0</v>
      </c>
      <c r="D176" s="43">
        <f>C176*SETTING!$C$10</f>
        <v>0</v>
      </c>
      <c r="E176" s="43">
        <f>C176*SETTING!$C$11</f>
        <v>0</v>
      </c>
      <c r="F176" s="43">
        <f>C176*SETTING!$C$12</f>
        <v>0</v>
      </c>
      <c r="G176" s="43">
        <f>C176*SETTING!$C$13</f>
        <v>0</v>
      </c>
      <c r="H176" s="43"/>
      <c r="I176" s="43"/>
      <c r="J176" s="44">
        <f t="shared" si="4"/>
        <v>0</v>
      </c>
    </row>
    <row r="177" spans="1:10">
      <c r="A177" s="45" t="str">
        <f>IF('TENAGA KERJA'!A176=0,"",'TENAGA KERJA'!A176)</f>
        <v/>
      </c>
      <c r="B177" s="24" t="str">
        <f>IF('TENAGA KERJA'!B176=0,"",'TENAGA KERJA'!B176)</f>
        <v/>
      </c>
      <c r="C177" s="43">
        <f>IF('TENAGA KERJA'!I176="Tidak",0,('TENAGA KERJA'!K176+'TENAGA KERJA'!L176))</f>
        <v>0</v>
      </c>
      <c r="D177" s="43">
        <f>C177*SETTING!$C$10</f>
        <v>0</v>
      </c>
      <c r="E177" s="43">
        <f>C177*SETTING!$C$11</f>
        <v>0</v>
      </c>
      <c r="F177" s="43">
        <f>C177*SETTING!$C$12</f>
        <v>0</v>
      </c>
      <c r="G177" s="43">
        <f>C177*SETTING!$C$13</f>
        <v>0</v>
      </c>
      <c r="H177" s="43"/>
      <c r="I177" s="43"/>
      <c r="J177" s="44">
        <f t="shared" si="4"/>
        <v>0</v>
      </c>
    </row>
    <row r="178" spans="1:10">
      <c r="A178" s="45" t="str">
        <f>IF('TENAGA KERJA'!A177=0,"",'TENAGA KERJA'!A177)</f>
        <v/>
      </c>
      <c r="B178" s="24" t="str">
        <f>IF('TENAGA KERJA'!B177=0,"",'TENAGA KERJA'!B177)</f>
        <v/>
      </c>
      <c r="C178" s="43">
        <f>IF('TENAGA KERJA'!I177="Tidak",0,('TENAGA KERJA'!K177+'TENAGA KERJA'!L177))</f>
        <v>0</v>
      </c>
      <c r="D178" s="43">
        <f>C178*SETTING!$C$10</f>
        <v>0</v>
      </c>
      <c r="E178" s="43">
        <f>C178*SETTING!$C$11</f>
        <v>0</v>
      </c>
      <c r="F178" s="43">
        <f>C178*SETTING!$C$12</f>
        <v>0</v>
      </c>
      <c r="G178" s="43">
        <f>C178*SETTING!$C$13</f>
        <v>0</v>
      </c>
      <c r="H178" s="43"/>
      <c r="I178" s="43"/>
      <c r="J178" s="44">
        <f t="shared" si="4"/>
        <v>0</v>
      </c>
    </row>
    <row r="179" spans="1:10">
      <c r="A179" s="45" t="str">
        <f>IF('TENAGA KERJA'!A178=0,"",'TENAGA KERJA'!A178)</f>
        <v/>
      </c>
      <c r="B179" s="24" t="str">
        <f>IF('TENAGA KERJA'!B178=0,"",'TENAGA KERJA'!B178)</f>
        <v/>
      </c>
      <c r="C179" s="208">
        <f>IF('TENAGA KERJA'!I178="Tidak",0,('TENAGA KERJA'!K178+'TENAGA KERJA'!L178))+2331396</f>
        <v>2331396</v>
      </c>
      <c r="D179" s="43">
        <f>C179*SETTING!$C$10</f>
        <v>20749.4244</v>
      </c>
      <c r="E179" s="43">
        <f>C179*SETTING!$C$11</f>
        <v>6994.1880000000001</v>
      </c>
      <c r="F179" s="43">
        <f>C179*SETTING!$C$12</f>
        <v>86261.652000000002</v>
      </c>
      <c r="G179" s="43">
        <f>C179*SETTING!$C$13</f>
        <v>46627.92</v>
      </c>
      <c r="H179" s="43"/>
      <c r="I179" s="43"/>
      <c r="J179" s="44">
        <f t="shared" si="4"/>
        <v>160633.1844</v>
      </c>
    </row>
    <row r="180" spans="1:10">
      <c r="A180" s="45" t="str">
        <f>IF('TENAGA KERJA'!A179=0,"",'TENAGA KERJA'!A179)</f>
        <v/>
      </c>
      <c r="B180" s="24" t="str">
        <f>IF('TENAGA KERJA'!B179=0,"",'TENAGA KERJA'!B179)</f>
        <v/>
      </c>
      <c r="C180" s="43">
        <f>IF('TENAGA KERJA'!I179="Tidak",0,('TENAGA KERJA'!K179+'TENAGA KERJA'!L179))</f>
        <v>0</v>
      </c>
      <c r="D180" s="43">
        <f>C180*SETTING!$C$10</f>
        <v>0</v>
      </c>
      <c r="E180" s="43">
        <f>C180*SETTING!$C$11</f>
        <v>0</v>
      </c>
      <c r="F180" s="43">
        <f>C180*SETTING!$C$12</f>
        <v>0</v>
      </c>
      <c r="G180" s="43">
        <f>C180*SETTING!$C$13</f>
        <v>0</v>
      </c>
      <c r="H180" s="43"/>
      <c r="I180" s="43"/>
      <c r="J180" s="44">
        <f t="shared" si="4"/>
        <v>0</v>
      </c>
    </row>
    <row r="181" spans="1:10">
      <c r="A181" s="45" t="str">
        <f>IF('TENAGA KERJA'!A180=0,"",'TENAGA KERJA'!A180)</f>
        <v/>
      </c>
      <c r="B181" s="24" t="str">
        <f>IF('TENAGA KERJA'!B180=0,"",'TENAGA KERJA'!B180)</f>
        <v/>
      </c>
      <c r="C181" s="43">
        <f>IF('TENAGA KERJA'!I180="Tidak",0,('TENAGA KERJA'!K180+'TENAGA KERJA'!L180))</f>
        <v>0</v>
      </c>
      <c r="D181" s="43">
        <f>C181*SETTING!$C$10</f>
        <v>0</v>
      </c>
      <c r="E181" s="43">
        <f>C181*SETTING!$C$11</f>
        <v>0</v>
      </c>
      <c r="F181" s="43">
        <f>C181*SETTING!$C$12</f>
        <v>0</v>
      </c>
      <c r="G181" s="43">
        <f>C181*SETTING!$C$13</f>
        <v>0</v>
      </c>
      <c r="H181" s="43"/>
      <c r="I181" s="43"/>
      <c r="J181" s="44">
        <f t="shared" si="4"/>
        <v>0</v>
      </c>
    </row>
    <row r="182" spans="1:10">
      <c r="A182" s="45" t="str">
        <f>IF('TENAGA KERJA'!A181=0,"",'TENAGA KERJA'!A181)</f>
        <v/>
      </c>
      <c r="B182" s="24" t="str">
        <f>IF('TENAGA KERJA'!B181=0,"",'TENAGA KERJA'!B181)</f>
        <v/>
      </c>
      <c r="C182" s="43">
        <f>IF('TENAGA KERJA'!I181="Tidak",0,('TENAGA KERJA'!K181+'TENAGA KERJA'!L181))</f>
        <v>0</v>
      </c>
      <c r="D182" s="43">
        <f>C182*SETTING!$C$10</f>
        <v>0</v>
      </c>
      <c r="E182" s="43">
        <f>C182*SETTING!$C$11</f>
        <v>0</v>
      </c>
      <c r="F182" s="43">
        <f>C182*SETTING!$C$12</f>
        <v>0</v>
      </c>
      <c r="G182" s="43">
        <f>C182*SETTING!$C$13</f>
        <v>0</v>
      </c>
      <c r="H182" s="43"/>
      <c r="I182" s="43"/>
      <c r="J182" s="44">
        <f t="shared" si="4"/>
        <v>0</v>
      </c>
    </row>
    <row r="183" spans="1:10">
      <c r="A183" s="45" t="str">
        <f>IF('TENAGA KERJA'!A182=0,"",'TENAGA KERJA'!A182)</f>
        <v/>
      </c>
      <c r="B183" s="24" t="str">
        <f>IF('TENAGA KERJA'!B182=0,"",'TENAGA KERJA'!B182)</f>
        <v/>
      </c>
      <c r="C183" s="43">
        <f>IF('TENAGA KERJA'!I182="Tidak",0,('TENAGA KERJA'!K182+'TENAGA KERJA'!L182))</f>
        <v>0</v>
      </c>
      <c r="D183" s="43">
        <f>C183*SETTING!$C$10</f>
        <v>0</v>
      </c>
      <c r="E183" s="43">
        <f>C183*SETTING!$C$11</f>
        <v>0</v>
      </c>
      <c r="F183" s="43">
        <f>C183*SETTING!$C$12</f>
        <v>0</v>
      </c>
      <c r="G183" s="43">
        <f>C183*SETTING!$C$13</f>
        <v>0</v>
      </c>
      <c r="H183" s="43"/>
      <c r="I183" s="43"/>
      <c r="J183" s="44">
        <f t="shared" si="4"/>
        <v>0</v>
      </c>
    </row>
    <row r="184" spans="1:10">
      <c r="A184" s="45" t="str">
        <f>IF('TENAGA KERJA'!A183=0,"",'TENAGA KERJA'!A183)</f>
        <v/>
      </c>
      <c r="B184" s="24" t="str">
        <f>IF('TENAGA KERJA'!B183=0,"",'TENAGA KERJA'!B183)</f>
        <v/>
      </c>
      <c r="C184" s="43">
        <f>IF('TENAGA KERJA'!I183="Tidak",0,('TENAGA KERJA'!K183+'TENAGA KERJA'!L183))</f>
        <v>0</v>
      </c>
      <c r="D184" s="43">
        <f>C184*SETTING!$C$10</f>
        <v>0</v>
      </c>
      <c r="E184" s="43">
        <f>C184*SETTING!$C$11</f>
        <v>0</v>
      </c>
      <c r="F184" s="43">
        <f>C184*SETTING!$C$12</f>
        <v>0</v>
      </c>
      <c r="G184" s="43">
        <f>C184*SETTING!$C$13</f>
        <v>0</v>
      </c>
      <c r="H184" s="43"/>
      <c r="I184" s="43"/>
      <c r="J184" s="44">
        <f t="shared" si="4"/>
        <v>0</v>
      </c>
    </row>
    <row r="185" spans="1:10">
      <c r="A185" s="45" t="str">
        <f>IF('TENAGA KERJA'!A184=0,"",'TENAGA KERJA'!A184)</f>
        <v/>
      </c>
      <c r="B185" s="24" t="str">
        <f>IF('TENAGA KERJA'!B184=0,"",'TENAGA KERJA'!B184)</f>
        <v/>
      </c>
      <c r="C185" s="43">
        <f>IF('TENAGA KERJA'!I184="Tidak",0,('TENAGA KERJA'!K184+'TENAGA KERJA'!L184))</f>
        <v>0</v>
      </c>
      <c r="D185" s="43">
        <f>C185*SETTING!$C$10</f>
        <v>0</v>
      </c>
      <c r="E185" s="43">
        <f>C185*SETTING!$C$11</f>
        <v>0</v>
      </c>
      <c r="F185" s="43">
        <f>C185*SETTING!$C$12</f>
        <v>0</v>
      </c>
      <c r="G185" s="43">
        <f>C185*SETTING!$C$13</f>
        <v>0</v>
      </c>
      <c r="H185" s="43"/>
      <c r="I185" s="43"/>
      <c r="J185" s="44">
        <f t="shared" si="4"/>
        <v>0</v>
      </c>
    </row>
    <row r="186" spans="1:10">
      <c r="A186" s="45" t="str">
        <f>IF('TENAGA KERJA'!A185=0,"",'TENAGA KERJA'!A185)</f>
        <v/>
      </c>
      <c r="B186" s="24" t="str">
        <f>IF('TENAGA KERJA'!B185=0,"",'TENAGA KERJA'!B185)</f>
        <v/>
      </c>
      <c r="C186" s="43">
        <f>IF('TENAGA KERJA'!I185="Tidak",0,('TENAGA KERJA'!K185+'TENAGA KERJA'!L185))</f>
        <v>0</v>
      </c>
      <c r="D186" s="43">
        <f>C186*SETTING!$C$10</f>
        <v>0</v>
      </c>
      <c r="E186" s="43">
        <f>C186*SETTING!$C$11</f>
        <v>0</v>
      </c>
      <c r="F186" s="43">
        <f>C186*SETTING!$C$12</f>
        <v>0</v>
      </c>
      <c r="G186" s="43">
        <f>C186*SETTING!$C$13</f>
        <v>0</v>
      </c>
      <c r="H186" s="43"/>
      <c r="I186" s="43"/>
      <c r="J186" s="44">
        <f t="shared" si="4"/>
        <v>0</v>
      </c>
    </row>
    <row r="187" spans="1:10">
      <c r="A187" s="45" t="str">
        <f>IF('TENAGA KERJA'!A186=0,"",'TENAGA KERJA'!A186)</f>
        <v/>
      </c>
      <c r="B187" s="24" t="str">
        <f>IF('TENAGA KERJA'!B186=0,"",'TENAGA KERJA'!B186)</f>
        <v/>
      </c>
      <c r="C187" s="43">
        <f>IF('TENAGA KERJA'!I186="Tidak",0,('TENAGA KERJA'!K186+'TENAGA KERJA'!L186))</f>
        <v>0</v>
      </c>
      <c r="D187" s="43">
        <f>C187*SETTING!$C$10</f>
        <v>0</v>
      </c>
      <c r="E187" s="43">
        <f>C187*SETTING!$C$11</f>
        <v>0</v>
      </c>
      <c r="F187" s="43">
        <f>C187*SETTING!$C$12</f>
        <v>0</v>
      </c>
      <c r="G187" s="43">
        <f>C187*SETTING!$C$13</f>
        <v>0</v>
      </c>
      <c r="H187" s="43"/>
      <c r="I187" s="43"/>
      <c r="J187" s="44">
        <f t="shared" si="4"/>
        <v>0</v>
      </c>
    </row>
    <row r="188" spans="1:10">
      <c r="A188" s="45" t="str">
        <f>IF('TENAGA KERJA'!A187=0,"",'TENAGA KERJA'!A187)</f>
        <v/>
      </c>
      <c r="B188" s="24" t="str">
        <f>IF('TENAGA KERJA'!B187=0,"",'TENAGA KERJA'!B187)</f>
        <v/>
      </c>
      <c r="C188" s="43">
        <f>IF('TENAGA KERJA'!I187="Tidak",0,('TENAGA KERJA'!K187+'TENAGA KERJA'!L187))</f>
        <v>0</v>
      </c>
      <c r="D188" s="43">
        <f>C188*SETTING!$C$10</f>
        <v>0</v>
      </c>
      <c r="E188" s="43">
        <f>C188*SETTING!$C$11</f>
        <v>0</v>
      </c>
      <c r="F188" s="43">
        <f>C188*SETTING!$C$12</f>
        <v>0</v>
      </c>
      <c r="G188" s="43">
        <f>C188*SETTING!$C$13</f>
        <v>0</v>
      </c>
      <c r="H188" s="43"/>
      <c r="I188" s="43"/>
      <c r="J188" s="44">
        <f t="shared" si="4"/>
        <v>0</v>
      </c>
    </row>
    <row r="189" spans="1:10">
      <c r="A189" s="45" t="str">
        <f>IF('TENAGA KERJA'!A188=0,"",'TENAGA KERJA'!A188)</f>
        <v/>
      </c>
      <c r="B189" s="24" t="str">
        <f>IF('TENAGA KERJA'!B188=0,"",'TENAGA KERJA'!B188)</f>
        <v/>
      </c>
      <c r="C189" s="43">
        <f>IF('TENAGA KERJA'!I188="Tidak",0,('TENAGA KERJA'!K188+'TENAGA KERJA'!L188))</f>
        <v>0</v>
      </c>
      <c r="D189" s="43">
        <f>C189*SETTING!$C$10</f>
        <v>0</v>
      </c>
      <c r="E189" s="43">
        <f>C189*SETTING!$C$11</f>
        <v>0</v>
      </c>
      <c r="F189" s="43">
        <f>C189*SETTING!$C$12</f>
        <v>0</v>
      </c>
      <c r="G189" s="43">
        <f>C189*SETTING!$C$13</f>
        <v>0</v>
      </c>
      <c r="H189" s="43"/>
      <c r="I189" s="43"/>
      <c r="J189" s="44">
        <f t="shared" si="4"/>
        <v>0</v>
      </c>
    </row>
    <row r="190" spans="1:10">
      <c r="A190" s="45" t="str">
        <f>IF('TENAGA KERJA'!A189=0,"",'TENAGA KERJA'!A189)</f>
        <v/>
      </c>
      <c r="B190" s="24" t="str">
        <f>IF('TENAGA KERJA'!B189=0,"",'TENAGA KERJA'!B189)</f>
        <v/>
      </c>
      <c r="C190" s="43">
        <f>IF('TENAGA KERJA'!I189="Tidak",0,('TENAGA KERJA'!K189+'TENAGA KERJA'!L189))</f>
        <v>0</v>
      </c>
      <c r="D190" s="43">
        <f>C190*SETTING!$C$10</f>
        <v>0</v>
      </c>
      <c r="E190" s="43">
        <f>C190*SETTING!$C$11</f>
        <v>0</v>
      </c>
      <c r="F190" s="43">
        <f>C190*SETTING!$C$12</f>
        <v>0</v>
      </c>
      <c r="G190" s="43">
        <f>C190*SETTING!$C$13</f>
        <v>0</v>
      </c>
      <c r="H190" s="43"/>
      <c r="I190" s="43"/>
      <c r="J190" s="44">
        <f t="shared" si="4"/>
        <v>0</v>
      </c>
    </row>
    <row r="191" spans="1:10">
      <c r="A191" s="45" t="str">
        <f>IF('TENAGA KERJA'!A190=0,"",'TENAGA KERJA'!A190)</f>
        <v/>
      </c>
      <c r="B191" s="24" t="str">
        <f>IF('TENAGA KERJA'!B190=0,"",'TENAGA KERJA'!B190)</f>
        <v/>
      </c>
      <c r="C191" s="43">
        <f>IF('TENAGA KERJA'!I190="Tidak",0,('TENAGA KERJA'!K190+'TENAGA KERJA'!L190))</f>
        <v>0</v>
      </c>
      <c r="D191" s="43">
        <f>C191*SETTING!$C$10</f>
        <v>0</v>
      </c>
      <c r="E191" s="43">
        <f>C191*SETTING!$C$11</f>
        <v>0</v>
      </c>
      <c r="F191" s="43">
        <f>C191*SETTING!$C$12</f>
        <v>0</v>
      </c>
      <c r="G191" s="43">
        <f>C191*SETTING!$C$13</f>
        <v>0</v>
      </c>
      <c r="H191" s="43"/>
      <c r="I191" s="43"/>
      <c r="J191" s="44">
        <f t="shared" si="4"/>
        <v>0</v>
      </c>
    </row>
    <row r="192" spans="1:10">
      <c r="A192" s="45" t="str">
        <f>IF('TENAGA KERJA'!A191=0,"",'TENAGA KERJA'!A191)</f>
        <v/>
      </c>
      <c r="B192" s="24" t="str">
        <f>IF('TENAGA KERJA'!B191=0,"",'TENAGA KERJA'!B191)</f>
        <v/>
      </c>
      <c r="C192" s="43">
        <f>IF('TENAGA KERJA'!I191="Tidak",0,('TENAGA KERJA'!K191+'TENAGA KERJA'!L191))</f>
        <v>0</v>
      </c>
      <c r="D192" s="43">
        <f>C192*SETTING!$C$10</f>
        <v>0</v>
      </c>
      <c r="E192" s="43">
        <f>C192*SETTING!$C$11</f>
        <v>0</v>
      </c>
      <c r="F192" s="43">
        <f>C192*SETTING!$C$12</f>
        <v>0</v>
      </c>
      <c r="G192" s="43">
        <f>C192*SETTING!$C$13</f>
        <v>0</v>
      </c>
      <c r="H192" s="43"/>
      <c r="I192" s="43"/>
      <c r="J192" s="44">
        <f t="shared" si="4"/>
        <v>0</v>
      </c>
    </row>
    <row r="193" spans="1:10">
      <c r="A193" s="45" t="str">
        <f>IF('TENAGA KERJA'!A192=0,"",'TENAGA KERJA'!A192)</f>
        <v/>
      </c>
      <c r="B193" s="24" t="str">
        <f>IF('TENAGA KERJA'!B192=0,"",'TENAGA KERJA'!B192)</f>
        <v/>
      </c>
      <c r="C193" s="43">
        <f>IF('TENAGA KERJA'!I192="Tidak",0,('TENAGA KERJA'!K192+'TENAGA KERJA'!L192))</f>
        <v>0</v>
      </c>
      <c r="D193" s="43">
        <f>C193*SETTING!$C$10</f>
        <v>0</v>
      </c>
      <c r="E193" s="43">
        <f>C193*SETTING!$C$11</f>
        <v>0</v>
      </c>
      <c r="F193" s="43">
        <f>C193*SETTING!$C$12</f>
        <v>0</v>
      </c>
      <c r="G193" s="43">
        <f>C193*SETTING!$C$13</f>
        <v>0</v>
      </c>
      <c r="H193" s="43"/>
      <c r="I193" s="43"/>
      <c r="J193" s="44">
        <f t="shared" si="4"/>
        <v>0</v>
      </c>
    </row>
    <row r="194" spans="1:10">
      <c r="A194" s="45" t="str">
        <f>IF('TENAGA KERJA'!A193=0,"",'TENAGA KERJA'!A193)</f>
        <v/>
      </c>
      <c r="B194" s="24" t="str">
        <f>IF('TENAGA KERJA'!B193=0,"",'TENAGA KERJA'!B193)</f>
        <v/>
      </c>
      <c r="C194" s="43">
        <f>IF('TENAGA KERJA'!I193="Tidak",0,('TENAGA KERJA'!K193+'TENAGA KERJA'!L193))</f>
        <v>0</v>
      </c>
      <c r="D194" s="43">
        <f>C194*SETTING!$C$10</f>
        <v>0</v>
      </c>
      <c r="E194" s="43">
        <f>C194*SETTING!$C$11</f>
        <v>0</v>
      </c>
      <c r="F194" s="43">
        <f>C194*SETTING!$C$12</f>
        <v>0</v>
      </c>
      <c r="G194" s="43">
        <f>C194*SETTING!$C$13</f>
        <v>0</v>
      </c>
      <c r="H194" s="43"/>
      <c r="I194" s="43"/>
      <c r="J194" s="44">
        <f t="shared" si="4"/>
        <v>0</v>
      </c>
    </row>
    <row r="195" spans="1:10">
      <c r="A195" s="45" t="str">
        <f>IF('TENAGA KERJA'!A194=0,"",'TENAGA KERJA'!A194)</f>
        <v/>
      </c>
      <c r="B195" s="24" t="str">
        <f>IF('TENAGA KERJA'!B194=0,"",'TENAGA KERJA'!B194)</f>
        <v/>
      </c>
      <c r="C195" s="43">
        <f>IF('TENAGA KERJA'!I194="Tidak",0,('TENAGA KERJA'!K194+'TENAGA KERJA'!L194))</f>
        <v>0</v>
      </c>
      <c r="D195" s="43">
        <f>C195*SETTING!$C$10</f>
        <v>0</v>
      </c>
      <c r="E195" s="43">
        <f>C195*SETTING!$C$11</f>
        <v>0</v>
      </c>
      <c r="F195" s="43">
        <f>C195*SETTING!$C$12</f>
        <v>0</v>
      </c>
      <c r="G195" s="43">
        <f>C195*SETTING!$C$13</f>
        <v>0</v>
      </c>
      <c r="H195" s="43"/>
      <c r="I195" s="43"/>
      <c r="J195" s="44">
        <f t="shared" si="4"/>
        <v>0</v>
      </c>
    </row>
    <row r="196" spans="1:10">
      <c r="A196" s="45" t="str">
        <f>IF('TENAGA KERJA'!A195=0,"",'TENAGA KERJA'!A195)</f>
        <v/>
      </c>
      <c r="B196" s="24" t="str">
        <f>IF('TENAGA KERJA'!B195=0,"",'TENAGA KERJA'!B195)</f>
        <v/>
      </c>
      <c r="C196" s="43">
        <f>IF('TENAGA KERJA'!I195="Tidak",0,('TENAGA KERJA'!K195+'TENAGA KERJA'!L195))</f>
        <v>0</v>
      </c>
      <c r="D196" s="43">
        <f>C196*SETTING!$C$10</f>
        <v>0</v>
      </c>
      <c r="E196" s="43">
        <f>C196*SETTING!$C$11</f>
        <v>0</v>
      </c>
      <c r="F196" s="43">
        <f>C196*SETTING!$C$12</f>
        <v>0</v>
      </c>
      <c r="G196" s="43">
        <f>C196*SETTING!$C$13</f>
        <v>0</v>
      </c>
      <c r="H196" s="43"/>
      <c r="I196" s="43"/>
      <c r="J196" s="44">
        <f t="shared" si="4"/>
        <v>0</v>
      </c>
    </row>
    <row r="197" spans="1:10">
      <c r="A197" s="45" t="str">
        <f>IF('TENAGA KERJA'!A196=0,"",'TENAGA KERJA'!A196)</f>
        <v/>
      </c>
      <c r="B197" s="24" t="str">
        <f>IF('TENAGA KERJA'!B196=0,"",'TENAGA KERJA'!B196)</f>
        <v/>
      </c>
      <c r="C197" s="43">
        <f>IF('TENAGA KERJA'!I196="Tidak",0,('TENAGA KERJA'!K196+'TENAGA KERJA'!L196))</f>
        <v>0</v>
      </c>
      <c r="D197" s="43">
        <f>C197*SETTING!$C$10</f>
        <v>0</v>
      </c>
      <c r="E197" s="43">
        <f>C197*SETTING!$C$11</f>
        <v>0</v>
      </c>
      <c r="F197" s="43">
        <f>C197*SETTING!$C$12</f>
        <v>0</v>
      </c>
      <c r="G197" s="43">
        <f>C197*SETTING!$C$13</f>
        <v>0</v>
      </c>
      <c r="H197" s="43"/>
      <c r="I197" s="43"/>
      <c r="J197" s="44">
        <f t="shared" ref="J197:J210" si="6">SUM(D197:I197)</f>
        <v>0</v>
      </c>
    </row>
    <row r="198" spans="1:10">
      <c r="A198" s="45" t="str">
        <f>IF('TENAGA KERJA'!A197=0,"",'TENAGA KERJA'!A197)</f>
        <v/>
      </c>
      <c r="B198" s="24" t="str">
        <f>IF('TENAGA KERJA'!B197=0,"",'TENAGA KERJA'!B197)</f>
        <v/>
      </c>
      <c r="C198" s="43">
        <f>IF('TENAGA KERJA'!I197="Tidak",0,('TENAGA KERJA'!K197+'TENAGA KERJA'!L197))</f>
        <v>0</v>
      </c>
      <c r="D198" s="43">
        <f>C198*SETTING!$C$10</f>
        <v>0</v>
      </c>
      <c r="E198" s="43">
        <f>C198*SETTING!$C$11</f>
        <v>0</v>
      </c>
      <c r="F198" s="43">
        <f>C198*SETTING!$C$12</f>
        <v>0</v>
      </c>
      <c r="G198" s="43">
        <f>C198*SETTING!$C$13</f>
        <v>0</v>
      </c>
      <c r="H198" s="43"/>
      <c r="I198" s="43"/>
      <c r="J198" s="44">
        <f t="shared" si="6"/>
        <v>0</v>
      </c>
    </row>
    <row r="199" spans="1:10">
      <c r="A199" s="45" t="str">
        <f>IF('TENAGA KERJA'!A198=0,"",'TENAGA KERJA'!A198)</f>
        <v/>
      </c>
      <c r="B199" s="24" t="str">
        <f>IF('TENAGA KERJA'!B198=0,"",'TENAGA KERJA'!B198)</f>
        <v/>
      </c>
      <c r="C199" s="43">
        <f>IF('TENAGA KERJA'!I198="Tidak",0,('TENAGA KERJA'!K198+'TENAGA KERJA'!L198))</f>
        <v>0</v>
      </c>
      <c r="D199" s="43">
        <f>C199*SETTING!$C$10</f>
        <v>0</v>
      </c>
      <c r="E199" s="43">
        <f>C199*SETTING!$C$11</f>
        <v>0</v>
      </c>
      <c r="F199" s="43">
        <f>C199*SETTING!$C$12</f>
        <v>0</v>
      </c>
      <c r="G199" s="43">
        <f>C199*SETTING!$C$13</f>
        <v>0</v>
      </c>
      <c r="H199" s="43"/>
      <c r="I199" s="43"/>
      <c r="J199" s="44">
        <f t="shared" si="6"/>
        <v>0</v>
      </c>
    </row>
    <row r="200" spans="1:10">
      <c r="A200" s="45" t="str">
        <f>IF('TENAGA KERJA'!A199=0,"",'TENAGA KERJA'!A199)</f>
        <v/>
      </c>
      <c r="B200" s="24" t="str">
        <f>IF('TENAGA KERJA'!B199=0,"",'TENAGA KERJA'!B199)</f>
        <v/>
      </c>
      <c r="C200" s="43">
        <f>IF('TENAGA KERJA'!I199="Tidak",0,('TENAGA KERJA'!K199+'TENAGA KERJA'!L199))</f>
        <v>0</v>
      </c>
      <c r="D200" s="43">
        <f>C200*SETTING!$C$10</f>
        <v>0</v>
      </c>
      <c r="E200" s="43">
        <f>C200*SETTING!$C$11</f>
        <v>0</v>
      </c>
      <c r="F200" s="43">
        <f>C200*SETTING!$C$12</f>
        <v>0</v>
      </c>
      <c r="G200" s="43">
        <f>C200*SETTING!$C$13</f>
        <v>0</v>
      </c>
      <c r="H200" s="43"/>
      <c r="I200" s="43"/>
      <c r="J200" s="44">
        <f t="shared" si="6"/>
        <v>0</v>
      </c>
    </row>
    <row r="201" spans="1:10">
      <c r="A201" s="45" t="str">
        <f>IF('TENAGA KERJA'!A200=0,"",'TENAGA KERJA'!A200)</f>
        <v/>
      </c>
      <c r="B201" s="24" t="str">
        <f>IF('TENAGA KERJA'!B200=0,"",'TENAGA KERJA'!B200)</f>
        <v/>
      </c>
      <c r="C201" s="43">
        <f>IF('TENAGA KERJA'!I200="Tidak",0,('TENAGA KERJA'!K200+'TENAGA KERJA'!L200))</f>
        <v>0</v>
      </c>
      <c r="D201" s="43">
        <f>C201*SETTING!$C$10</f>
        <v>0</v>
      </c>
      <c r="E201" s="43">
        <f>C201*SETTING!$C$11</f>
        <v>0</v>
      </c>
      <c r="F201" s="43">
        <f>C201*SETTING!$C$12</f>
        <v>0</v>
      </c>
      <c r="G201" s="43">
        <f>C201*SETTING!$C$13</f>
        <v>0</v>
      </c>
      <c r="H201" s="43"/>
      <c r="I201" s="43"/>
      <c r="J201" s="44">
        <f t="shared" si="6"/>
        <v>0</v>
      </c>
    </row>
    <row r="202" spans="1:10">
      <c r="A202" s="45" t="str">
        <f>IF('TENAGA KERJA'!A201=0,"",'TENAGA KERJA'!A201)</f>
        <v/>
      </c>
      <c r="B202" s="24" t="str">
        <f>IF('TENAGA KERJA'!B201=0,"",'TENAGA KERJA'!B201)</f>
        <v/>
      </c>
      <c r="C202" s="43">
        <f>IF('TENAGA KERJA'!I201="Tidak",0,('TENAGA KERJA'!K201+'TENAGA KERJA'!L201))</f>
        <v>0</v>
      </c>
      <c r="D202" s="43">
        <f>C202*SETTING!$C$10</f>
        <v>0</v>
      </c>
      <c r="E202" s="43">
        <f>C202*SETTING!$C$11</f>
        <v>0</v>
      </c>
      <c r="F202" s="43">
        <f>C202*SETTING!$C$12</f>
        <v>0</v>
      </c>
      <c r="G202" s="43">
        <f>C202*SETTING!$C$13</f>
        <v>0</v>
      </c>
      <c r="H202" s="43"/>
      <c r="I202" s="43"/>
      <c r="J202" s="44">
        <f t="shared" si="6"/>
        <v>0</v>
      </c>
    </row>
    <row r="203" spans="1:10">
      <c r="A203" s="45" t="str">
        <f>IF('TENAGA KERJA'!A202=0,"",'TENAGA KERJA'!A202)</f>
        <v/>
      </c>
      <c r="B203" s="24" t="str">
        <f>IF('TENAGA KERJA'!B202=0,"",'TENAGA KERJA'!B202)</f>
        <v/>
      </c>
      <c r="C203" s="43">
        <f>IF('TENAGA KERJA'!I202="Tidak",0,('TENAGA KERJA'!K202+'TENAGA KERJA'!L202))</f>
        <v>0</v>
      </c>
      <c r="D203" s="43">
        <f>C203*SETTING!$C$10</f>
        <v>0</v>
      </c>
      <c r="E203" s="43">
        <f>C203*SETTING!$C$11</f>
        <v>0</v>
      </c>
      <c r="F203" s="43">
        <f>C203*SETTING!$C$12</f>
        <v>0</v>
      </c>
      <c r="G203" s="43">
        <f>C203*SETTING!$C$13</f>
        <v>0</v>
      </c>
      <c r="H203" s="43"/>
      <c r="I203" s="43"/>
      <c r="J203" s="44">
        <f t="shared" si="6"/>
        <v>0</v>
      </c>
    </row>
    <row r="204" spans="1:10">
      <c r="A204" s="45" t="str">
        <f>IF('TENAGA KERJA'!A203=0,"",'TENAGA KERJA'!A203)</f>
        <v/>
      </c>
      <c r="B204" s="24" t="str">
        <f>IF('TENAGA KERJA'!B203=0,"",'TENAGA KERJA'!B203)</f>
        <v/>
      </c>
      <c r="C204" s="43">
        <f>IF('TENAGA KERJA'!I203="Tidak",0,('TENAGA KERJA'!K203+'TENAGA KERJA'!L203))</f>
        <v>0</v>
      </c>
      <c r="D204" s="43">
        <f>C204*SETTING!$C$10</f>
        <v>0</v>
      </c>
      <c r="E204" s="43">
        <f>C204*SETTING!$C$11</f>
        <v>0</v>
      </c>
      <c r="F204" s="43">
        <f>C204*SETTING!$C$12</f>
        <v>0</v>
      </c>
      <c r="G204" s="43">
        <f>C204*SETTING!$C$13</f>
        <v>0</v>
      </c>
      <c r="H204" s="43"/>
      <c r="I204" s="43"/>
      <c r="J204" s="44">
        <f t="shared" si="6"/>
        <v>0</v>
      </c>
    </row>
    <row r="205" spans="1:10">
      <c r="A205" s="45" t="str">
        <f>IF('TENAGA KERJA'!A204=0,"",'TENAGA KERJA'!A204)</f>
        <v/>
      </c>
      <c r="B205" s="24" t="str">
        <f>IF('TENAGA KERJA'!B204=0,"",'TENAGA KERJA'!B204)</f>
        <v/>
      </c>
      <c r="C205" s="43">
        <f>IF('TENAGA KERJA'!I204="Tidak",0,('TENAGA KERJA'!K204+'TENAGA KERJA'!L204))</f>
        <v>0</v>
      </c>
      <c r="D205" s="43">
        <f>C205*SETTING!$C$10</f>
        <v>0</v>
      </c>
      <c r="E205" s="43">
        <f>C205*SETTING!$C$11</f>
        <v>0</v>
      </c>
      <c r="F205" s="43">
        <f>C205*SETTING!$C$12</f>
        <v>0</v>
      </c>
      <c r="G205" s="43">
        <f>C205*SETTING!$C$13</f>
        <v>0</v>
      </c>
      <c r="H205" s="43"/>
      <c r="I205" s="43"/>
      <c r="J205" s="44">
        <f t="shared" si="6"/>
        <v>0</v>
      </c>
    </row>
    <row r="206" spans="1:10">
      <c r="A206" s="45" t="str">
        <f>IF('TENAGA KERJA'!A205=0,"",'TENAGA KERJA'!A205)</f>
        <v/>
      </c>
      <c r="B206" s="24" t="str">
        <f>IF('TENAGA KERJA'!B205=0,"",'TENAGA KERJA'!B205)</f>
        <v/>
      </c>
      <c r="C206" s="43">
        <f>IF('TENAGA KERJA'!I205="Tidak",0,('TENAGA KERJA'!K205+'TENAGA KERJA'!L205))</f>
        <v>0</v>
      </c>
      <c r="D206" s="43">
        <f>C206*SETTING!$C$10</f>
        <v>0</v>
      </c>
      <c r="E206" s="43">
        <f>C206*SETTING!$C$11</f>
        <v>0</v>
      </c>
      <c r="F206" s="43">
        <f>C206*SETTING!$C$12</f>
        <v>0</v>
      </c>
      <c r="G206" s="43">
        <f>C206*SETTING!$C$13</f>
        <v>0</v>
      </c>
      <c r="H206" s="43"/>
      <c r="I206" s="43"/>
      <c r="J206" s="44">
        <f t="shared" si="6"/>
        <v>0</v>
      </c>
    </row>
    <row r="207" spans="1:10">
      <c r="A207" s="45" t="str">
        <f>IF('TENAGA KERJA'!A206=0,"",'TENAGA KERJA'!A206)</f>
        <v/>
      </c>
      <c r="B207" s="24" t="str">
        <f>IF('TENAGA KERJA'!B206=0,"",'TENAGA KERJA'!B206)</f>
        <v/>
      </c>
      <c r="C207" s="43">
        <f>IF('TENAGA KERJA'!I206="Tidak",0,('TENAGA KERJA'!K206+'TENAGA KERJA'!L206))</f>
        <v>0</v>
      </c>
      <c r="D207" s="43">
        <f>C207*SETTING!$C$10</f>
        <v>0</v>
      </c>
      <c r="E207" s="43">
        <f>C207*SETTING!$C$11</f>
        <v>0</v>
      </c>
      <c r="F207" s="43">
        <f>C207*SETTING!$C$12</f>
        <v>0</v>
      </c>
      <c r="G207" s="43">
        <f>C207*SETTING!$C$13</f>
        <v>0</v>
      </c>
      <c r="H207" s="43"/>
      <c r="I207" s="43"/>
      <c r="J207" s="44">
        <f t="shared" si="6"/>
        <v>0</v>
      </c>
    </row>
    <row r="208" spans="1:10">
      <c r="A208" s="45" t="str">
        <f>IF('TENAGA KERJA'!A207=0,"",'TENAGA KERJA'!A207)</f>
        <v/>
      </c>
      <c r="B208" s="24" t="str">
        <f>IF('TENAGA KERJA'!B207=0,"",'TENAGA KERJA'!B207)</f>
        <v/>
      </c>
      <c r="C208" s="43">
        <f>IF('TENAGA KERJA'!I207="Tidak",0,('TENAGA KERJA'!K207+'TENAGA KERJA'!L207))</f>
        <v>0</v>
      </c>
      <c r="D208" s="43">
        <f>C208*SETTING!$C$10</f>
        <v>0</v>
      </c>
      <c r="E208" s="43">
        <f>C208*SETTING!$C$11</f>
        <v>0</v>
      </c>
      <c r="F208" s="43">
        <f>C208*SETTING!$C$12</f>
        <v>0</v>
      </c>
      <c r="G208" s="43">
        <f>C208*SETTING!$C$13</f>
        <v>0</v>
      </c>
      <c r="H208" s="43"/>
      <c r="I208" s="43"/>
      <c r="J208" s="44">
        <f t="shared" si="6"/>
        <v>0</v>
      </c>
    </row>
    <row r="209" spans="1:10">
      <c r="A209" s="45" t="str">
        <f>IF('TENAGA KERJA'!A208=0,"",'TENAGA KERJA'!A208)</f>
        <v/>
      </c>
      <c r="B209" s="24" t="str">
        <f>IF('TENAGA KERJA'!B208=0,"",'TENAGA KERJA'!B208)</f>
        <v/>
      </c>
      <c r="C209" s="43">
        <f>IF('TENAGA KERJA'!I208="Tidak",0,('TENAGA KERJA'!K208+'TENAGA KERJA'!L208))</f>
        <v>0</v>
      </c>
      <c r="D209" s="43">
        <f>C209*SETTING!$C$10</f>
        <v>0</v>
      </c>
      <c r="E209" s="43">
        <f>C209*SETTING!$C$11</f>
        <v>0</v>
      </c>
      <c r="F209" s="43">
        <f>C209*SETTING!$C$12</f>
        <v>0</v>
      </c>
      <c r="G209" s="43">
        <f>C209*SETTING!$C$13</f>
        <v>0</v>
      </c>
      <c r="H209" s="43"/>
      <c r="I209" s="43"/>
      <c r="J209" s="44">
        <f t="shared" si="6"/>
        <v>0</v>
      </c>
    </row>
    <row r="210" spans="1:10">
      <c r="A210" s="45" t="str">
        <f>IF('TENAGA KERJA'!A209=0,"",'TENAGA KERJA'!A209)</f>
        <v/>
      </c>
      <c r="B210" s="24" t="str">
        <f>IF('TENAGA KERJA'!B209=0,"",'TENAGA KERJA'!B209)</f>
        <v/>
      </c>
      <c r="C210" s="43">
        <f>IF('TENAGA KERJA'!I209="Tidak",0,('TENAGA KERJA'!K209+'TENAGA KERJA'!L209))</f>
        <v>0</v>
      </c>
      <c r="D210" s="43">
        <f>C210*SETTING!$C$10</f>
        <v>0</v>
      </c>
      <c r="E210" s="43">
        <f>C210*SETTING!$C$11</f>
        <v>0</v>
      </c>
      <c r="F210" s="43">
        <f>C210*SETTING!$C$12</f>
        <v>0</v>
      </c>
      <c r="G210" s="43">
        <f>C210*SETTING!$C$13</f>
        <v>0</v>
      </c>
      <c r="H210" s="43"/>
      <c r="I210" s="43"/>
      <c r="J210" s="44">
        <f t="shared" si="6"/>
        <v>0</v>
      </c>
    </row>
    <row r="211" spans="1:10">
      <c r="A211" s="153"/>
      <c r="B211" s="154" t="s">
        <v>40</v>
      </c>
      <c r="C211" s="155">
        <f>SUM(C3:C210)</f>
        <v>110897495</v>
      </c>
      <c r="D211" s="155">
        <f t="shared" ref="D211:J211" si="7">SUM(D3:D210)</f>
        <v>986987.70550000062</v>
      </c>
      <c r="E211" s="155">
        <f t="shared" si="7"/>
        <v>332692.48500000004</v>
      </c>
      <c r="F211" s="155">
        <f t="shared" si="7"/>
        <v>4103207.3150000004</v>
      </c>
      <c r="G211" s="155">
        <f t="shared" si="7"/>
        <v>2217949.9000000004</v>
      </c>
      <c r="H211" s="155">
        <f t="shared" si="7"/>
        <v>0</v>
      </c>
      <c r="I211" s="155">
        <f t="shared" si="7"/>
        <v>0</v>
      </c>
      <c r="J211" s="155">
        <f t="shared" si="7"/>
        <v>7640837.4055000041</v>
      </c>
    </row>
    <row r="212" spans="1:10">
      <c r="A212" s="156"/>
      <c r="C212" s="151"/>
      <c r="D212" s="151"/>
      <c r="E212" s="151"/>
      <c r="F212" s="151"/>
      <c r="G212" s="151"/>
      <c r="H212" s="151"/>
      <c r="I212" s="151"/>
      <c r="J212" s="151"/>
    </row>
    <row r="213" spans="1:10">
      <c r="A213" s="156"/>
      <c r="C213" s="151"/>
      <c r="D213" s="151"/>
      <c r="E213" s="151"/>
      <c r="F213" s="151"/>
      <c r="H213" s="151"/>
      <c r="I213" s="151"/>
      <c r="J213" s="151"/>
    </row>
    <row r="214" spans="1:10">
      <c r="A214" s="156"/>
      <c r="C214" s="151"/>
      <c r="D214" s="151"/>
      <c r="E214" s="151"/>
      <c r="F214" s="151"/>
      <c r="G214" s="151"/>
      <c r="H214" s="151"/>
      <c r="I214" s="151"/>
      <c r="J214" s="151"/>
    </row>
    <row r="215" spans="1:10">
      <c r="A215" s="156"/>
      <c r="C215" s="151"/>
      <c r="D215" s="151"/>
      <c r="E215" s="151"/>
      <c r="F215" s="151"/>
      <c r="G215" s="151"/>
      <c r="H215" s="151"/>
      <c r="I215" s="151"/>
      <c r="J215" s="151"/>
    </row>
    <row r="216" spans="1:10">
      <c r="A216" s="156"/>
      <c r="C216" s="151"/>
      <c r="D216" s="151"/>
      <c r="E216" s="151"/>
      <c r="F216" s="151"/>
      <c r="G216" s="151"/>
      <c r="H216" s="151"/>
      <c r="I216" s="151"/>
      <c r="J216" s="151"/>
    </row>
    <row r="217" spans="1:10">
      <c r="A217" s="156"/>
      <c r="C217" s="151"/>
      <c r="D217" s="151"/>
      <c r="E217" s="151"/>
      <c r="F217" s="151"/>
      <c r="G217" s="151"/>
      <c r="H217" s="151"/>
      <c r="I217" s="151"/>
      <c r="J217" s="151"/>
    </row>
    <row r="218" spans="1:10">
      <c r="A218" s="156"/>
      <c r="C218" s="151"/>
      <c r="D218" s="151"/>
      <c r="E218" s="151"/>
      <c r="F218" s="151"/>
      <c r="G218" s="151"/>
      <c r="H218" s="151"/>
      <c r="I218" s="151"/>
      <c r="J218" s="151"/>
    </row>
    <row r="219" spans="1:10">
      <c r="A219" s="156"/>
      <c r="C219" s="151"/>
      <c r="D219" s="151"/>
      <c r="E219" s="151"/>
      <c r="F219" s="151"/>
      <c r="G219" s="151"/>
      <c r="H219" s="151"/>
      <c r="I219" s="151"/>
      <c r="J219" s="151"/>
    </row>
    <row r="220" spans="1:10">
      <c r="A220" s="156"/>
      <c r="C220" s="151"/>
      <c r="D220" s="151"/>
      <c r="E220" s="151"/>
      <c r="F220" s="151"/>
      <c r="G220" s="151"/>
      <c r="H220" s="151"/>
      <c r="I220" s="151"/>
      <c r="J220" s="151"/>
    </row>
    <row r="221" spans="1:10">
      <c r="A221" s="156"/>
      <c r="C221" s="151"/>
      <c r="D221" s="151"/>
      <c r="E221" s="151"/>
      <c r="F221" s="151"/>
      <c r="G221" s="151"/>
      <c r="H221" s="151"/>
      <c r="I221" s="151"/>
      <c r="J221" s="151"/>
    </row>
    <row r="222" spans="1:10">
      <c r="A222" s="156"/>
      <c r="C222" s="151"/>
      <c r="D222" s="151"/>
      <c r="E222" s="151"/>
      <c r="F222" s="151"/>
      <c r="G222" s="151"/>
      <c r="H222" s="151"/>
      <c r="I222" s="151"/>
      <c r="J222" s="151"/>
    </row>
    <row r="223" spans="1:10">
      <c r="A223" s="156"/>
      <c r="C223" s="151"/>
      <c r="D223" s="151"/>
      <c r="E223" s="151"/>
      <c r="F223" s="151"/>
      <c r="G223" s="151"/>
      <c r="H223" s="151"/>
      <c r="I223" s="151"/>
      <c r="J223" s="151"/>
    </row>
    <row r="224" spans="1:10">
      <c r="A224" s="156"/>
      <c r="C224" s="151"/>
      <c r="D224" s="151"/>
      <c r="E224" s="151"/>
      <c r="F224" s="151"/>
      <c r="G224" s="151"/>
      <c r="H224" s="151"/>
      <c r="I224" s="151"/>
      <c r="J224" s="151"/>
    </row>
    <row r="225" spans="1:10">
      <c r="A225" s="156"/>
      <c r="C225" s="151"/>
      <c r="D225" s="151"/>
      <c r="E225" s="151"/>
      <c r="F225" s="151"/>
      <c r="G225" s="151"/>
      <c r="H225" s="151"/>
      <c r="I225" s="151"/>
      <c r="J225" s="151"/>
    </row>
    <row r="226" spans="1:10">
      <c r="A226" s="156"/>
      <c r="C226" s="151"/>
      <c r="D226" s="151"/>
      <c r="E226" s="151"/>
      <c r="F226" s="151"/>
      <c r="G226" s="151"/>
      <c r="H226" s="151"/>
      <c r="I226" s="151"/>
      <c r="J226" s="151"/>
    </row>
    <row r="227" spans="1:10">
      <c r="A227" s="156"/>
      <c r="C227" s="151"/>
      <c r="D227" s="151"/>
      <c r="E227" s="151"/>
      <c r="F227" s="151"/>
      <c r="G227" s="151"/>
      <c r="H227" s="151"/>
      <c r="I227" s="151"/>
      <c r="J227" s="151"/>
    </row>
    <row r="228" spans="1:10">
      <c r="A228" s="156"/>
      <c r="C228" s="151"/>
      <c r="D228" s="151"/>
      <c r="E228" s="151"/>
      <c r="F228" s="151"/>
      <c r="G228" s="151"/>
      <c r="H228" s="151"/>
      <c r="I228" s="151"/>
      <c r="J228" s="151"/>
    </row>
    <row r="229" spans="1:10">
      <c r="A229" s="156"/>
      <c r="C229" s="151"/>
      <c r="D229" s="151"/>
      <c r="E229" s="151"/>
      <c r="F229" s="151"/>
      <c r="G229" s="151"/>
      <c r="H229" s="151"/>
      <c r="I229" s="151"/>
      <c r="J229" s="151"/>
    </row>
    <row r="230" spans="1:10">
      <c r="A230" s="156"/>
      <c r="C230" s="151"/>
      <c r="D230" s="151"/>
      <c r="E230" s="151"/>
      <c r="F230" s="151"/>
      <c r="G230" s="151"/>
      <c r="H230" s="151"/>
      <c r="I230" s="151"/>
      <c r="J230" s="151"/>
    </row>
    <row r="231" spans="1:10">
      <c r="A231" s="156"/>
      <c r="C231" s="151"/>
      <c r="D231" s="151"/>
      <c r="E231" s="151"/>
      <c r="F231" s="151"/>
      <c r="G231" s="151"/>
      <c r="H231" s="151"/>
      <c r="I231" s="151"/>
      <c r="J231" s="151"/>
    </row>
    <row r="232" spans="1:10">
      <c r="A232" s="156"/>
      <c r="C232" s="151"/>
      <c r="D232" s="151"/>
      <c r="E232" s="151"/>
      <c r="F232" s="151"/>
      <c r="G232" s="151"/>
      <c r="H232" s="151"/>
      <c r="I232" s="151"/>
      <c r="J232" s="151"/>
    </row>
    <row r="233" spans="1:10">
      <c r="A233" s="156"/>
      <c r="C233" s="151"/>
      <c r="D233" s="151"/>
      <c r="E233" s="151"/>
      <c r="F233" s="151"/>
      <c r="G233" s="151"/>
      <c r="H233" s="151"/>
      <c r="I233" s="151"/>
      <c r="J233" s="151"/>
    </row>
    <row r="234" spans="1:10">
      <c r="A234" s="156"/>
      <c r="C234" s="151"/>
      <c r="D234" s="151"/>
      <c r="E234" s="151"/>
      <c r="F234" s="151"/>
      <c r="G234" s="151"/>
      <c r="H234" s="151"/>
      <c r="I234" s="151"/>
      <c r="J234" s="151"/>
    </row>
    <row r="235" spans="1:10">
      <c r="A235" s="156"/>
      <c r="C235" s="151"/>
      <c r="D235" s="151"/>
      <c r="E235" s="151"/>
      <c r="F235" s="151"/>
      <c r="G235" s="151"/>
      <c r="H235" s="151"/>
      <c r="I235" s="151"/>
      <c r="J235" s="151"/>
    </row>
    <row r="236" spans="1:10">
      <c r="A236" s="156"/>
      <c r="C236" s="151"/>
      <c r="D236" s="151"/>
      <c r="E236" s="151"/>
      <c r="F236" s="151"/>
      <c r="G236" s="151"/>
      <c r="H236" s="151"/>
      <c r="I236" s="151"/>
      <c r="J236" s="151"/>
    </row>
    <row r="237" spans="1:10">
      <c r="A237" s="156"/>
      <c r="C237" s="151"/>
      <c r="D237" s="151"/>
      <c r="E237" s="151"/>
      <c r="F237" s="151"/>
      <c r="G237" s="151"/>
      <c r="H237" s="151"/>
      <c r="I237" s="151"/>
      <c r="J237" s="151"/>
    </row>
    <row r="238" spans="1:10">
      <c r="A238" s="156"/>
      <c r="C238" s="151"/>
      <c r="D238" s="151"/>
      <c r="E238" s="151"/>
      <c r="F238" s="151"/>
      <c r="G238" s="151"/>
      <c r="H238" s="151"/>
      <c r="I238" s="151"/>
      <c r="J238" s="151"/>
    </row>
    <row r="239" spans="1:10">
      <c r="A239" s="156"/>
      <c r="C239" s="151"/>
      <c r="D239" s="151"/>
      <c r="E239" s="151"/>
      <c r="F239" s="151"/>
      <c r="G239" s="151"/>
      <c r="H239" s="151"/>
      <c r="I239" s="151"/>
      <c r="J239" s="151"/>
    </row>
    <row r="240" spans="1:10">
      <c r="A240" s="156"/>
      <c r="C240" s="151"/>
      <c r="D240" s="151"/>
      <c r="E240" s="151"/>
      <c r="F240" s="151"/>
      <c r="G240" s="151"/>
      <c r="H240" s="151"/>
      <c r="I240" s="151"/>
      <c r="J240" s="151"/>
    </row>
    <row r="241" spans="1:10">
      <c r="A241" s="156"/>
      <c r="C241" s="151"/>
      <c r="D241" s="151"/>
      <c r="E241" s="151"/>
      <c r="F241" s="151"/>
      <c r="G241" s="151"/>
      <c r="H241" s="151"/>
      <c r="I241" s="151"/>
      <c r="J241" s="151"/>
    </row>
    <row r="242" spans="1:10">
      <c r="A242" s="156"/>
      <c r="C242" s="151"/>
      <c r="D242" s="151"/>
      <c r="E242" s="151"/>
      <c r="F242" s="151"/>
      <c r="G242" s="151"/>
      <c r="H242" s="151"/>
      <c r="I242" s="151"/>
      <c r="J242" s="151"/>
    </row>
    <row r="243" spans="1:10">
      <c r="A243" s="156"/>
      <c r="C243" s="151"/>
      <c r="D243" s="151"/>
      <c r="E243" s="151"/>
      <c r="F243" s="151"/>
      <c r="G243" s="151"/>
      <c r="H243" s="151"/>
      <c r="I243" s="151"/>
      <c r="J243" s="151"/>
    </row>
    <row r="244" spans="1:10">
      <c r="A244" s="156"/>
      <c r="C244" s="151"/>
      <c r="D244" s="151"/>
      <c r="E244" s="151"/>
      <c r="F244" s="151"/>
      <c r="G244" s="151"/>
      <c r="H244" s="151"/>
      <c r="I244" s="151"/>
      <c r="J244" s="151"/>
    </row>
    <row r="245" spans="1:10">
      <c r="A245" s="156"/>
      <c r="C245" s="151"/>
      <c r="D245" s="151"/>
      <c r="E245" s="151"/>
      <c r="F245" s="151"/>
      <c r="G245" s="151"/>
      <c r="H245" s="151"/>
      <c r="I245" s="151"/>
      <c r="J245" s="151"/>
    </row>
    <row r="246" spans="1:10">
      <c r="A246" s="156"/>
      <c r="C246" s="151"/>
      <c r="D246" s="151"/>
      <c r="E246" s="151"/>
      <c r="F246" s="151"/>
      <c r="G246" s="151"/>
      <c r="H246" s="151"/>
      <c r="I246" s="151"/>
      <c r="J246" s="151"/>
    </row>
    <row r="247" spans="1:10">
      <c r="A247" s="156"/>
      <c r="C247" s="151"/>
      <c r="D247" s="151"/>
      <c r="E247" s="151"/>
      <c r="F247" s="151"/>
      <c r="G247" s="151"/>
      <c r="H247" s="151"/>
      <c r="I247" s="151"/>
      <c r="J247" s="151"/>
    </row>
    <row r="248" spans="1:10">
      <c r="A248" s="156"/>
      <c r="C248" s="151"/>
      <c r="D248" s="151"/>
      <c r="E248" s="151"/>
      <c r="F248" s="151"/>
      <c r="G248" s="151"/>
      <c r="H248" s="151"/>
      <c r="I248" s="151"/>
      <c r="J248" s="151"/>
    </row>
    <row r="249" spans="1:10">
      <c r="A249" s="156"/>
      <c r="C249" s="151"/>
      <c r="D249" s="151"/>
      <c r="E249" s="151"/>
      <c r="F249" s="151"/>
      <c r="G249" s="151"/>
      <c r="H249" s="151"/>
      <c r="I249" s="151"/>
      <c r="J249" s="151"/>
    </row>
    <row r="250" spans="1:10">
      <c r="A250" s="156"/>
      <c r="C250" s="151"/>
      <c r="D250" s="151"/>
      <c r="E250" s="151"/>
      <c r="F250" s="151"/>
      <c r="G250" s="151"/>
      <c r="H250" s="151"/>
      <c r="I250" s="151"/>
      <c r="J250" s="151"/>
    </row>
    <row r="251" spans="1:10">
      <c r="A251" s="156"/>
      <c r="C251" s="151"/>
      <c r="D251" s="151"/>
      <c r="E251" s="151"/>
      <c r="F251" s="151"/>
      <c r="G251" s="151"/>
      <c r="H251" s="151"/>
      <c r="I251" s="151"/>
      <c r="J251" s="151"/>
    </row>
    <row r="252" spans="1:10">
      <c r="A252" s="156"/>
      <c r="C252" s="151"/>
      <c r="D252" s="151"/>
      <c r="E252" s="151"/>
      <c r="F252" s="151"/>
      <c r="G252" s="151"/>
      <c r="H252" s="151"/>
      <c r="I252" s="151"/>
      <c r="J252" s="151"/>
    </row>
    <row r="253" spans="1:10">
      <c r="A253" s="156"/>
      <c r="C253" s="151"/>
      <c r="D253" s="151"/>
      <c r="E253" s="151"/>
      <c r="F253" s="151"/>
      <c r="G253" s="151"/>
      <c r="H253" s="151"/>
      <c r="I253" s="151"/>
      <c r="J253" s="151"/>
    </row>
    <row r="254" spans="1:10">
      <c r="A254" s="156"/>
      <c r="C254" s="151"/>
      <c r="D254" s="151"/>
      <c r="E254" s="151"/>
      <c r="F254" s="151"/>
      <c r="G254" s="151"/>
      <c r="H254" s="151"/>
      <c r="I254" s="151"/>
      <c r="J254" s="151"/>
    </row>
    <row r="255" spans="1:10">
      <c r="A255" s="156"/>
      <c r="C255" s="151"/>
      <c r="D255" s="151"/>
      <c r="E255" s="151"/>
      <c r="F255" s="151"/>
      <c r="G255" s="151"/>
      <c r="H255" s="151"/>
      <c r="I255" s="151"/>
      <c r="J255" s="151"/>
    </row>
    <row r="256" spans="1:10">
      <c r="A256" s="156"/>
      <c r="C256" s="151"/>
      <c r="D256" s="151"/>
      <c r="E256" s="151"/>
      <c r="F256" s="151"/>
      <c r="G256" s="151"/>
      <c r="H256" s="151"/>
      <c r="I256" s="151"/>
      <c r="J256" s="151"/>
    </row>
    <row r="257" spans="1:10">
      <c r="A257" s="156"/>
      <c r="C257" s="151"/>
      <c r="D257" s="151"/>
      <c r="E257" s="151"/>
      <c r="F257" s="151"/>
      <c r="G257" s="151"/>
      <c r="H257" s="151"/>
      <c r="I257" s="151"/>
      <c r="J257" s="151"/>
    </row>
    <row r="258" spans="1:10">
      <c r="A258" s="156"/>
      <c r="C258" s="151"/>
      <c r="D258" s="151"/>
      <c r="E258" s="151"/>
      <c r="F258" s="151"/>
      <c r="G258" s="151"/>
      <c r="H258" s="151"/>
      <c r="I258" s="151"/>
      <c r="J258" s="151"/>
    </row>
    <row r="259" spans="1:10">
      <c r="A259" s="156"/>
      <c r="C259" s="151"/>
      <c r="D259" s="151"/>
      <c r="E259" s="151"/>
      <c r="F259" s="151"/>
      <c r="G259" s="151"/>
      <c r="H259" s="151"/>
      <c r="I259" s="151"/>
      <c r="J259" s="151"/>
    </row>
    <row r="260" spans="1:10">
      <c r="A260" s="156"/>
      <c r="C260" s="151"/>
      <c r="D260" s="151"/>
      <c r="E260" s="151"/>
      <c r="F260" s="151"/>
      <c r="G260" s="151"/>
      <c r="H260" s="151"/>
      <c r="I260" s="151"/>
      <c r="J260" s="151"/>
    </row>
    <row r="261" spans="1:10">
      <c r="A261" s="156"/>
      <c r="C261" s="151"/>
      <c r="D261" s="151"/>
      <c r="E261" s="151"/>
      <c r="F261" s="151"/>
      <c r="G261" s="151"/>
      <c r="H261" s="151"/>
      <c r="I261" s="151"/>
      <c r="J261" s="151"/>
    </row>
    <row r="262" spans="1:10">
      <c r="A262" s="156"/>
      <c r="C262" s="151"/>
      <c r="D262" s="151"/>
      <c r="E262" s="151"/>
      <c r="F262" s="151"/>
      <c r="G262" s="151"/>
      <c r="H262" s="151"/>
      <c r="I262" s="151"/>
      <c r="J262" s="151"/>
    </row>
    <row r="263" spans="1:10">
      <c r="A263" s="156"/>
      <c r="C263" s="151"/>
      <c r="D263" s="151"/>
      <c r="E263" s="151"/>
      <c r="F263" s="151"/>
      <c r="G263" s="151"/>
      <c r="H263" s="151"/>
      <c r="I263" s="151"/>
      <c r="J263" s="151"/>
    </row>
    <row r="264" spans="1:10">
      <c r="A264" s="156"/>
      <c r="C264" s="151"/>
      <c r="D264" s="151"/>
      <c r="E264" s="151"/>
      <c r="F264" s="151"/>
      <c r="G264" s="151"/>
      <c r="H264" s="151"/>
      <c r="I264" s="151"/>
      <c r="J264" s="151"/>
    </row>
    <row r="265" spans="1:10">
      <c r="A265" s="156"/>
      <c r="C265" s="151"/>
      <c r="D265" s="151"/>
      <c r="E265" s="151"/>
      <c r="F265" s="151"/>
      <c r="G265" s="151"/>
      <c r="H265" s="151"/>
      <c r="I265" s="151"/>
      <c r="J265" s="151"/>
    </row>
    <row r="266" spans="1:10">
      <c r="A266" s="156"/>
      <c r="C266" s="151"/>
      <c r="D266" s="151"/>
      <c r="E266" s="151"/>
      <c r="F266" s="151"/>
      <c r="G266" s="151"/>
      <c r="H266" s="151"/>
      <c r="I266" s="151"/>
      <c r="J266" s="151"/>
    </row>
    <row r="267" spans="1:10">
      <c r="A267" s="156"/>
      <c r="C267" s="151"/>
      <c r="D267" s="151"/>
      <c r="E267" s="151"/>
      <c r="F267" s="151"/>
      <c r="G267" s="151"/>
      <c r="H267" s="151"/>
      <c r="I267" s="151"/>
      <c r="J267" s="151"/>
    </row>
    <row r="268" spans="1:10">
      <c r="A268" s="156"/>
      <c r="C268" s="151"/>
      <c r="D268" s="151"/>
      <c r="E268" s="151"/>
      <c r="F268" s="151"/>
      <c r="G268" s="151"/>
      <c r="H268" s="151"/>
      <c r="I268" s="151"/>
      <c r="J268" s="151"/>
    </row>
    <row r="269" spans="1:10">
      <c r="A269" s="156"/>
      <c r="C269" s="151"/>
      <c r="D269" s="151"/>
      <c r="E269" s="151"/>
      <c r="F269" s="151"/>
      <c r="G269" s="151"/>
      <c r="H269" s="151"/>
      <c r="I269" s="151"/>
      <c r="J269" s="151"/>
    </row>
    <row r="270" spans="1:10">
      <c r="A270" s="156"/>
      <c r="C270" s="151"/>
      <c r="D270" s="151"/>
      <c r="E270" s="151"/>
      <c r="F270" s="151"/>
      <c r="G270" s="151"/>
      <c r="H270" s="151"/>
      <c r="I270" s="151"/>
      <c r="J270" s="151"/>
    </row>
    <row r="271" spans="1:10">
      <c r="A271" s="156"/>
      <c r="C271" s="151"/>
      <c r="D271" s="151"/>
      <c r="E271" s="151"/>
      <c r="F271" s="151"/>
      <c r="G271" s="151"/>
      <c r="H271" s="151"/>
      <c r="I271" s="151"/>
      <c r="J271" s="151"/>
    </row>
    <row r="272" spans="1:10">
      <c r="A272" s="156"/>
      <c r="C272" s="151"/>
      <c r="D272" s="151"/>
      <c r="E272" s="151"/>
      <c r="F272" s="151"/>
      <c r="G272" s="151"/>
      <c r="H272" s="151"/>
      <c r="I272" s="151"/>
      <c r="J272" s="151"/>
    </row>
    <row r="273" spans="1:10">
      <c r="A273" s="156"/>
      <c r="C273" s="151"/>
      <c r="D273" s="151"/>
      <c r="E273" s="151"/>
      <c r="F273" s="151"/>
      <c r="G273" s="151"/>
      <c r="H273" s="151"/>
      <c r="I273" s="151"/>
      <c r="J273" s="151"/>
    </row>
    <row r="274" spans="1:10">
      <c r="A274" s="156"/>
      <c r="C274" s="151"/>
      <c r="D274" s="151"/>
      <c r="E274" s="151"/>
      <c r="F274" s="151"/>
      <c r="G274" s="151"/>
      <c r="H274" s="151"/>
      <c r="I274" s="151"/>
      <c r="J274" s="151"/>
    </row>
    <row r="275" spans="1:10">
      <c r="A275" s="156"/>
      <c r="C275" s="151"/>
      <c r="D275" s="151"/>
      <c r="E275" s="151"/>
      <c r="F275" s="151"/>
      <c r="G275" s="151"/>
      <c r="H275" s="151"/>
      <c r="I275" s="151"/>
      <c r="J275" s="151"/>
    </row>
    <row r="276" spans="1:10">
      <c r="A276" s="156"/>
      <c r="C276" s="151"/>
      <c r="D276" s="151"/>
      <c r="E276" s="151"/>
      <c r="F276" s="151"/>
      <c r="G276" s="151"/>
      <c r="H276" s="151"/>
      <c r="I276" s="151"/>
      <c r="J276" s="151"/>
    </row>
    <row r="277" spans="1:10">
      <c r="A277" s="156"/>
      <c r="C277" s="151"/>
      <c r="D277" s="151"/>
      <c r="E277" s="151"/>
      <c r="F277" s="151"/>
      <c r="G277" s="151"/>
      <c r="H277" s="151"/>
      <c r="I277" s="151"/>
      <c r="J277" s="151"/>
    </row>
    <row r="278" spans="1:10">
      <c r="A278" s="156"/>
      <c r="C278" s="151"/>
      <c r="D278" s="151"/>
      <c r="E278" s="151"/>
      <c r="F278" s="151"/>
      <c r="G278" s="151"/>
      <c r="H278" s="151"/>
      <c r="I278" s="151"/>
      <c r="J278" s="151"/>
    </row>
    <row r="279" spans="1:10">
      <c r="A279" s="156"/>
      <c r="C279" s="151"/>
      <c r="D279" s="151"/>
      <c r="E279" s="151"/>
      <c r="F279" s="151"/>
      <c r="G279" s="151"/>
      <c r="H279" s="151"/>
      <c r="I279" s="151"/>
      <c r="J279" s="151"/>
    </row>
    <row r="280" spans="1:10">
      <c r="A280" s="156"/>
      <c r="C280" s="151"/>
      <c r="D280" s="151"/>
      <c r="E280" s="151"/>
      <c r="F280" s="151"/>
      <c r="G280" s="151"/>
      <c r="H280" s="151"/>
      <c r="I280" s="151"/>
      <c r="J280" s="151"/>
    </row>
    <row r="281" spans="1:10">
      <c r="A281" s="156"/>
      <c r="C281" s="151"/>
      <c r="D281" s="151"/>
      <c r="E281" s="151"/>
      <c r="F281" s="151"/>
      <c r="G281" s="151"/>
      <c r="H281" s="151"/>
      <c r="I281" s="151"/>
      <c r="J281" s="151"/>
    </row>
    <row r="282" spans="1:10">
      <c r="A282" s="156"/>
      <c r="C282" s="151"/>
      <c r="D282" s="151"/>
      <c r="E282" s="151"/>
      <c r="F282" s="151"/>
      <c r="G282" s="151"/>
      <c r="H282" s="151"/>
      <c r="I282" s="151"/>
      <c r="J282" s="151"/>
    </row>
    <row r="283" spans="1:10">
      <c r="A283" s="156"/>
      <c r="C283" s="151"/>
      <c r="D283" s="151"/>
      <c r="E283" s="151"/>
      <c r="F283" s="151"/>
      <c r="G283" s="151"/>
      <c r="H283" s="151"/>
      <c r="I283" s="151"/>
      <c r="J283" s="151"/>
    </row>
    <row r="284" spans="1:10">
      <c r="A284" s="156"/>
      <c r="C284" s="151"/>
      <c r="D284" s="151"/>
      <c r="E284" s="151"/>
      <c r="F284" s="151"/>
      <c r="G284" s="151"/>
      <c r="H284" s="151"/>
      <c r="I284" s="151"/>
      <c r="J284" s="151"/>
    </row>
    <row r="285" spans="1:10">
      <c r="A285" s="156"/>
      <c r="C285" s="151"/>
      <c r="D285" s="151"/>
      <c r="E285" s="151"/>
      <c r="F285" s="151"/>
      <c r="G285" s="151"/>
      <c r="H285" s="151"/>
      <c r="I285" s="151"/>
      <c r="J285" s="151"/>
    </row>
    <row r="286" spans="1:10">
      <c r="A286" s="156"/>
      <c r="C286" s="151"/>
      <c r="D286" s="151"/>
      <c r="E286" s="151"/>
      <c r="F286" s="151"/>
      <c r="G286" s="151"/>
      <c r="H286" s="151"/>
      <c r="I286" s="151"/>
      <c r="J286" s="151"/>
    </row>
    <row r="287" spans="1:10">
      <c r="A287" s="156"/>
      <c r="C287" s="151"/>
      <c r="D287" s="151"/>
      <c r="E287" s="151"/>
      <c r="F287" s="151"/>
      <c r="G287" s="151"/>
      <c r="H287" s="151"/>
      <c r="I287" s="151"/>
      <c r="J287" s="151"/>
    </row>
    <row r="288" spans="1:10">
      <c r="A288" s="156"/>
      <c r="C288" s="151"/>
      <c r="D288" s="151"/>
      <c r="E288" s="151"/>
      <c r="F288" s="151"/>
      <c r="G288" s="151"/>
      <c r="H288" s="151"/>
      <c r="I288" s="151"/>
      <c r="J288" s="151"/>
    </row>
    <row r="289" spans="1:10">
      <c r="A289" s="156"/>
      <c r="C289" s="151"/>
      <c r="D289" s="151"/>
      <c r="E289" s="151"/>
      <c r="F289" s="151"/>
      <c r="G289" s="151"/>
      <c r="H289" s="151"/>
      <c r="I289" s="151"/>
      <c r="J289" s="151"/>
    </row>
    <row r="290" spans="1:10">
      <c r="A290" s="156"/>
      <c r="C290" s="151"/>
      <c r="D290" s="151"/>
      <c r="E290" s="151"/>
      <c r="F290" s="151"/>
      <c r="G290" s="151"/>
      <c r="H290" s="151"/>
      <c r="I290" s="151"/>
      <c r="J290" s="151"/>
    </row>
    <row r="291" spans="1:10">
      <c r="A291" s="156"/>
      <c r="C291" s="151"/>
      <c r="D291" s="151"/>
      <c r="E291" s="151"/>
      <c r="F291" s="151"/>
      <c r="G291" s="151"/>
      <c r="H291" s="151"/>
      <c r="I291" s="151"/>
      <c r="J291" s="151"/>
    </row>
    <row r="292" spans="1:10">
      <c r="A292" s="156"/>
      <c r="C292" s="151"/>
      <c r="D292" s="151"/>
      <c r="E292" s="151"/>
      <c r="F292" s="151"/>
      <c r="G292" s="151"/>
      <c r="H292" s="151"/>
      <c r="I292" s="151"/>
      <c r="J292" s="151"/>
    </row>
    <row r="293" spans="1:10">
      <c r="A293" s="156"/>
      <c r="C293" s="151"/>
      <c r="D293" s="151"/>
      <c r="E293" s="151"/>
      <c r="F293" s="151"/>
      <c r="G293" s="151"/>
      <c r="H293" s="151"/>
      <c r="I293" s="151"/>
      <c r="J293" s="151"/>
    </row>
    <row r="294" spans="1:10">
      <c r="A294" s="156"/>
      <c r="C294" s="151"/>
      <c r="D294" s="151"/>
      <c r="E294" s="151"/>
      <c r="F294" s="151"/>
      <c r="G294" s="151"/>
      <c r="H294" s="151"/>
      <c r="I294" s="151"/>
      <c r="J294" s="151"/>
    </row>
    <row r="295" spans="1:10">
      <c r="A295" s="156"/>
      <c r="C295" s="151"/>
      <c r="D295" s="151"/>
      <c r="E295" s="151"/>
      <c r="F295" s="151"/>
      <c r="G295" s="151"/>
      <c r="H295" s="151"/>
      <c r="I295" s="151"/>
      <c r="J295" s="151"/>
    </row>
    <row r="296" spans="1:10">
      <c r="A296" s="156"/>
      <c r="C296" s="151"/>
      <c r="D296" s="151"/>
      <c r="E296" s="151"/>
      <c r="F296" s="151"/>
      <c r="G296" s="151"/>
      <c r="H296" s="151"/>
      <c r="I296" s="151"/>
      <c r="J296" s="151"/>
    </row>
    <row r="297" spans="1:10">
      <c r="A297" s="156"/>
      <c r="C297" s="151"/>
      <c r="D297" s="151"/>
      <c r="E297" s="151"/>
      <c r="F297" s="151"/>
      <c r="G297" s="151"/>
      <c r="H297" s="151"/>
      <c r="I297" s="151"/>
      <c r="J297" s="151"/>
    </row>
    <row r="298" spans="1:10">
      <c r="A298" s="156"/>
      <c r="C298" s="151"/>
      <c r="D298" s="151"/>
      <c r="E298" s="151"/>
      <c r="F298" s="151"/>
      <c r="G298" s="151"/>
      <c r="H298" s="151"/>
      <c r="I298" s="151"/>
      <c r="J298" s="151"/>
    </row>
    <row r="299" spans="1:10">
      <c r="A299" s="156"/>
      <c r="C299" s="151"/>
      <c r="D299" s="151"/>
      <c r="E299" s="151"/>
      <c r="F299" s="151"/>
      <c r="G299" s="151"/>
      <c r="H299" s="151"/>
      <c r="I299" s="151"/>
      <c r="J299" s="151"/>
    </row>
    <row r="300" spans="1:10">
      <c r="A300" s="156"/>
      <c r="C300" s="151"/>
      <c r="D300" s="151"/>
      <c r="E300" s="151"/>
      <c r="F300" s="151"/>
      <c r="G300" s="151"/>
      <c r="H300" s="151"/>
      <c r="I300" s="151"/>
      <c r="J300" s="151"/>
    </row>
    <row r="301" spans="1:10">
      <c r="A301" s="156"/>
      <c r="C301" s="151"/>
      <c r="D301" s="151"/>
      <c r="E301" s="151"/>
      <c r="F301" s="151"/>
      <c r="G301" s="151"/>
      <c r="H301" s="151"/>
      <c r="I301" s="151"/>
      <c r="J301" s="151"/>
    </row>
    <row r="302" spans="1:10">
      <c r="A302" s="156"/>
      <c r="C302" s="151"/>
      <c r="D302" s="151"/>
      <c r="E302" s="151"/>
      <c r="F302" s="151"/>
      <c r="G302" s="151"/>
      <c r="H302" s="151"/>
      <c r="I302" s="151"/>
      <c r="J302" s="151"/>
    </row>
    <row r="303" spans="1:10">
      <c r="A303" s="156"/>
      <c r="C303" s="151"/>
      <c r="D303" s="151"/>
      <c r="E303" s="151"/>
      <c r="F303" s="151"/>
      <c r="G303" s="151"/>
      <c r="H303" s="151"/>
      <c r="I303" s="151"/>
      <c r="J303" s="151"/>
    </row>
    <row r="304" spans="1:10">
      <c r="A304" s="156"/>
      <c r="C304" s="151"/>
      <c r="D304" s="151"/>
      <c r="E304" s="151"/>
      <c r="F304" s="151"/>
      <c r="G304" s="151"/>
      <c r="H304" s="151"/>
      <c r="I304" s="151"/>
      <c r="J304" s="151"/>
    </row>
    <row r="305" spans="1:10">
      <c r="A305" s="156"/>
      <c r="C305" s="151"/>
      <c r="D305" s="151"/>
      <c r="E305" s="151"/>
      <c r="F305" s="151"/>
      <c r="G305" s="151"/>
      <c r="H305" s="151"/>
      <c r="I305" s="151"/>
      <c r="J305" s="151"/>
    </row>
    <row r="306" spans="1:10">
      <c r="A306" s="156"/>
      <c r="C306" s="151"/>
      <c r="D306" s="151"/>
      <c r="E306" s="151"/>
      <c r="F306" s="151"/>
      <c r="G306" s="151"/>
      <c r="H306" s="151"/>
      <c r="I306" s="151"/>
      <c r="J306" s="151"/>
    </row>
    <row r="307" spans="1:10">
      <c r="A307" s="156"/>
      <c r="C307" s="151"/>
      <c r="D307" s="151"/>
      <c r="E307" s="151"/>
      <c r="F307" s="151"/>
      <c r="G307" s="151"/>
      <c r="H307" s="151"/>
      <c r="I307" s="151"/>
      <c r="J307" s="151"/>
    </row>
    <row r="308" spans="1:10">
      <c r="A308" s="156"/>
      <c r="C308" s="151"/>
      <c r="D308" s="151"/>
      <c r="E308" s="151"/>
      <c r="F308" s="151"/>
      <c r="G308" s="151"/>
      <c r="H308" s="151"/>
      <c r="I308" s="151"/>
      <c r="J308" s="151"/>
    </row>
    <row r="309" spans="1:10">
      <c r="A309" s="156"/>
      <c r="C309" s="151"/>
      <c r="D309" s="151"/>
      <c r="E309" s="151"/>
      <c r="F309" s="151"/>
      <c r="G309" s="151"/>
      <c r="H309" s="151"/>
      <c r="I309" s="151"/>
      <c r="J309" s="151"/>
    </row>
    <row r="310" spans="1:10">
      <c r="A310" s="156"/>
      <c r="C310" s="151"/>
      <c r="D310" s="151"/>
      <c r="E310" s="151"/>
      <c r="F310" s="151"/>
      <c r="G310" s="151"/>
      <c r="H310" s="151"/>
      <c r="I310" s="151"/>
      <c r="J310" s="151"/>
    </row>
    <row r="311" spans="1:10">
      <c r="A311" s="156"/>
      <c r="C311" s="151"/>
      <c r="D311" s="151"/>
      <c r="E311" s="151"/>
      <c r="F311" s="151"/>
      <c r="G311" s="151"/>
      <c r="H311" s="151"/>
      <c r="I311" s="151"/>
      <c r="J311" s="151"/>
    </row>
    <row r="312" spans="1:10">
      <c r="A312" s="156"/>
      <c r="C312" s="151"/>
      <c r="D312" s="151"/>
      <c r="E312" s="151"/>
      <c r="F312" s="151"/>
      <c r="G312" s="151"/>
      <c r="H312" s="151"/>
      <c r="I312" s="151"/>
      <c r="J312" s="151"/>
    </row>
    <row r="313" spans="1:10">
      <c r="A313" s="156"/>
      <c r="C313" s="151"/>
      <c r="D313" s="151"/>
      <c r="E313" s="151"/>
      <c r="F313" s="151"/>
      <c r="G313" s="151"/>
      <c r="H313" s="151"/>
      <c r="I313" s="151"/>
      <c r="J313" s="151"/>
    </row>
    <row r="314" spans="1:10">
      <c r="A314" s="156"/>
      <c r="C314" s="151"/>
      <c r="D314" s="151"/>
      <c r="E314" s="151"/>
      <c r="F314" s="151"/>
      <c r="G314" s="151"/>
      <c r="H314" s="151"/>
      <c r="I314" s="151"/>
      <c r="J314" s="151"/>
    </row>
    <row r="315" spans="1:10">
      <c r="A315" s="156"/>
      <c r="C315" s="151"/>
      <c r="D315" s="151"/>
      <c r="E315" s="151"/>
      <c r="F315" s="151"/>
      <c r="G315" s="151"/>
      <c r="H315" s="151"/>
      <c r="I315" s="151"/>
      <c r="J315" s="151"/>
    </row>
    <row r="316" spans="1:10">
      <c r="A316" s="156"/>
      <c r="C316" s="151"/>
      <c r="D316" s="151"/>
      <c r="E316" s="151"/>
      <c r="F316" s="151"/>
      <c r="G316" s="151"/>
      <c r="H316" s="151"/>
      <c r="I316" s="151"/>
      <c r="J316" s="151"/>
    </row>
    <row r="317" spans="1:10">
      <c r="A317" s="156"/>
      <c r="C317" s="151"/>
      <c r="D317" s="151"/>
      <c r="E317" s="151"/>
      <c r="F317" s="151"/>
      <c r="G317" s="151"/>
      <c r="H317" s="151"/>
      <c r="I317" s="151"/>
      <c r="J317" s="151"/>
    </row>
    <row r="318" spans="1:10">
      <c r="A318" s="156"/>
      <c r="C318" s="151"/>
      <c r="D318" s="151"/>
      <c r="E318" s="151"/>
      <c r="F318" s="151"/>
      <c r="G318" s="151"/>
      <c r="H318" s="151"/>
      <c r="I318" s="151"/>
      <c r="J318" s="151"/>
    </row>
    <row r="319" spans="1:10">
      <c r="A319" s="156"/>
      <c r="C319" s="151"/>
      <c r="D319" s="151"/>
      <c r="E319" s="151"/>
      <c r="F319" s="151"/>
      <c r="G319" s="151"/>
      <c r="H319" s="151"/>
      <c r="I319" s="151"/>
      <c r="J319" s="151"/>
    </row>
    <row r="320" spans="1:10">
      <c r="A320" s="156"/>
      <c r="C320" s="151"/>
      <c r="D320" s="151"/>
      <c r="E320" s="151"/>
      <c r="F320" s="151"/>
      <c r="G320" s="151"/>
      <c r="H320" s="151"/>
      <c r="I320" s="151"/>
      <c r="J320" s="151"/>
    </row>
    <row r="321" spans="1:10">
      <c r="A321" s="156"/>
      <c r="C321" s="151"/>
      <c r="D321" s="151"/>
      <c r="E321" s="151"/>
      <c r="F321" s="151"/>
      <c r="G321" s="151"/>
      <c r="H321" s="151"/>
      <c r="I321" s="151"/>
      <c r="J321" s="151"/>
    </row>
    <row r="322" spans="1:10">
      <c r="A322" s="156"/>
      <c r="C322" s="151"/>
      <c r="D322" s="151"/>
      <c r="E322" s="151"/>
      <c r="F322" s="151"/>
      <c r="G322" s="151"/>
      <c r="H322" s="151"/>
      <c r="I322" s="151"/>
      <c r="J322" s="151"/>
    </row>
    <row r="323" spans="1:10">
      <c r="A323" s="156"/>
      <c r="C323" s="151"/>
      <c r="D323" s="151"/>
      <c r="E323" s="151"/>
      <c r="F323" s="151"/>
      <c r="G323" s="151"/>
      <c r="H323" s="151"/>
      <c r="I323" s="151"/>
      <c r="J323" s="151"/>
    </row>
    <row r="324" spans="1:10">
      <c r="A324" s="156"/>
      <c r="C324" s="151"/>
      <c r="D324" s="151"/>
      <c r="E324" s="151"/>
      <c r="F324" s="151"/>
      <c r="G324" s="151"/>
      <c r="H324" s="151"/>
      <c r="I324" s="151"/>
      <c r="J324" s="151"/>
    </row>
    <row r="325" spans="1:10">
      <c r="A325" s="156"/>
      <c r="C325" s="151"/>
      <c r="D325" s="151"/>
      <c r="E325" s="151"/>
      <c r="F325" s="151"/>
      <c r="G325" s="151"/>
      <c r="H325" s="151"/>
      <c r="I325" s="151"/>
      <c r="J325" s="151"/>
    </row>
    <row r="326" spans="1:10">
      <c r="A326" s="156"/>
      <c r="C326" s="151"/>
      <c r="D326" s="151"/>
      <c r="E326" s="151"/>
      <c r="F326" s="151"/>
      <c r="G326" s="151"/>
      <c r="H326" s="151"/>
      <c r="I326" s="151"/>
      <c r="J326" s="151"/>
    </row>
    <row r="327" spans="1:10">
      <c r="A327" s="156"/>
      <c r="C327" s="151"/>
      <c r="D327" s="151"/>
      <c r="E327" s="151"/>
      <c r="F327" s="151"/>
      <c r="G327" s="151"/>
      <c r="H327" s="151"/>
      <c r="I327" s="151"/>
      <c r="J327" s="151"/>
    </row>
    <row r="328" spans="1:10">
      <c r="A328" s="156"/>
      <c r="C328" s="151"/>
      <c r="D328" s="151"/>
      <c r="E328" s="151"/>
      <c r="F328" s="151"/>
      <c r="G328" s="151"/>
      <c r="H328" s="151"/>
      <c r="I328" s="151"/>
      <c r="J328" s="151"/>
    </row>
    <row r="329" spans="1:10">
      <c r="A329" s="156"/>
      <c r="C329" s="151"/>
      <c r="D329" s="151"/>
      <c r="E329" s="151"/>
      <c r="F329" s="151"/>
      <c r="G329" s="151"/>
      <c r="H329" s="151"/>
      <c r="I329" s="151"/>
      <c r="J329" s="151"/>
    </row>
    <row r="330" spans="1:10">
      <c r="A330" s="156"/>
      <c r="C330" s="151"/>
      <c r="D330" s="151"/>
      <c r="E330" s="151"/>
      <c r="F330" s="151"/>
      <c r="G330" s="151"/>
      <c r="H330" s="151"/>
      <c r="I330" s="151"/>
      <c r="J330" s="151"/>
    </row>
    <row r="331" spans="1:10">
      <c r="A331" s="156"/>
      <c r="C331" s="151"/>
      <c r="D331" s="151"/>
      <c r="E331" s="151"/>
      <c r="F331" s="151"/>
      <c r="G331" s="151"/>
      <c r="H331" s="151"/>
      <c r="I331" s="151"/>
      <c r="J331" s="151"/>
    </row>
    <row r="332" spans="1:10">
      <c r="A332" s="156"/>
      <c r="C332" s="151"/>
      <c r="D332" s="151"/>
      <c r="E332" s="151"/>
      <c r="F332" s="151"/>
      <c r="G332" s="151"/>
      <c r="H332" s="151"/>
      <c r="I332" s="151"/>
      <c r="J332" s="151"/>
    </row>
    <row r="333" spans="1:10">
      <c r="A333" s="156"/>
      <c r="C333" s="151"/>
      <c r="D333" s="151"/>
      <c r="E333" s="151"/>
      <c r="F333" s="151"/>
      <c r="G333" s="151"/>
      <c r="H333" s="151"/>
      <c r="I333" s="151"/>
      <c r="J333" s="151"/>
    </row>
    <row r="334" spans="1:10">
      <c r="A334" s="156"/>
      <c r="C334" s="151"/>
      <c r="D334" s="151"/>
      <c r="E334" s="151"/>
      <c r="F334" s="151"/>
      <c r="G334" s="151"/>
      <c r="H334" s="151"/>
      <c r="I334" s="151"/>
      <c r="J334" s="151"/>
    </row>
    <row r="335" spans="1:10">
      <c r="A335" s="156"/>
      <c r="C335" s="151"/>
      <c r="D335" s="151"/>
      <c r="E335" s="151"/>
      <c r="F335" s="151"/>
      <c r="G335" s="151"/>
      <c r="H335" s="151"/>
      <c r="I335" s="151"/>
      <c r="J335" s="151"/>
    </row>
    <row r="336" spans="1:10">
      <c r="A336" s="156"/>
      <c r="C336" s="151"/>
      <c r="D336" s="151"/>
      <c r="E336" s="151"/>
      <c r="F336" s="151"/>
      <c r="G336" s="151"/>
      <c r="H336" s="151"/>
      <c r="I336" s="151"/>
      <c r="J336" s="151"/>
    </row>
    <row r="337" spans="1:10">
      <c r="A337" s="156"/>
      <c r="C337" s="151"/>
      <c r="D337" s="151"/>
      <c r="E337" s="151"/>
      <c r="F337" s="151"/>
      <c r="G337" s="151"/>
      <c r="H337" s="151"/>
      <c r="I337" s="151"/>
      <c r="J337" s="151"/>
    </row>
    <row r="338" spans="1:10">
      <c r="A338" s="156"/>
      <c r="C338" s="151"/>
      <c r="D338" s="151"/>
      <c r="E338" s="151"/>
      <c r="F338" s="151"/>
      <c r="G338" s="151"/>
      <c r="H338" s="151"/>
      <c r="I338" s="151"/>
      <c r="J338" s="151"/>
    </row>
    <row r="339" spans="1:10">
      <c r="A339" s="156"/>
      <c r="C339" s="151"/>
      <c r="D339" s="151"/>
      <c r="E339" s="151"/>
      <c r="F339" s="151"/>
      <c r="G339" s="151"/>
      <c r="H339" s="151"/>
      <c r="I339" s="151"/>
      <c r="J339" s="151"/>
    </row>
    <row r="340" spans="1:10">
      <c r="A340" s="156"/>
      <c r="C340" s="151"/>
      <c r="D340" s="151"/>
      <c r="E340" s="151"/>
      <c r="F340" s="151"/>
      <c r="G340" s="151"/>
      <c r="H340" s="151"/>
      <c r="I340" s="151"/>
      <c r="J340" s="151"/>
    </row>
    <row r="341" spans="1:10">
      <c r="A341" s="156"/>
      <c r="C341" s="151"/>
      <c r="D341" s="151"/>
      <c r="E341" s="151"/>
      <c r="F341" s="151"/>
      <c r="G341" s="151"/>
      <c r="H341" s="151"/>
      <c r="I341" s="151"/>
      <c r="J341" s="151"/>
    </row>
    <row r="342" spans="1:10">
      <c r="A342" s="156"/>
      <c r="C342" s="151"/>
      <c r="D342" s="151"/>
      <c r="E342" s="151"/>
      <c r="F342" s="151"/>
      <c r="G342" s="151"/>
      <c r="H342" s="151"/>
      <c r="I342" s="151"/>
      <c r="J342" s="151"/>
    </row>
    <row r="343" spans="1:10">
      <c r="A343" s="156"/>
      <c r="C343" s="151"/>
      <c r="D343" s="151"/>
      <c r="E343" s="151"/>
      <c r="F343" s="151"/>
      <c r="G343" s="151"/>
      <c r="H343" s="151"/>
      <c r="I343" s="151"/>
      <c r="J343" s="151"/>
    </row>
    <row r="344" spans="1:10">
      <c r="A344" s="156"/>
      <c r="C344" s="151"/>
      <c r="D344" s="151"/>
      <c r="E344" s="151"/>
      <c r="F344" s="151"/>
      <c r="G344" s="151"/>
      <c r="H344" s="151"/>
      <c r="I344" s="151"/>
      <c r="J344" s="151"/>
    </row>
    <row r="345" spans="1:10">
      <c r="A345" s="156"/>
      <c r="C345" s="151"/>
      <c r="D345" s="151"/>
      <c r="E345" s="151"/>
      <c r="F345" s="151"/>
      <c r="G345" s="151"/>
      <c r="H345" s="151"/>
      <c r="I345" s="151"/>
      <c r="J345" s="151"/>
    </row>
    <row r="346" spans="1:10">
      <c r="A346" s="156"/>
      <c r="C346" s="151"/>
      <c r="D346" s="151"/>
      <c r="E346" s="151"/>
      <c r="F346" s="151"/>
      <c r="G346" s="151"/>
      <c r="H346" s="151"/>
      <c r="I346" s="151"/>
      <c r="J346" s="151"/>
    </row>
    <row r="347" spans="1:10">
      <c r="A347" s="156"/>
      <c r="C347" s="151"/>
      <c r="D347" s="151"/>
      <c r="E347" s="151"/>
      <c r="F347" s="151"/>
      <c r="G347" s="151"/>
      <c r="H347" s="151"/>
      <c r="I347" s="151"/>
      <c r="J347" s="151"/>
    </row>
    <row r="348" spans="1:10">
      <c r="A348" s="156"/>
      <c r="C348" s="151"/>
      <c r="D348" s="151"/>
      <c r="E348" s="151"/>
      <c r="F348" s="151"/>
      <c r="G348" s="151"/>
      <c r="H348" s="151"/>
      <c r="I348" s="151"/>
      <c r="J348" s="151"/>
    </row>
    <row r="349" spans="1:10">
      <c r="A349" s="156"/>
      <c r="C349" s="151"/>
      <c r="D349" s="151"/>
      <c r="E349" s="151"/>
      <c r="F349" s="151"/>
      <c r="G349" s="151"/>
      <c r="H349" s="151"/>
      <c r="I349" s="151"/>
      <c r="J349" s="151"/>
    </row>
    <row r="350" spans="1:10">
      <c r="A350" s="156"/>
      <c r="C350" s="151"/>
      <c r="D350" s="151"/>
      <c r="E350" s="151"/>
      <c r="F350" s="151"/>
      <c r="G350" s="151"/>
      <c r="H350" s="151"/>
      <c r="I350" s="151"/>
      <c r="J350" s="151"/>
    </row>
    <row r="351" spans="1:10">
      <c r="A351" s="156"/>
      <c r="C351" s="151"/>
      <c r="D351" s="151"/>
      <c r="E351" s="151"/>
      <c r="F351" s="151"/>
      <c r="G351" s="151"/>
      <c r="H351" s="151"/>
      <c r="I351" s="151"/>
      <c r="J351" s="151"/>
    </row>
    <row r="352" spans="1:10">
      <c r="A352" s="156"/>
      <c r="C352" s="151"/>
      <c r="D352" s="151"/>
      <c r="E352" s="151"/>
      <c r="F352" s="151"/>
      <c r="G352" s="151"/>
      <c r="H352" s="151"/>
      <c r="I352" s="151"/>
      <c r="J352" s="151"/>
    </row>
    <row r="353" spans="1:10">
      <c r="A353" s="156"/>
      <c r="C353" s="151"/>
      <c r="D353" s="151"/>
      <c r="E353" s="151"/>
      <c r="F353" s="151"/>
      <c r="G353" s="151"/>
      <c r="H353" s="151"/>
      <c r="I353" s="151"/>
      <c r="J353" s="151"/>
    </row>
    <row r="354" spans="1:10">
      <c r="A354" s="156"/>
      <c r="C354" s="151"/>
      <c r="D354" s="151"/>
      <c r="E354" s="151"/>
      <c r="F354" s="151"/>
      <c r="G354" s="151"/>
      <c r="H354" s="151"/>
      <c r="I354" s="151"/>
      <c r="J354" s="151"/>
    </row>
    <row r="355" spans="1:10">
      <c r="A355" s="156"/>
      <c r="C355" s="151"/>
      <c r="D355" s="151"/>
      <c r="E355" s="151"/>
      <c r="F355" s="151"/>
      <c r="G355" s="151"/>
      <c r="H355" s="151"/>
      <c r="I355" s="151"/>
      <c r="J355" s="151"/>
    </row>
    <row r="356" spans="1:10">
      <c r="A356" s="156"/>
      <c r="C356" s="151"/>
      <c r="D356" s="151"/>
      <c r="E356" s="151"/>
      <c r="F356" s="151"/>
      <c r="G356" s="151"/>
      <c r="H356" s="151"/>
      <c r="I356" s="151"/>
      <c r="J356" s="151"/>
    </row>
    <row r="357" spans="1:10">
      <c r="A357" s="156"/>
      <c r="C357" s="151"/>
      <c r="D357" s="151"/>
      <c r="E357" s="151"/>
      <c r="F357" s="151"/>
      <c r="G357" s="151"/>
      <c r="H357" s="151"/>
      <c r="I357" s="151"/>
      <c r="J357" s="151"/>
    </row>
    <row r="358" spans="1:10">
      <c r="A358" s="156"/>
      <c r="C358" s="151"/>
      <c r="D358" s="151"/>
      <c r="E358" s="151"/>
      <c r="F358" s="151"/>
      <c r="G358" s="151"/>
      <c r="H358" s="151"/>
      <c r="I358" s="151"/>
      <c r="J358" s="151"/>
    </row>
    <row r="359" spans="1:10">
      <c r="A359" s="156"/>
      <c r="C359" s="151"/>
      <c r="D359" s="151"/>
      <c r="E359" s="151"/>
      <c r="F359" s="151"/>
      <c r="G359" s="151"/>
      <c r="H359" s="151"/>
      <c r="I359" s="151"/>
      <c r="J359" s="151"/>
    </row>
    <row r="360" spans="1:10">
      <c r="A360" s="156"/>
      <c r="C360" s="151"/>
      <c r="D360" s="151"/>
      <c r="E360" s="151"/>
      <c r="F360" s="151"/>
      <c r="G360" s="151"/>
      <c r="H360" s="151"/>
      <c r="I360" s="151"/>
      <c r="J360" s="151"/>
    </row>
    <row r="361" spans="1:10">
      <c r="A361" s="156"/>
      <c r="C361" s="151"/>
      <c r="D361" s="151"/>
      <c r="E361" s="151"/>
      <c r="F361" s="151"/>
      <c r="G361" s="151"/>
      <c r="H361" s="151"/>
      <c r="I361" s="151"/>
      <c r="J361" s="151"/>
    </row>
    <row r="362" spans="1:10">
      <c r="A362" s="156"/>
      <c r="C362" s="151"/>
      <c r="D362" s="151"/>
      <c r="E362" s="151"/>
      <c r="F362" s="151"/>
      <c r="G362" s="151"/>
      <c r="H362" s="151"/>
      <c r="I362" s="151"/>
      <c r="J362" s="151"/>
    </row>
    <row r="363" spans="1:10">
      <c r="A363" s="156"/>
      <c r="C363" s="151"/>
      <c r="D363" s="151"/>
      <c r="E363" s="151"/>
      <c r="F363" s="151"/>
      <c r="G363" s="151"/>
      <c r="H363" s="151"/>
      <c r="I363" s="151"/>
      <c r="J363" s="151"/>
    </row>
    <row r="364" spans="1:10">
      <c r="A364" s="156"/>
      <c r="C364" s="151"/>
      <c r="D364" s="151"/>
      <c r="E364" s="151"/>
      <c r="F364" s="151"/>
      <c r="G364" s="151"/>
      <c r="H364" s="151"/>
      <c r="I364" s="151"/>
      <c r="J364" s="151"/>
    </row>
    <row r="365" spans="1:10">
      <c r="A365" s="156"/>
      <c r="C365" s="151"/>
      <c r="D365" s="151"/>
      <c r="E365" s="151"/>
      <c r="F365" s="151"/>
      <c r="G365" s="151"/>
      <c r="H365" s="151"/>
      <c r="I365" s="151"/>
      <c r="J365" s="151"/>
    </row>
    <row r="366" spans="1:10">
      <c r="A366" s="156"/>
      <c r="C366" s="151"/>
      <c r="D366" s="151"/>
      <c r="E366" s="151"/>
      <c r="F366" s="151"/>
      <c r="G366" s="151"/>
      <c r="H366" s="151"/>
      <c r="I366" s="151"/>
      <c r="J366" s="151"/>
    </row>
    <row r="367" spans="1:10">
      <c r="A367" s="156"/>
      <c r="C367" s="151"/>
      <c r="D367" s="151"/>
      <c r="E367" s="151"/>
      <c r="F367" s="151"/>
      <c r="G367" s="151"/>
      <c r="H367" s="151"/>
      <c r="I367" s="151"/>
      <c r="J367" s="151"/>
    </row>
    <row r="368" spans="1:10">
      <c r="A368" s="156"/>
      <c r="C368" s="151"/>
      <c r="D368" s="151"/>
      <c r="E368" s="151"/>
      <c r="F368" s="151"/>
      <c r="G368" s="151"/>
      <c r="H368" s="151"/>
      <c r="I368" s="151"/>
      <c r="J368" s="151"/>
    </row>
    <row r="369" spans="1:10">
      <c r="A369" s="156"/>
      <c r="C369" s="151"/>
      <c r="D369" s="151"/>
      <c r="E369" s="151"/>
      <c r="F369" s="151"/>
      <c r="G369" s="151"/>
      <c r="H369" s="151"/>
      <c r="I369" s="151"/>
      <c r="J369" s="151"/>
    </row>
    <row r="370" spans="1:10">
      <c r="A370" s="156"/>
      <c r="C370" s="151"/>
      <c r="D370" s="151"/>
      <c r="E370" s="151"/>
      <c r="F370" s="151"/>
      <c r="G370" s="151"/>
      <c r="H370" s="151"/>
      <c r="I370" s="151"/>
      <c r="J370" s="151"/>
    </row>
    <row r="371" spans="1:10">
      <c r="A371" s="156"/>
      <c r="C371" s="151"/>
      <c r="D371" s="151"/>
      <c r="E371" s="151"/>
      <c r="F371" s="151"/>
      <c r="G371" s="151"/>
      <c r="H371" s="151"/>
      <c r="I371" s="151"/>
      <c r="J371" s="151"/>
    </row>
    <row r="372" spans="1:10">
      <c r="A372" s="156"/>
      <c r="C372" s="151"/>
      <c r="D372" s="151"/>
      <c r="E372" s="151"/>
      <c r="F372" s="151"/>
      <c r="G372" s="151"/>
      <c r="H372" s="151"/>
      <c r="I372" s="151"/>
      <c r="J372" s="151"/>
    </row>
    <row r="373" spans="1:10">
      <c r="A373" s="156"/>
      <c r="C373" s="151"/>
      <c r="D373" s="151"/>
      <c r="E373" s="151"/>
      <c r="F373" s="151"/>
      <c r="G373" s="151"/>
      <c r="H373" s="151"/>
      <c r="I373" s="151"/>
      <c r="J373" s="151"/>
    </row>
    <row r="374" spans="1:10">
      <c r="A374" s="156"/>
      <c r="C374" s="151"/>
      <c r="D374" s="151"/>
      <c r="E374" s="151"/>
      <c r="F374" s="151"/>
      <c r="G374" s="151"/>
      <c r="H374" s="151"/>
      <c r="I374" s="151"/>
      <c r="J374" s="151"/>
    </row>
    <row r="375" spans="1:10">
      <c r="A375" s="156"/>
      <c r="C375" s="151"/>
      <c r="D375" s="151"/>
      <c r="E375" s="151"/>
      <c r="F375" s="151"/>
      <c r="G375" s="151"/>
      <c r="H375" s="151"/>
      <c r="I375" s="151"/>
      <c r="J375" s="151"/>
    </row>
    <row r="376" spans="1:10">
      <c r="A376" s="156"/>
      <c r="C376" s="151"/>
      <c r="D376" s="151"/>
      <c r="E376" s="151"/>
      <c r="F376" s="151"/>
      <c r="G376" s="151"/>
      <c r="H376" s="151"/>
      <c r="I376" s="151"/>
      <c r="J376" s="151"/>
    </row>
    <row r="377" spans="1:10">
      <c r="A377" s="156"/>
      <c r="C377" s="151"/>
      <c r="D377" s="151"/>
      <c r="E377" s="151"/>
      <c r="F377" s="151"/>
      <c r="G377" s="151"/>
      <c r="H377" s="151"/>
      <c r="I377" s="151"/>
      <c r="J377" s="151"/>
    </row>
    <row r="378" spans="1:10">
      <c r="A378" s="156"/>
      <c r="C378" s="151"/>
      <c r="D378" s="151"/>
      <c r="E378" s="151"/>
      <c r="F378" s="151"/>
      <c r="G378" s="151"/>
      <c r="H378" s="151"/>
      <c r="I378" s="151"/>
      <c r="J378" s="151"/>
    </row>
    <row r="379" spans="1:10">
      <c r="A379" s="156"/>
      <c r="C379" s="151"/>
      <c r="D379" s="151"/>
      <c r="E379" s="151"/>
      <c r="F379" s="151"/>
      <c r="G379" s="151"/>
      <c r="H379" s="151"/>
      <c r="I379" s="151"/>
      <c r="J379" s="151"/>
    </row>
    <row r="380" spans="1:10">
      <c r="A380" s="156"/>
      <c r="C380" s="151"/>
      <c r="D380" s="151"/>
      <c r="E380" s="151"/>
      <c r="F380" s="151"/>
      <c r="G380" s="151"/>
      <c r="H380" s="151"/>
      <c r="I380" s="151"/>
      <c r="J380" s="151"/>
    </row>
    <row r="381" spans="1:10">
      <c r="A381" s="156"/>
      <c r="C381" s="151"/>
      <c r="D381" s="151"/>
      <c r="E381" s="151"/>
      <c r="F381" s="151"/>
      <c r="G381" s="151"/>
      <c r="H381" s="151"/>
      <c r="I381" s="151"/>
      <c r="J381" s="151"/>
    </row>
  </sheetData>
  <mergeCells count="8">
    <mergeCell ref="F1:G1"/>
    <mergeCell ref="H1:I1"/>
    <mergeCell ref="J1:J2"/>
    <mergeCell ref="A1:A2"/>
    <mergeCell ref="B1:B2"/>
    <mergeCell ref="C1:C2"/>
    <mergeCell ref="D1:D2"/>
    <mergeCell ref="E1:E2"/>
  </mergeCells>
  <pageMargins left="0.70866141732283472" right="0.70866141732283472" top="0.74803149606299213" bottom="0.74803149606299213" header="0" footer="0"/>
  <pageSetup scale="60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408"/>
  <sheetViews>
    <sheetView showGridLines="0" zoomScale="81" zoomScaleNormal="81" workbookViewId="0">
      <pane ySplit="2" topLeftCell="A193" activePane="bottomLeft" state="frozen"/>
      <selection pane="bottomLeft" activeCell="E195" sqref="E195"/>
    </sheetView>
  </sheetViews>
  <sheetFormatPr defaultColWidth="12.69921875" defaultRowHeight="18"/>
  <cols>
    <col min="1" max="1" width="5.796875" style="22" customWidth="1"/>
    <col min="2" max="2" width="38" style="22" customWidth="1"/>
    <col min="3" max="6" width="15.796875" style="22" customWidth="1"/>
    <col min="7" max="16384" width="12.69921875" style="22"/>
  </cols>
  <sheetData>
    <row r="1" spans="1:6">
      <c r="A1" s="231" t="s">
        <v>22</v>
      </c>
      <c r="B1" s="231" t="s">
        <v>42</v>
      </c>
      <c r="C1" s="232" t="s">
        <v>32</v>
      </c>
      <c r="D1" s="233" t="s">
        <v>41</v>
      </c>
      <c r="E1" s="226"/>
      <c r="F1" s="234" t="s">
        <v>37</v>
      </c>
    </row>
    <row r="2" spans="1:6" ht="30" customHeight="1">
      <c r="A2" s="228"/>
      <c r="B2" s="228"/>
      <c r="C2" s="228"/>
      <c r="D2" s="27" t="s">
        <v>38</v>
      </c>
      <c r="E2" s="27" t="s">
        <v>39</v>
      </c>
      <c r="F2" s="228"/>
    </row>
    <row r="3" spans="1:6">
      <c r="A3" s="23">
        <f>IF('TENAGA KERJA'!A2=0,"",'TENAGA KERJA'!A2)</f>
        <v>1</v>
      </c>
      <c r="B3" s="24" t="str">
        <f>IF('TENAGA KERJA'!B2=0,"",'TENAGA KERJA'!B2)</f>
        <v>ABDUL HALIM</v>
      </c>
      <c r="C3" s="43">
        <f>IF('TENAGA KERJA'!J2="Tidak",0,('TENAGA KERJA'!K2+'TENAGA KERJA'!L2))</f>
        <v>4391337</v>
      </c>
      <c r="D3" s="43">
        <f>IF(C3=0,0,IF(C3&lt;SETTING!$C$3,(SETTING!$C$3*SETTING!$C$5),IF(C3&gt;SETTING!$C$4,(SETTING!$C$4*SETTING!$C$5),(C3*SETTING!$C$5))))</f>
        <v>175653.48</v>
      </c>
      <c r="E3" s="43">
        <f>IF(C3=0,0,IF(C3&lt;SETTING!$C$3,(SETTING!$C$3*SETTING!$C$6),IF(C3&gt;SETTING!$C$4,(SETTING!$C$4*SETTING!$C$6),(C3*SETTING!$C$6))))</f>
        <v>43913.37</v>
      </c>
      <c r="F3" s="44">
        <f t="shared" ref="F3" si="0">D3+E3</f>
        <v>219566.85</v>
      </c>
    </row>
    <row r="4" spans="1:6">
      <c r="A4" s="23">
        <f>IF('TENAGA KERJA'!A3=0,"",'TENAGA KERJA'!A3)</f>
        <v>2</v>
      </c>
      <c r="B4" s="24" t="str">
        <f>IF('TENAGA KERJA'!B3=0,"",'TENAGA KERJA'!B3)</f>
        <v>SRI ASLINDA</v>
      </c>
      <c r="C4" s="43">
        <f>IF('TENAGA KERJA'!J3="Tidak",0,('TENAGA KERJA'!K3+'TENAGA KERJA'!L3))</f>
        <v>4391337</v>
      </c>
      <c r="D4" s="43">
        <f>IF(C4=0,0,IF(C4&lt;SETTING!$C$3,(SETTING!$C$3*SETTING!$C$5),IF(C4&gt;SETTING!$C$4,(SETTING!$C$4*SETTING!$C$5),(C4*SETTING!$C$5))))</f>
        <v>175653.48</v>
      </c>
      <c r="E4" s="43">
        <f>IF(C4=0,0,IF(C4&lt;SETTING!$C$3,(SETTING!$C$3*SETTING!$C$6),IF(C4&gt;SETTING!$C$4,(SETTING!$C$4*SETTING!$C$6),(C4*SETTING!$C$6))))</f>
        <v>43913.37</v>
      </c>
      <c r="F4" s="44">
        <f t="shared" ref="F4" si="1">D4+E4</f>
        <v>219566.85</v>
      </c>
    </row>
    <row r="5" spans="1:6">
      <c r="A5" s="23">
        <f>IF('TENAGA KERJA'!A4=0,"",'TENAGA KERJA'!A4)</f>
        <v>3</v>
      </c>
      <c r="B5" s="24" t="str">
        <f>IF('TENAGA KERJA'!B4=0,"",'TENAGA KERJA'!B4)</f>
        <v>RAFLY RAHMADAN GOBEL</v>
      </c>
      <c r="C5" s="43">
        <f>IF('TENAGA KERJA'!J4="Tidak",0,('TENAGA KERJA'!K4+'TENAGA KERJA'!L4))</f>
        <v>4391337</v>
      </c>
      <c r="D5" s="43">
        <f>IF(C5=0,0,IF(C5&lt;SETTING!$C$3,(SETTING!$C$3*SETTING!$C$5),IF(C5&gt;SETTING!$C$4,(SETTING!$C$4*SETTING!$C$5),(C5*SETTING!$C$5))))</f>
        <v>175653.48</v>
      </c>
      <c r="E5" s="43">
        <f>IF(C5=0,0,IF(C5&lt;SETTING!$C$3,(SETTING!$C$3*SETTING!$C$6),IF(C5&gt;SETTING!$C$4,(SETTING!$C$4*SETTING!$C$6),(C5*SETTING!$C$6))))</f>
        <v>43913.37</v>
      </c>
      <c r="F5" s="44">
        <f t="shared" ref="F5:F68" si="2">D5+E5</f>
        <v>219566.85</v>
      </c>
    </row>
    <row r="6" spans="1:6">
      <c r="A6" s="23">
        <f>IF('TENAGA KERJA'!A5=0,"",'TENAGA KERJA'!A5)</f>
        <v>4</v>
      </c>
      <c r="B6" s="24" t="str">
        <f>IF('TENAGA KERJA'!B5=0,"",'TENAGA KERJA'!B5)</f>
        <v>RAHMAT HIDAYAT</v>
      </c>
      <c r="C6" s="43">
        <f>IF('TENAGA KERJA'!J5="Tidak",0,('TENAGA KERJA'!K5+'TENAGA KERJA'!L5))</f>
        <v>4391337</v>
      </c>
      <c r="D6" s="43">
        <f>IF(C6=0,0,IF(C6&lt;SETTING!$C$3,(SETTING!$C$3*SETTING!$C$5),IF(C6&gt;SETTING!$C$4,(SETTING!$C$4*SETTING!$C$5),(C6*SETTING!$C$5))))</f>
        <v>175653.48</v>
      </c>
      <c r="E6" s="43">
        <f>IF(C6=0,0,IF(C6&lt;SETTING!$C$3,(SETTING!$C$3*SETTING!$C$6),IF(C6&gt;SETTING!$C$4,(SETTING!$C$4*SETTING!$C$6),(C6*SETTING!$C$6))))</f>
        <v>43913.37</v>
      </c>
      <c r="F6" s="44">
        <f t="shared" si="2"/>
        <v>219566.85</v>
      </c>
    </row>
    <row r="7" spans="1:6">
      <c r="A7" s="23">
        <f>IF('TENAGA KERJA'!A6=0,"",'TENAGA KERJA'!A6)</f>
        <v>5</v>
      </c>
      <c r="B7" s="24" t="str">
        <f>IF('TENAGA KERJA'!B6=0,"",'TENAGA KERJA'!B6)</f>
        <v>ARYABAYA SRIPATI</v>
      </c>
      <c r="C7" s="43">
        <f>IF('TENAGA KERJA'!J6="Tidak",0,('TENAGA KERJA'!K6+'TENAGA KERJA'!L6))</f>
        <v>4391337</v>
      </c>
      <c r="D7" s="43">
        <f>IF(C7=0,0,IF(C7&lt;SETTING!$C$3,(SETTING!$C$3*SETTING!$C$5),IF(C7&gt;SETTING!$C$4,(SETTING!$C$4*SETTING!$C$5),(C7*SETTING!$C$5))))</f>
        <v>175653.48</v>
      </c>
      <c r="E7" s="43">
        <f>IF(C7=0,0,IF(C7&lt;SETTING!$C$3,(SETTING!$C$3*SETTING!$C$6),IF(C7&gt;SETTING!$C$4,(SETTING!$C$4*SETTING!$C$6),(C7*SETTING!$C$6))))</f>
        <v>43913.37</v>
      </c>
      <c r="F7" s="44">
        <f t="shared" si="2"/>
        <v>219566.85</v>
      </c>
    </row>
    <row r="8" spans="1:6">
      <c r="A8" s="23">
        <f>IF('TENAGA KERJA'!A7=0,"",'TENAGA KERJA'!A7)</f>
        <v>6</v>
      </c>
      <c r="B8" s="24" t="str">
        <f>IF('TENAGA KERJA'!B7=0,"",'TENAGA KERJA'!B7)</f>
        <v>REZA NURHIDAYAT</v>
      </c>
      <c r="C8" s="43">
        <f>IF('TENAGA KERJA'!J7="Tidak",0,('TENAGA KERJA'!K7+'TENAGA KERJA'!L7))</f>
        <v>4391337</v>
      </c>
      <c r="D8" s="43">
        <f>IF(C8=0,0,IF(C8&lt;SETTING!$C$3,(SETTING!$C$3*SETTING!$C$5),IF(C8&gt;SETTING!$C$4,(SETTING!$C$4*SETTING!$C$5),(C8*SETTING!$C$5))))</f>
        <v>175653.48</v>
      </c>
      <c r="E8" s="43">
        <f>IF(C8=0,0,IF(C8&lt;SETTING!$C$3,(SETTING!$C$3*SETTING!$C$6),IF(C8&gt;SETTING!$C$4,(SETTING!$C$4*SETTING!$C$6),(C8*SETTING!$C$6))))</f>
        <v>43913.37</v>
      </c>
      <c r="F8" s="44">
        <f t="shared" si="2"/>
        <v>219566.85</v>
      </c>
    </row>
    <row r="9" spans="1:6">
      <c r="A9" s="23">
        <f>IF('TENAGA KERJA'!A8=0,"",'TENAGA KERJA'!A8)</f>
        <v>7</v>
      </c>
      <c r="B9" s="24" t="str">
        <f>IF('TENAGA KERJA'!B8=0,"",'TENAGA KERJA'!B8)</f>
        <v>MUHAMMAD ANSHAR A</v>
      </c>
      <c r="C9" s="43">
        <f>IF('TENAGA KERJA'!J8="Tidak",0,('TENAGA KERJA'!K8+'TENAGA KERJA'!L8))</f>
        <v>4391337</v>
      </c>
      <c r="D9" s="43">
        <f>IF(C9=0,0,IF(C9&lt;SETTING!$C$3,(SETTING!$C$3*SETTING!$C$5),IF(C9&gt;SETTING!$C$4,(SETTING!$C$4*SETTING!$C$5),(C9*SETTING!$C$5))))</f>
        <v>175653.48</v>
      </c>
      <c r="E9" s="43">
        <f>IF(C9=0,0,IF(C9&lt;SETTING!$C$3,(SETTING!$C$3*SETTING!$C$6),IF(C9&gt;SETTING!$C$4,(SETTING!$C$4*SETTING!$C$6),(C9*SETTING!$C$6))))</f>
        <v>43913.37</v>
      </c>
      <c r="F9" s="44">
        <f t="shared" si="2"/>
        <v>219566.85</v>
      </c>
    </row>
    <row r="10" spans="1:6">
      <c r="A10" s="23">
        <f>IF('TENAGA KERJA'!A9=0,"",'TENAGA KERJA'!A9)</f>
        <v>8</v>
      </c>
      <c r="B10" s="24" t="str">
        <f>IF('TENAGA KERJA'!B9=0,"",'TENAGA KERJA'!B9)</f>
        <v>IKA JULITA</v>
      </c>
      <c r="C10" s="43">
        <f>IF('TENAGA KERJA'!J9="Tidak",0,('TENAGA KERJA'!K9+'TENAGA KERJA'!L9))</f>
        <v>4391337</v>
      </c>
      <c r="D10" s="43">
        <f>IF(C10=0,0,IF(C10&lt;SETTING!$C$3,(SETTING!$C$3*SETTING!$C$5),IF(C10&gt;SETTING!$C$4,(SETTING!$C$4*SETTING!$C$5),(C10*SETTING!$C$5))))</f>
        <v>175653.48</v>
      </c>
      <c r="E10" s="43">
        <f>IF(C10=0,0,IF(C10&lt;SETTING!$C$3,(SETTING!$C$3*SETTING!$C$6),IF(C10&gt;SETTING!$C$4,(SETTING!$C$4*SETTING!$C$6),(C10*SETTING!$C$6))))</f>
        <v>43913.37</v>
      </c>
      <c r="F10" s="44">
        <f t="shared" si="2"/>
        <v>219566.85</v>
      </c>
    </row>
    <row r="11" spans="1:6">
      <c r="A11" s="23">
        <f>IF('TENAGA KERJA'!A10=0,"",'TENAGA KERJA'!A10)</f>
        <v>9</v>
      </c>
      <c r="B11" s="24" t="str">
        <f>IF('TENAGA KERJA'!B10=0,"",'TENAGA KERJA'!B10)</f>
        <v>FAJAR SHADIQ HERNANDA</v>
      </c>
      <c r="C11" s="43">
        <f>IF('TENAGA KERJA'!J10="Tidak",0,('TENAGA KERJA'!K10+'TENAGA KERJA'!L10))</f>
        <v>4391337</v>
      </c>
      <c r="D11" s="43">
        <f>IF(C11=0,0,IF(C11&lt;SETTING!$C$3,(SETTING!$C$3*SETTING!$C$5),IF(C11&gt;SETTING!$C$4,(SETTING!$C$4*SETTING!$C$5),(C11*SETTING!$C$5))))</f>
        <v>175653.48</v>
      </c>
      <c r="E11" s="43">
        <f>IF(C11=0,0,IF(C11&lt;SETTING!$C$3,(SETTING!$C$3*SETTING!$C$6),IF(C11&gt;SETTING!$C$4,(SETTING!$C$4*SETTING!$C$6),(C11*SETTING!$C$6))))</f>
        <v>43913.37</v>
      </c>
      <c r="F11" s="44">
        <f t="shared" si="2"/>
        <v>219566.85</v>
      </c>
    </row>
    <row r="12" spans="1:6">
      <c r="A12" s="23">
        <f>IF('TENAGA KERJA'!A11=0,"",'TENAGA KERJA'!A11)</f>
        <v>10</v>
      </c>
      <c r="B12" s="24" t="str">
        <f>IF('TENAGA KERJA'!B11=0,"",'TENAGA KERJA'!B11)</f>
        <v>BAGUS DWI ARISTA</v>
      </c>
      <c r="C12" s="43">
        <f>IF('TENAGA KERJA'!J11="Tidak",0,('TENAGA KERJA'!K11+'TENAGA KERJA'!L11))</f>
        <v>4391337</v>
      </c>
      <c r="D12" s="43">
        <f>IF(C12=0,0,IF(C12&lt;SETTING!$C$3,(SETTING!$C$3*SETTING!$C$5),IF(C12&gt;SETTING!$C$4,(SETTING!$C$4*SETTING!$C$5),(C12*SETTING!$C$5))))</f>
        <v>175653.48</v>
      </c>
      <c r="E12" s="43">
        <f>IF(C12=0,0,IF(C12&lt;SETTING!$C$3,(SETTING!$C$3*SETTING!$C$6),IF(C12&gt;SETTING!$C$4,(SETTING!$C$4*SETTING!$C$6),(C12*SETTING!$C$6))))</f>
        <v>43913.37</v>
      </c>
      <c r="F12" s="44">
        <f t="shared" si="2"/>
        <v>219566.85</v>
      </c>
    </row>
    <row r="13" spans="1:6">
      <c r="A13" s="23">
        <f>IF('TENAGA KERJA'!A12=0,"",'TENAGA KERJA'!A12)</f>
        <v>11</v>
      </c>
      <c r="B13" s="24" t="str">
        <f>IF('TENAGA KERJA'!B12=0,"",'TENAGA KERJA'!B12)</f>
        <v>SITI AISYAH</v>
      </c>
      <c r="C13" s="43">
        <f>IF('TENAGA KERJA'!J12="Tidak",0,('TENAGA KERJA'!K12+'TENAGA KERJA'!L12))</f>
        <v>4391337</v>
      </c>
      <c r="D13" s="43">
        <f>IF(C13=0,0,IF(C13&lt;SETTING!$C$3,(SETTING!$C$3*SETTING!$C$5),IF(C13&gt;SETTING!$C$4,(SETTING!$C$4*SETTING!$C$5),(C13*SETTING!$C$5))))</f>
        <v>175653.48</v>
      </c>
      <c r="E13" s="43">
        <f>IF(C13=0,0,IF(C13&lt;SETTING!$C$3,(SETTING!$C$3*SETTING!$C$6),IF(C13&gt;SETTING!$C$4,(SETTING!$C$4*SETTING!$C$6),(C13*SETTING!$C$6))))</f>
        <v>43913.37</v>
      </c>
      <c r="F13" s="44">
        <f t="shared" si="2"/>
        <v>219566.85</v>
      </c>
    </row>
    <row r="14" spans="1:6">
      <c r="A14" s="23">
        <f>IF('TENAGA KERJA'!A13=0,"",'TENAGA KERJA'!A13)</f>
        <v>12</v>
      </c>
      <c r="B14" s="24" t="str">
        <f>IF('TENAGA KERJA'!B13=0,"",'TENAGA KERJA'!B13)</f>
        <v>YUDI BISMANTAKA</v>
      </c>
      <c r="C14" s="43">
        <f>IF('TENAGA KERJA'!J13="Tidak",0,('TENAGA KERJA'!K13+'TENAGA KERJA'!L13))</f>
        <v>4391337</v>
      </c>
      <c r="D14" s="43">
        <f>IF(C14=0,0,IF(C14&lt;SETTING!$C$3,(SETTING!$C$3*SETTING!$C$5),IF(C14&gt;SETTING!$C$4,(SETTING!$C$4*SETTING!$C$5),(C14*SETTING!$C$5))))</f>
        <v>175653.48</v>
      </c>
      <c r="E14" s="43">
        <f>IF(C14=0,0,IF(C14&lt;SETTING!$C$3,(SETTING!$C$3*SETTING!$C$6),IF(C14&gt;SETTING!$C$4,(SETTING!$C$4*SETTING!$C$6),(C14*SETTING!$C$6))))</f>
        <v>43913.37</v>
      </c>
      <c r="F14" s="44">
        <f t="shared" si="2"/>
        <v>219566.85</v>
      </c>
    </row>
    <row r="15" spans="1:6">
      <c r="A15" s="23">
        <f>IF('TENAGA KERJA'!A14=0,"",'TENAGA KERJA'!A14)</f>
        <v>13</v>
      </c>
      <c r="B15" s="24" t="str">
        <f>IF('TENAGA KERJA'!B14=0,"",'TENAGA KERJA'!B14)</f>
        <v>WARDY</v>
      </c>
      <c r="C15" s="43">
        <f>IF('TENAGA KERJA'!J14="Tidak",0,('TENAGA KERJA'!K14+'TENAGA KERJA'!L14))</f>
        <v>4391337</v>
      </c>
      <c r="D15" s="43">
        <f>IF(C15=0,0,IF(C15&lt;SETTING!$C$3,(SETTING!$C$3*SETTING!$C$5),IF(C15&gt;SETTING!$C$4,(SETTING!$C$4*SETTING!$C$5),(C15*SETTING!$C$5))))</f>
        <v>175653.48</v>
      </c>
      <c r="E15" s="43">
        <f>IF(C15=0,0,IF(C15&lt;SETTING!$C$3,(SETTING!$C$3*SETTING!$C$6),IF(C15&gt;SETTING!$C$4,(SETTING!$C$4*SETTING!$C$6),(C15*SETTING!$C$6))))</f>
        <v>43913.37</v>
      </c>
      <c r="F15" s="44">
        <f t="shared" si="2"/>
        <v>219566.85</v>
      </c>
    </row>
    <row r="16" spans="1:6">
      <c r="A16" s="23">
        <f>IF('TENAGA KERJA'!A15=0,"",'TENAGA KERJA'!A15)</f>
        <v>14</v>
      </c>
      <c r="B16" s="24" t="str">
        <f>IF('TENAGA KERJA'!B15=0,"",'TENAGA KERJA'!B15)</f>
        <v>HANDRI PANGESTU</v>
      </c>
      <c r="C16" s="43">
        <f>IF('TENAGA KERJA'!J15="Tidak",0,('TENAGA KERJA'!K15+'TENAGA KERJA'!L15))</f>
        <v>4391337</v>
      </c>
      <c r="D16" s="43">
        <f>IF(C16=0,0,IF(C16&lt;SETTING!$C$3,(SETTING!$C$3*SETTING!$C$5),IF(C16&gt;SETTING!$C$4,(SETTING!$C$4*SETTING!$C$5),(C16*SETTING!$C$5))))</f>
        <v>175653.48</v>
      </c>
      <c r="E16" s="43">
        <f>IF(C16=0,0,IF(C16&lt;SETTING!$C$3,(SETTING!$C$3*SETTING!$C$6),IF(C16&gt;SETTING!$C$4,(SETTING!$C$4*SETTING!$C$6),(C16*SETTING!$C$6))))</f>
        <v>43913.37</v>
      </c>
      <c r="F16" s="44">
        <f t="shared" si="2"/>
        <v>219566.85</v>
      </c>
    </row>
    <row r="17" spans="1:7">
      <c r="A17" s="23">
        <f>IF('TENAGA KERJA'!A16=0,"",'TENAGA KERJA'!A16)</f>
        <v>15</v>
      </c>
      <c r="B17" s="24" t="str">
        <f>IF('TENAGA KERJA'!B16=0,"",'TENAGA KERJA'!B16)</f>
        <v>MUHAMMAD BAYU ARDIANTO</v>
      </c>
      <c r="C17" s="43">
        <f>IF('TENAGA KERJA'!J16="Tidak",0,('TENAGA KERJA'!K16+'TENAGA KERJA'!L16))</f>
        <v>4391337</v>
      </c>
      <c r="D17" s="43">
        <f>IF(C17=0,0,IF(C17&lt;SETTING!$C$3,(SETTING!$C$3*SETTING!$C$5),IF(C17&gt;SETTING!$C$4,(SETTING!$C$4*SETTING!$C$5),(C17*SETTING!$C$5))))</f>
        <v>175653.48</v>
      </c>
      <c r="E17" s="43">
        <f>IF(C17=0,0,IF(C17&lt;SETTING!$C$3,(SETTING!$C$3*SETTING!$C$6),IF(C17&gt;SETTING!$C$4,(SETTING!$C$4*SETTING!$C$6),(C17*SETTING!$C$6))))</f>
        <v>43913.37</v>
      </c>
      <c r="F17" s="44">
        <f t="shared" si="2"/>
        <v>219566.85</v>
      </c>
    </row>
    <row r="18" spans="1:7">
      <c r="A18" s="23">
        <f>IF('TENAGA KERJA'!A17=0,"",'TENAGA KERJA'!A17)</f>
        <v>16</v>
      </c>
      <c r="B18" s="24" t="str">
        <f>IF('TENAGA KERJA'!B17=0,"",'TENAGA KERJA'!B17)</f>
        <v>MUHAMMAD ZETYO D.H</v>
      </c>
      <c r="C18" s="43">
        <f>IF('TENAGA KERJA'!J17="Tidak",0,('TENAGA KERJA'!K17+'TENAGA KERJA'!L17))</f>
        <v>4391337</v>
      </c>
      <c r="D18" s="43">
        <f>IF(C18=0,0,IF(C18&lt;SETTING!$C$3,(SETTING!$C$3*SETTING!$C$5),IF(C18&gt;SETTING!$C$4,(SETTING!$C$4*SETTING!$C$5),(C18*SETTING!$C$5))))</f>
        <v>175653.48</v>
      </c>
      <c r="E18" s="43">
        <f>IF(C18=0,0,IF(C18&lt;SETTING!$C$3,(SETTING!$C$3*SETTING!$C$6),IF(C18&gt;SETTING!$C$4,(SETTING!$C$4*SETTING!$C$6),(C18*SETTING!$C$6))))</f>
        <v>43913.37</v>
      </c>
      <c r="F18" s="44">
        <f t="shared" si="2"/>
        <v>219566.85</v>
      </c>
    </row>
    <row r="19" spans="1:7">
      <c r="A19" s="23">
        <f>IF('TENAGA KERJA'!A18=0,"",'TENAGA KERJA'!A18)</f>
        <v>17</v>
      </c>
      <c r="B19" s="24" t="str">
        <f>IF('TENAGA KERJA'!B18=0,"",'TENAGA KERJA'!B18)</f>
        <v>MUHAMMAD HIDAYATULLAH</v>
      </c>
      <c r="C19" s="43">
        <f>IF('TENAGA KERJA'!J18="Tidak",0,('TENAGA KERJA'!K18+'TENAGA KERJA'!L18))</f>
        <v>4391337</v>
      </c>
      <c r="D19" s="43">
        <f>IF(C19=0,0,IF(C19&lt;SETTING!$C$3,(SETTING!$C$3*SETTING!$C$5),IF(C19&gt;SETTING!$C$4,(SETTING!$C$4*SETTING!$C$5),(C19*SETTING!$C$5))))</f>
        <v>175653.48</v>
      </c>
      <c r="E19" s="43">
        <f>IF(C19=0,0,IF(C19&lt;SETTING!$C$3,(SETTING!$C$3*SETTING!$C$6),IF(C19&gt;SETTING!$C$4,(SETTING!$C$4*SETTING!$C$6),(C19*SETTING!$C$6))))</f>
        <v>43913.37</v>
      </c>
      <c r="F19" s="44">
        <f t="shared" si="2"/>
        <v>219566.85</v>
      </c>
    </row>
    <row r="20" spans="1:7">
      <c r="A20" s="23">
        <f>IF('TENAGA KERJA'!A19=0,"",'TENAGA KERJA'!A19)</f>
        <v>18</v>
      </c>
      <c r="B20" s="24" t="str">
        <f>IF('TENAGA KERJA'!B19=0,"",'TENAGA KERJA'!B19)</f>
        <v>ALYA JUNIANTI PRATIWI</v>
      </c>
      <c r="C20" s="43">
        <f>IF('TENAGA KERJA'!J19="Tidak",0,('TENAGA KERJA'!K19+'TENAGA KERJA'!L19))</f>
        <v>4391337</v>
      </c>
      <c r="D20" s="43">
        <f>IF(C20=0,0,IF(C20&lt;SETTING!$C$3,(SETTING!$C$3*SETTING!$C$5),IF(C20&gt;SETTING!$C$4,(SETTING!$C$4*SETTING!$C$5),(C20*SETTING!$C$5))))</f>
        <v>175653.48</v>
      </c>
      <c r="E20" s="43">
        <f>IF(C20=0,0,IF(C20&lt;SETTING!$C$3,(SETTING!$C$3*SETTING!$C$6),IF(C20&gt;SETTING!$C$4,(SETTING!$C$4*SETTING!$C$6),(C20*SETTING!$C$6))))</f>
        <v>43913.37</v>
      </c>
      <c r="F20" s="44">
        <f t="shared" si="2"/>
        <v>219566.85</v>
      </c>
    </row>
    <row r="21" spans="1:7">
      <c r="A21" s="23">
        <f>IF('TENAGA KERJA'!A20=0,"",'TENAGA KERJA'!A20)</f>
        <v>19</v>
      </c>
      <c r="B21" s="24" t="str">
        <f>IF('TENAGA KERJA'!B20=0,"",'TENAGA KERJA'!B20)</f>
        <v>MUAMMAR AKRAM</v>
      </c>
      <c r="C21" s="43">
        <f>IF('TENAGA KERJA'!J20="Tidak",0,('TENAGA KERJA'!K20+'TENAGA KERJA'!L20))</f>
        <v>4391337</v>
      </c>
      <c r="D21" s="43">
        <f>IF(C21=0,0,IF(C21&lt;SETTING!$C$3,(SETTING!$C$3*SETTING!$C$5),IF(C21&gt;SETTING!$C$4,(SETTING!$C$4*SETTING!$C$5),(C21*SETTING!$C$5))))</f>
        <v>175653.48</v>
      </c>
      <c r="E21" s="43">
        <f>IF(C21=0,0,IF(C21&lt;SETTING!$C$3,(SETTING!$C$3*SETTING!$C$6),IF(C21&gt;SETTING!$C$4,(SETTING!$C$4*SETTING!$C$6),(C21*SETTING!$C$6))))</f>
        <v>43913.37</v>
      </c>
      <c r="F21" s="44">
        <f t="shared" si="2"/>
        <v>219566.85</v>
      </c>
    </row>
    <row r="22" spans="1:7">
      <c r="A22" s="23">
        <f>IF('TENAGA KERJA'!A21=0,"",'TENAGA KERJA'!A21)</f>
        <v>20</v>
      </c>
      <c r="B22" s="24" t="str">
        <f>IF('TENAGA KERJA'!B21=0,"",'TENAGA KERJA'!B21)</f>
        <v>DARMAWAN SYAH</v>
      </c>
      <c r="C22" s="209">
        <f>IF('TENAGA KERJA'!J21="Tidak",0,('TENAGA KERJA'!K21+'TENAGA KERJA'!L21))+1891337</f>
        <v>4391337</v>
      </c>
      <c r="D22" s="43">
        <f>IF(C22=0,0,IF(C22&lt;SETTING!$C$3,(SETTING!$C$3*SETTING!$C$5),IF(C22&gt;SETTING!$C$4,(SETTING!$C$4*SETTING!$C$5),(C22*SETTING!$C$5))))</f>
        <v>175653.48</v>
      </c>
      <c r="E22" s="43">
        <f>IF(C22=0,0,IF(C22&lt;SETTING!$C$3,(SETTING!$C$3*SETTING!$C$6),IF(C22&gt;SETTING!$C$4,(SETTING!$C$4*SETTING!$C$6),(C22*SETTING!$C$6))))</f>
        <v>43913.37</v>
      </c>
      <c r="F22" s="44">
        <f t="shared" si="2"/>
        <v>219566.85</v>
      </c>
    </row>
    <row r="23" spans="1:7">
      <c r="A23" s="23">
        <f>IF('TENAGA KERJA'!A22=0,"",'TENAGA KERJA'!A22)</f>
        <v>21</v>
      </c>
      <c r="B23" s="24" t="str">
        <f>IF('TENAGA KERJA'!B22=0,"",'TENAGA KERJA'!B22)</f>
        <v>MARIYAM</v>
      </c>
      <c r="C23" s="43">
        <f>IF('TENAGA KERJA'!J22="Tidak",0,('TENAGA KERJA'!K22+'TENAGA KERJA'!L22))</f>
        <v>4391337</v>
      </c>
      <c r="D23" s="43">
        <f>IF(C23=0,0,IF(C23&lt;SETTING!$C$3,(SETTING!$C$3*SETTING!$C$5),IF(C23&gt;SETTING!$C$4,(SETTING!$C$4*SETTING!$C$5),(C23*SETTING!$C$5))))</f>
        <v>175653.48</v>
      </c>
      <c r="E23" s="43">
        <f>IF(C23=0,0,IF(C23&lt;SETTING!$C$3,(SETTING!$C$3*SETTING!$C$6),IF(C23&gt;SETTING!$C$4,(SETTING!$C$4*SETTING!$C$6),(C23*SETTING!$C$6))))</f>
        <v>43913.37</v>
      </c>
      <c r="F23" s="44">
        <f t="shared" si="2"/>
        <v>219566.85</v>
      </c>
    </row>
    <row r="24" spans="1:7">
      <c r="A24" s="23">
        <f>IF('TENAGA KERJA'!A23=0,"",'TENAGA KERJA'!A23)</f>
        <v>22</v>
      </c>
      <c r="B24" s="24" t="str">
        <f>IF('TENAGA KERJA'!B23=0,"",'TENAGA KERJA'!B23)</f>
        <v>ACHMAD RENALDI</v>
      </c>
      <c r="C24" s="43">
        <f>IF('TENAGA KERJA'!J23="Tidak",0,('TENAGA KERJA'!K23+'TENAGA KERJA'!L23))</f>
        <v>4391337</v>
      </c>
      <c r="D24" s="43">
        <f>IF(C24=0,0,IF(C24&lt;SETTING!$C$3,(SETTING!$C$3*SETTING!$C$5),IF(C24&gt;SETTING!$C$4,(SETTING!$C$4*SETTING!$C$5),(C24*SETTING!$C$5))))</f>
        <v>175653.48</v>
      </c>
      <c r="E24" s="43">
        <f>IF(C24=0,0,IF(C24&lt;SETTING!$C$3,(SETTING!$C$3*SETTING!$C$6),IF(C24&gt;SETTING!$C$4,(SETTING!$C$4*SETTING!$C$6),(C24*SETTING!$C$6))))</f>
        <v>43913.37</v>
      </c>
      <c r="F24" s="44">
        <f t="shared" si="2"/>
        <v>219566.85</v>
      </c>
    </row>
    <row r="25" spans="1:7">
      <c r="A25" s="23">
        <f>IF('TENAGA KERJA'!A24=0,"",'TENAGA KERJA'!A24)</f>
        <v>23</v>
      </c>
      <c r="B25" s="24" t="str">
        <f>IF('TENAGA KERJA'!B24=0,"",'TENAGA KERJA'!B24)</f>
        <v>ARIF GUNAWAN</v>
      </c>
      <c r="C25" s="43">
        <f>IF('TENAGA KERJA'!J24="Tidak",0,('TENAGA KERJA'!K24+'TENAGA KERJA'!L24))</f>
        <v>4391337</v>
      </c>
      <c r="D25" s="43">
        <f>IF(C25=0,0,IF(C25&lt;SETTING!$C$3,(SETTING!$C$3*SETTING!$C$5),IF(C25&gt;SETTING!$C$4,(SETTING!$C$4*SETTING!$C$5),(C25*SETTING!$C$5))))</f>
        <v>175653.48</v>
      </c>
      <c r="E25" s="43">
        <f>IF(C25=0,0,IF(C25&lt;SETTING!$C$3,(SETTING!$C$3*SETTING!$C$6),IF(C25&gt;SETTING!$C$4,(SETTING!$C$4*SETTING!$C$6),(C25*SETTING!$C$6))))</f>
        <v>43913.37</v>
      </c>
      <c r="F25" s="44">
        <f t="shared" si="2"/>
        <v>219566.85</v>
      </c>
    </row>
    <row r="26" spans="1:7">
      <c r="A26" s="23" t="str">
        <f>IF('TENAGA KERJA'!A25=0,"",'TENAGA KERJA'!A25)</f>
        <v/>
      </c>
      <c r="B26" s="24" t="str">
        <f>IF('TENAGA KERJA'!B25=0,"",'TENAGA KERJA'!B25)</f>
        <v/>
      </c>
      <c r="C26" s="43">
        <f>IF('TENAGA KERJA'!J25="Tidak",0,('TENAGA KERJA'!K25+'TENAGA KERJA'!L25))</f>
        <v>0</v>
      </c>
      <c r="D26" s="43">
        <f>IF(C26=0,0,IF(C26&lt;SETTING!$C$3,(SETTING!$C$3*SETTING!$C$5),IF(C26&gt;SETTING!$C$4,(SETTING!$C$4*SETTING!$C$5),(C26*SETTING!$C$5))))</f>
        <v>0</v>
      </c>
      <c r="E26" s="43">
        <f>IF(C26=0,0,IF(C26&lt;SETTING!$C$3,(SETTING!$C$3*SETTING!$C$6),IF(C26&gt;SETTING!$C$4,(SETTING!$C$4*SETTING!$C$6),(C26*SETTING!$C$6))))</f>
        <v>0</v>
      </c>
      <c r="F26" s="44">
        <f t="shared" si="2"/>
        <v>0</v>
      </c>
      <c r="G26" s="26">
        <f>SUM(D3:D25)</f>
        <v>4040030.04</v>
      </c>
    </row>
    <row r="27" spans="1:7">
      <c r="A27" s="23" t="str">
        <f>IF('TENAGA KERJA'!A26=0,"",'TENAGA KERJA'!A26)</f>
        <v/>
      </c>
      <c r="B27" s="24" t="str">
        <f>IF('TENAGA KERJA'!B26=0,"",'TENAGA KERJA'!B26)</f>
        <v/>
      </c>
      <c r="C27" s="43">
        <f>IF('TENAGA KERJA'!J26="Tidak",0,('TENAGA KERJA'!K26+'TENAGA KERJA'!L26))</f>
        <v>0</v>
      </c>
      <c r="D27" s="43">
        <f>IF(C27=0,0,IF(C27&lt;SETTING!$C$3,(SETTING!$C$3*SETTING!$C$5),IF(C27&gt;SETTING!$C$4,(SETTING!$C$4*SETTING!$C$5),(C27*SETTING!$C$5))))</f>
        <v>0</v>
      </c>
      <c r="E27" s="43">
        <f>IF(C27=0,0,IF(C27&lt;SETTING!$C$3,(SETTING!$C$3*SETTING!$C$6),IF(C27&gt;SETTING!$C$4,(SETTING!$C$4*SETTING!$C$6),(C27*SETTING!$C$6))))</f>
        <v>0</v>
      </c>
      <c r="F27" s="44">
        <f t="shared" si="2"/>
        <v>0</v>
      </c>
    </row>
    <row r="28" spans="1:7">
      <c r="A28" s="23" t="str">
        <f>IF('TENAGA KERJA'!A27=0,"",'TENAGA KERJA'!A27)</f>
        <v/>
      </c>
      <c r="B28" s="24" t="str">
        <f>IF('TENAGA KERJA'!B27=0,"",'TENAGA KERJA'!B27)</f>
        <v/>
      </c>
      <c r="C28" s="43">
        <f>IF('TENAGA KERJA'!J27="Tidak",0,('TENAGA KERJA'!K27+'TENAGA KERJA'!L27))</f>
        <v>0</v>
      </c>
      <c r="D28" s="43">
        <f>IF(C28=0,0,IF(C28&lt;SETTING!$C$3,(SETTING!$C$3*SETTING!$C$5),IF(C28&gt;SETTING!$C$4,(SETTING!$C$4*SETTING!$C$5),(C28*SETTING!$C$5))))</f>
        <v>0</v>
      </c>
      <c r="E28" s="43">
        <f>IF(C28=0,0,IF(C28&lt;SETTING!$C$3,(SETTING!$C$3*SETTING!$C$6),IF(C28&gt;SETTING!$C$4,(SETTING!$C$4*SETTING!$C$6),(C28*SETTING!$C$6))))</f>
        <v>0</v>
      </c>
      <c r="F28" s="44">
        <f t="shared" si="2"/>
        <v>0</v>
      </c>
    </row>
    <row r="29" spans="1:7">
      <c r="A29" s="23" t="str">
        <f>IF('TENAGA KERJA'!A28=0,"",'TENAGA KERJA'!A28)</f>
        <v/>
      </c>
      <c r="B29" s="24" t="str">
        <f>IF('TENAGA KERJA'!B28=0,"",'TENAGA KERJA'!B28)</f>
        <v/>
      </c>
      <c r="C29" s="43">
        <f>IF('TENAGA KERJA'!J28="Tidak",0,('TENAGA KERJA'!K28+'TENAGA KERJA'!L28))</f>
        <v>0</v>
      </c>
      <c r="D29" s="43">
        <f>IF(C29=0,0,IF(C29&lt;SETTING!$C$3,(SETTING!$C$3*SETTING!$C$5),IF(C29&gt;SETTING!$C$4,(SETTING!$C$4*SETTING!$C$5),(C29*SETTING!$C$5))))</f>
        <v>0</v>
      </c>
      <c r="E29" s="43">
        <f>IF(C29=0,0,IF(C29&lt;SETTING!$C$3,(SETTING!$C$3*SETTING!$C$6),IF(C29&gt;SETTING!$C$4,(SETTING!$C$4*SETTING!$C$6),(C29*SETTING!$C$6))))</f>
        <v>0</v>
      </c>
      <c r="F29" s="44">
        <f t="shared" si="2"/>
        <v>0</v>
      </c>
    </row>
    <row r="30" spans="1:7">
      <c r="A30" s="23" t="str">
        <f>IF('TENAGA KERJA'!A29=0,"",'TENAGA KERJA'!A29)</f>
        <v/>
      </c>
      <c r="B30" s="24" t="str">
        <f>IF('TENAGA KERJA'!B29=0,"",'TENAGA KERJA'!B29)</f>
        <v/>
      </c>
      <c r="C30" s="43">
        <f>IF('TENAGA KERJA'!J29="Tidak",0,('TENAGA KERJA'!K29+'TENAGA KERJA'!L29))</f>
        <v>0</v>
      </c>
      <c r="D30" s="43">
        <f>IF(C30=0,0,IF(C30&lt;SETTING!$C$3,(SETTING!$C$3*SETTING!$C$5),IF(C30&gt;SETTING!$C$4,(SETTING!$C$4*SETTING!$C$5),(C30*SETTING!$C$5))))</f>
        <v>0</v>
      </c>
      <c r="E30" s="43">
        <f>IF(C30=0,0,IF(C30&lt;SETTING!$C$3,(SETTING!$C$3*SETTING!$C$6),IF(C30&gt;SETTING!$C$4,(SETTING!$C$4*SETTING!$C$6),(C30*SETTING!$C$6))))</f>
        <v>0</v>
      </c>
      <c r="F30" s="44">
        <f t="shared" si="2"/>
        <v>0</v>
      </c>
    </row>
    <row r="31" spans="1:7">
      <c r="A31" s="23" t="str">
        <f>IF('TENAGA KERJA'!A30=0,"",'TENAGA KERJA'!A30)</f>
        <v/>
      </c>
      <c r="B31" s="24" t="str">
        <f>IF('TENAGA KERJA'!B30=0,"",'TENAGA KERJA'!B30)</f>
        <v/>
      </c>
      <c r="C31" s="43">
        <f>IF('TENAGA KERJA'!J30="Tidak",0,('TENAGA KERJA'!K30+'TENAGA KERJA'!L30))</f>
        <v>0</v>
      </c>
      <c r="D31" s="43">
        <f>IF(C31=0,0,IF(C31&lt;SETTING!$C$3,(SETTING!$C$3*SETTING!$C$5),IF(C31&gt;SETTING!$C$4,(SETTING!$C$4*SETTING!$C$5),(C31*SETTING!$C$5))))</f>
        <v>0</v>
      </c>
      <c r="E31" s="43">
        <f>IF(C31=0,0,IF(C31&lt;SETTING!$C$3,(SETTING!$C$3*SETTING!$C$6),IF(C31&gt;SETTING!$C$4,(SETTING!$C$4*SETTING!$C$6),(C31*SETTING!$C$6))))</f>
        <v>0</v>
      </c>
      <c r="F31" s="44">
        <f t="shared" si="2"/>
        <v>0</v>
      </c>
    </row>
    <row r="32" spans="1:7">
      <c r="A32" s="23" t="str">
        <f>IF('TENAGA KERJA'!A31=0,"",'TENAGA KERJA'!A31)</f>
        <v/>
      </c>
      <c r="B32" s="24" t="str">
        <f>IF('TENAGA KERJA'!B31=0,"",'TENAGA KERJA'!B31)</f>
        <v/>
      </c>
      <c r="C32" s="43">
        <f>IF('TENAGA KERJA'!J31="Tidak",0,('TENAGA KERJA'!K31+'TENAGA KERJA'!L31))</f>
        <v>0</v>
      </c>
      <c r="D32" s="43">
        <f>IF(C32=0,0,IF(C32&lt;SETTING!$C$3,(SETTING!$C$3*SETTING!$C$5),IF(C32&gt;SETTING!$C$4,(SETTING!$C$4*SETTING!$C$5),(C32*SETTING!$C$5))))</f>
        <v>0</v>
      </c>
      <c r="E32" s="43">
        <f>IF(C32=0,0,IF(C32&lt;SETTING!$C$3,(SETTING!$C$3*SETTING!$C$6),IF(C32&gt;SETTING!$C$4,(SETTING!$C$4*SETTING!$C$6),(C32*SETTING!$C$6))))</f>
        <v>0</v>
      </c>
      <c r="F32" s="44">
        <f t="shared" si="2"/>
        <v>0</v>
      </c>
    </row>
    <row r="33" spans="1:6">
      <c r="A33" s="23" t="str">
        <f>IF('TENAGA KERJA'!A32=0,"",'TENAGA KERJA'!A32)</f>
        <v/>
      </c>
      <c r="B33" s="24" t="str">
        <f>IF('TENAGA KERJA'!B32=0,"",'TENAGA KERJA'!B32)</f>
        <v/>
      </c>
      <c r="C33" s="43">
        <f>IF('TENAGA KERJA'!J32="Tidak",0,('TENAGA KERJA'!K32+'TENAGA KERJA'!L32))</f>
        <v>0</v>
      </c>
      <c r="D33" s="43">
        <f>IF(C33=0,0,IF(C33&lt;SETTING!$C$3,(SETTING!$C$3*SETTING!$C$5),IF(C33&gt;SETTING!$C$4,(SETTING!$C$4*SETTING!$C$5),(C33*SETTING!$C$5))))</f>
        <v>0</v>
      </c>
      <c r="E33" s="43">
        <f>IF(C33=0,0,IF(C33&lt;SETTING!$C$3,(SETTING!$C$3*SETTING!$C$6),IF(C33&gt;SETTING!$C$4,(SETTING!$C$4*SETTING!$C$6),(C33*SETTING!$C$6))))</f>
        <v>0</v>
      </c>
      <c r="F33" s="44">
        <f t="shared" si="2"/>
        <v>0</v>
      </c>
    </row>
    <row r="34" spans="1:6">
      <c r="A34" s="23" t="str">
        <f>IF('TENAGA KERJA'!A33=0,"",'TENAGA KERJA'!A33)</f>
        <v/>
      </c>
      <c r="B34" s="24" t="str">
        <f>IF('TENAGA KERJA'!B33=0,"",'TENAGA KERJA'!B33)</f>
        <v/>
      </c>
      <c r="C34" s="43">
        <f>IF('TENAGA KERJA'!J33="Tidak",0,('TENAGA KERJA'!K33+'TENAGA KERJA'!L33))</f>
        <v>0</v>
      </c>
      <c r="D34" s="43">
        <f>IF(C34=0,0,IF(C34&lt;SETTING!$C$3,(SETTING!$C$3*SETTING!$C$5),IF(C34&gt;SETTING!$C$4,(SETTING!$C$4*SETTING!$C$5),(C34*SETTING!$C$5))))</f>
        <v>0</v>
      </c>
      <c r="E34" s="43">
        <f>IF(C34=0,0,IF(C34&lt;SETTING!$C$3,(SETTING!$C$3*SETTING!$C$6),IF(C34&gt;SETTING!$C$4,(SETTING!$C$4*SETTING!$C$6),(C34*SETTING!$C$6))))</f>
        <v>0</v>
      </c>
      <c r="F34" s="44">
        <f t="shared" si="2"/>
        <v>0</v>
      </c>
    </row>
    <row r="35" spans="1:6">
      <c r="A35" s="23" t="str">
        <f>IF('TENAGA KERJA'!A34=0,"",'TENAGA KERJA'!A34)</f>
        <v/>
      </c>
      <c r="B35" s="24" t="str">
        <f>IF('TENAGA KERJA'!B34=0,"",'TENAGA KERJA'!B34)</f>
        <v/>
      </c>
      <c r="C35" s="43">
        <f>IF('TENAGA KERJA'!J34="Tidak",0,('TENAGA KERJA'!K34+'TENAGA KERJA'!L34))</f>
        <v>0</v>
      </c>
      <c r="D35" s="43">
        <f>IF(C35=0,0,IF(C35&lt;SETTING!$C$3,(SETTING!$C$3*SETTING!$C$5),IF(C35&gt;SETTING!$C$4,(SETTING!$C$4*SETTING!$C$5),(C35*SETTING!$C$5))))</f>
        <v>0</v>
      </c>
      <c r="E35" s="43">
        <f>IF(C35=0,0,IF(C35&lt;SETTING!$C$3,(SETTING!$C$3*SETTING!$C$6),IF(C35&gt;SETTING!$C$4,(SETTING!$C$4*SETTING!$C$6),(C35*SETTING!$C$6))))</f>
        <v>0</v>
      </c>
      <c r="F35" s="44">
        <f t="shared" si="2"/>
        <v>0</v>
      </c>
    </row>
    <row r="36" spans="1:6">
      <c r="A36" s="23" t="str">
        <f>IF('TENAGA KERJA'!A35=0,"",'TENAGA KERJA'!A35)</f>
        <v/>
      </c>
      <c r="B36" s="24" t="str">
        <f>IF('TENAGA KERJA'!B35=0,"",'TENAGA KERJA'!B35)</f>
        <v/>
      </c>
      <c r="C36" s="43">
        <f>IF('TENAGA KERJA'!J35="Tidak",0,('TENAGA KERJA'!K35+'TENAGA KERJA'!L35))</f>
        <v>0</v>
      </c>
      <c r="D36" s="43">
        <f>IF(C36=0,0,IF(C36&lt;SETTING!$C$3,(SETTING!$C$3*SETTING!$C$5),IF(C36&gt;SETTING!$C$4,(SETTING!$C$4*SETTING!$C$5),(C36*SETTING!$C$5))))</f>
        <v>0</v>
      </c>
      <c r="E36" s="43">
        <f>IF(C36=0,0,IF(C36&lt;SETTING!$C$3,(SETTING!$C$3*SETTING!$C$6),IF(C36&gt;SETTING!$C$4,(SETTING!$C$4*SETTING!$C$6),(C36*SETTING!$C$6))))</f>
        <v>0</v>
      </c>
      <c r="F36" s="44">
        <f t="shared" si="2"/>
        <v>0</v>
      </c>
    </row>
    <row r="37" spans="1:6">
      <c r="A37" s="23" t="str">
        <f>IF('TENAGA KERJA'!A36=0,"",'TENAGA KERJA'!A36)</f>
        <v/>
      </c>
      <c r="B37" s="24" t="str">
        <f>IF('TENAGA KERJA'!B36=0,"",'TENAGA KERJA'!B36)</f>
        <v/>
      </c>
      <c r="C37" s="43">
        <f>IF('TENAGA KERJA'!J36="Tidak",0,('TENAGA KERJA'!K36+'TENAGA KERJA'!L36))</f>
        <v>0</v>
      </c>
      <c r="D37" s="43">
        <f>IF(C37=0,0,IF(C37&lt;SETTING!$C$3,(SETTING!$C$3*SETTING!$C$5),IF(C37&gt;SETTING!$C$4,(SETTING!$C$4*SETTING!$C$5),(C37*SETTING!$C$5))))</f>
        <v>0</v>
      </c>
      <c r="E37" s="43">
        <f>IF(C37=0,0,IF(C37&lt;SETTING!$C$3,(SETTING!$C$3*SETTING!$C$6),IF(C37&gt;SETTING!$C$4,(SETTING!$C$4*SETTING!$C$6),(C37*SETTING!$C$6))))</f>
        <v>0</v>
      </c>
      <c r="F37" s="44">
        <f t="shared" si="2"/>
        <v>0</v>
      </c>
    </row>
    <row r="38" spans="1:6">
      <c r="A38" s="23" t="str">
        <f>IF('TENAGA KERJA'!A37=0,"",'TENAGA KERJA'!A37)</f>
        <v/>
      </c>
      <c r="B38" s="24" t="str">
        <f>IF('TENAGA KERJA'!B37=0,"",'TENAGA KERJA'!B37)</f>
        <v/>
      </c>
      <c r="C38" s="43">
        <f>IF('TENAGA KERJA'!J37="Tidak",0,('TENAGA KERJA'!K37+'TENAGA KERJA'!L37))</f>
        <v>0</v>
      </c>
      <c r="D38" s="43">
        <f>IF(C38=0,0,IF(C38&lt;SETTING!$C$3,(SETTING!$C$3*SETTING!$C$5),IF(C38&gt;SETTING!$C$4,(SETTING!$C$4*SETTING!$C$5),(C38*SETTING!$C$5))))</f>
        <v>0</v>
      </c>
      <c r="E38" s="43">
        <f>IF(C38=0,0,IF(C38&lt;SETTING!$C$3,(SETTING!$C$3*SETTING!$C$6),IF(C38&gt;SETTING!$C$4,(SETTING!$C$4*SETTING!$C$6),(C38*SETTING!$C$6))))</f>
        <v>0</v>
      </c>
      <c r="F38" s="44">
        <f t="shared" si="2"/>
        <v>0</v>
      </c>
    </row>
    <row r="39" spans="1:6">
      <c r="A39" s="23" t="str">
        <f>IF('TENAGA KERJA'!A38=0,"",'TENAGA KERJA'!A38)</f>
        <v/>
      </c>
      <c r="B39" s="24" t="str">
        <f>IF('TENAGA KERJA'!B38=0,"",'TENAGA KERJA'!B38)</f>
        <v/>
      </c>
      <c r="C39" s="43">
        <f>IF('TENAGA KERJA'!J38="Tidak",0,('TENAGA KERJA'!K38+'TENAGA KERJA'!L38))</f>
        <v>0</v>
      </c>
      <c r="D39" s="43">
        <f>IF(C39=0,0,IF(C39&lt;SETTING!$C$3,(SETTING!$C$3*SETTING!$C$5),IF(C39&gt;SETTING!$C$4,(SETTING!$C$4*SETTING!$C$5),(C39*SETTING!$C$5))))</f>
        <v>0</v>
      </c>
      <c r="E39" s="43">
        <f>IF(C39=0,0,IF(C39&lt;SETTING!$C$3,(SETTING!$C$3*SETTING!$C$6),IF(C39&gt;SETTING!$C$4,(SETTING!$C$4*SETTING!$C$6),(C39*SETTING!$C$6))))</f>
        <v>0</v>
      </c>
      <c r="F39" s="44">
        <f t="shared" si="2"/>
        <v>0</v>
      </c>
    </row>
    <row r="40" spans="1:6">
      <c r="A40" s="23" t="str">
        <f>IF('TENAGA KERJA'!A39=0,"",'TENAGA KERJA'!A39)</f>
        <v/>
      </c>
      <c r="B40" s="24" t="str">
        <f>IF('TENAGA KERJA'!B39=0,"",'TENAGA KERJA'!B39)</f>
        <v/>
      </c>
      <c r="C40" s="43">
        <f>IF('TENAGA KERJA'!J39="Tidak",0,('TENAGA KERJA'!K39+'TENAGA KERJA'!L39))</f>
        <v>0</v>
      </c>
      <c r="D40" s="43">
        <f>IF(C40=0,0,IF(C40&lt;SETTING!$C$3,(SETTING!$C$3*SETTING!$C$5),IF(C40&gt;SETTING!$C$4,(SETTING!$C$4*SETTING!$C$5),(C40*SETTING!$C$5))))</f>
        <v>0</v>
      </c>
      <c r="E40" s="43">
        <f>IF(C40=0,0,IF(C40&lt;SETTING!$C$3,(SETTING!$C$3*SETTING!$C$6),IF(C40&gt;SETTING!$C$4,(SETTING!$C$4*SETTING!$C$6),(C40*SETTING!$C$6))))</f>
        <v>0</v>
      </c>
      <c r="F40" s="44">
        <f t="shared" si="2"/>
        <v>0</v>
      </c>
    </row>
    <row r="41" spans="1:6">
      <c r="A41" s="23" t="str">
        <f>IF('TENAGA KERJA'!A40=0,"",'TENAGA KERJA'!A40)</f>
        <v/>
      </c>
      <c r="B41" s="24" t="str">
        <f>IF('TENAGA KERJA'!B40=0,"",'TENAGA KERJA'!B40)</f>
        <v/>
      </c>
      <c r="C41" s="43">
        <f>IF('TENAGA KERJA'!J40="Tidak",0,('TENAGA KERJA'!K40+'TENAGA KERJA'!L40))</f>
        <v>0</v>
      </c>
      <c r="D41" s="43">
        <f>IF(C41=0,0,IF(C41&lt;SETTING!$C$3,(SETTING!$C$3*SETTING!$C$5),IF(C41&gt;SETTING!$C$4,(SETTING!$C$4*SETTING!$C$5),(C41*SETTING!$C$5))))</f>
        <v>0</v>
      </c>
      <c r="E41" s="43">
        <f>IF(C41=0,0,IF(C41&lt;SETTING!$C$3,(SETTING!$C$3*SETTING!$C$6),IF(C41&gt;SETTING!$C$4,(SETTING!$C$4*SETTING!$C$6),(C41*SETTING!$C$6))))</f>
        <v>0</v>
      </c>
      <c r="F41" s="44">
        <f t="shared" si="2"/>
        <v>0</v>
      </c>
    </row>
    <row r="42" spans="1:6">
      <c r="A42" s="23" t="str">
        <f>IF('TENAGA KERJA'!A41=0,"",'TENAGA KERJA'!A41)</f>
        <v/>
      </c>
      <c r="B42" s="24" t="str">
        <f>IF('TENAGA KERJA'!B41=0,"",'TENAGA KERJA'!B41)</f>
        <v/>
      </c>
      <c r="C42" s="43">
        <f>IF('TENAGA KERJA'!J41="Tidak",0,('TENAGA KERJA'!K41+'TENAGA KERJA'!L41))</f>
        <v>0</v>
      </c>
      <c r="D42" s="43">
        <f>IF(C42=0,0,IF(C42&lt;SETTING!$C$3,(SETTING!$C$3*SETTING!$C$5),IF(C42&gt;SETTING!$C$4,(SETTING!$C$4*SETTING!$C$5),(C42*SETTING!$C$5))))</f>
        <v>0</v>
      </c>
      <c r="E42" s="43">
        <f>IF(C42=0,0,IF(C42&lt;SETTING!$C$3,(SETTING!$C$3*SETTING!$C$6),IF(C42&gt;SETTING!$C$4,(SETTING!$C$4*SETTING!$C$6),(C42*SETTING!$C$6))))</f>
        <v>0</v>
      </c>
      <c r="F42" s="44">
        <f t="shared" si="2"/>
        <v>0</v>
      </c>
    </row>
    <row r="43" spans="1:6">
      <c r="A43" s="23" t="str">
        <f>IF('TENAGA KERJA'!A42=0,"",'TENAGA KERJA'!A42)</f>
        <v/>
      </c>
      <c r="B43" s="24" t="str">
        <f>IF('TENAGA KERJA'!B42=0,"",'TENAGA KERJA'!B42)</f>
        <v/>
      </c>
      <c r="C43" s="43">
        <f>IF('TENAGA KERJA'!J42="Tidak",0,('TENAGA KERJA'!K42+'TENAGA KERJA'!L42))</f>
        <v>0</v>
      </c>
      <c r="D43" s="43">
        <f>IF(C43=0,0,IF(C43&lt;SETTING!$C$3,(SETTING!$C$3*SETTING!$C$5),IF(C43&gt;SETTING!$C$4,(SETTING!$C$4*SETTING!$C$5),(C43*SETTING!$C$5))))</f>
        <v>0</v>
      </c>
      <c r="E43" s="43">
        <f>IF(C43=0,0,IF(C43&lt;SETTING!$C$3,(SETTING!$C$3*SETTING!$C$6),IF(C43&gt;SETTING!$C$4,(SETTING!$C$4*SETTING!$C$6),(C43*SETTING!$C$6))))</f>
        <v>0</v>
      </c>
      <c r="F43" s="44">
        <f t="shared" si="2"/>
        <v>0</v>
      </c>
    </row>
    <row r="44" spans="1:6">
      <c r="A44" s="23" t="str">
        <f>IF('TENAGA KERJA'!A43=0,"",'TENAGA KERJA'!A43)</f>
        <v/>
      </c>
      <c r="B44" s="24" t="str">
        <f>IF('TENAGA KERJA'!B43=0,"",'TENAGA KERJA'!B43)</f>
        <v/>
      </c>
      <c r="C44" s="43">
        <f>IF('TENAGA KERJA'!J43="Tidak",0,('TENAGA KERJA'!K43+'TENAGA KERJA'!L43))</f>
        <v>0</v>
      </c>
      <c r="D44" s="43">
        <f>IF(C44=0,0,IF(C44&lt;SETTING!$C$3,(SETTING!$C$3*SETTING!$C$5),IF(C44&gt;SETTING!$C$4,(SETTING!$C$4*SETTING!$C$5),(C44*SETTING!$C$5))))</f>
        <v>0</v>
      </c>
      <c r="E44" s="43">
        <f>IF(C44=0,0,IF(C44&lt;SETTING!$C$3,(SETTING!$C$3*SETTING!$C$6),IF(C44&gt;SETTING!$C$4,(SETTING!$C$4*SETTING!$C$6),(C44*SETTING!$C$6))))</f>
        <v>0</v>
      </c>
      <c r="F44" s="44">
        <f t="shared" si="2"/>
        <v>0</v>
      </c>
    </row>
    <row r="45" spans="1:6">
      <c r="A45" s="23" t="str">
        <f>IF('TENAGA KERJA'!A44=0,"",'TENAGA KERJA'!A44)</f>
        <v/>
      </c>
      <c r="B45" s="24" t="str">
        <f>IF('TENAGA KERJA'!B44=0,"",'TENAGA KERJA'!B44)</f>
        <v/>
      </c>
      <c r="C45" s="43">
        <f>IF('TENAGA KERJA'!J44="Tidak",0,('TENAGA KERJA'!K44+'TENAGA KERJA'!L44))</f>
        <v>0</v>
      </c>
      <c r="D45" s="43">
        <f>IF(C45=0,0,IF(C45&lt;SETTING!$C$3,(SETTING!$C$3*SETTING!$C$5),IF(C45&gt;SETTING!$C$4,(SETTING!$C$4*SETTING!$C$5),(C45*SETTING!$C$5))))</f>
        <v>0</v>
      </c>
      <c r="E45" s="43">
        <f>IF(C45=0,0,IF(C45&lt;SETTING!$C$3,(SETTING!$C$3*SETTING!$C$6),IF(C45&gt;SETTING!$C$4,(SETTING!$C$4*SETTING!$C$6),(C45*SETTING!$C$6))))</f>
        <v>0</v>
      </c>
      <c r="F45" s="44">
        <f t="shared" si="2"/>
        <v>0</v>
      </c>
    </row>
    <row r="46" spans="1:6">
      <c r="A46" s="23" t="str">
        <f>IF('TENAGA KERJA'!A45=0,"",'TENAGA KERJA'!A45)</f>
        <v/>
      </c>
      <c r="B46" s="24" t="str">
        <f>IF('TENAGA KERJA'!B45=0,"",'TENAGA KERJA'!B45)</f>
        <v/>
      </c>
      <c r="C46" s="43">
        <f>IF('TENAGA KERJA'!J45="Tidak",0,('TENAGA KERJA'!K45+'TENAGA KERJA'!L45))</f>
        <v>0</v>
      </c>
      <c r="D46" s="43">
        <f>IF(C46=0,0,IF(C46&lt;SETTING!$C$3,(SETTING!$C$3*SETTING!$C$5),IF(C46&gt;SETTING!$C$4,(SETTING!$C$4*SETTING!$C$5),(C46*SETTING!$C$5))))</f>
        <v>0</v>
      </c>
      <c r="E46" s="43">
        <f>IF(C46=0,0,IF(C46&lt;SETTING!$C$3,(SETTING!$C$3*SETTING!$C$6),IF(C46&gt;SETTING!$C$4,(SETTING!$C$4*SETTING!$C$6),(C46*SETTING!$C$6))))</f>
        <v>0</v>
      </c>
      <c r="F46" s="44">
        <f t="shared" si="2"/>
        <v>0</v>
      </c>
    </row>
    <row r="47" spans="1:6">
      <c r="A47" s="23" t="str">
        <f>IF('TENAGA KERJA'!A46=0,"",'TENAGA KERJA'!A46)</f>
        <v/>
      </c>
      <c r="B47" s="24" t="str">
        <f>IF('TENAGA KERJA'!B46=0,"",'TENAGA KERJA'!B46)</f>
        <v/>
      </c>
      <c r="C47" s="43">
        <f>IF('TENAGA KERJA'!J46="Tidak",0,('TENAGA KERJA'!K46+'TENAGA KERJA'!L46))</f>
        <v>0</v>
      </c>
      <c r="D47" s="43">
        <f>IF(C47=0,0,IF(C47&lt;SETTING!$C$3,(SETTING!$C$3*SETTING!$C$5),IF(C47&gt;SETTING!$C$4,(SETTING!$C$4*SETTING!$C$5),(C47*SETTING!$C$5))))</f>
        <v>0</v>
      </c>
      <c r="E47" s="43">
        <f>IF(C47=0,0,IF(C47&lt;SETTING!$C$3,(SETTING!$C$3*SETTING!$C$6),IF(C47&gt;SETTING!$C$4,(SETTING!$C$4*SETTING!$C$6),(C47*SETTING!$C$6))))</f>
        <v>0</v>
      </c>
      <c r="F47" s="44">
        <f t="shared" si="2"/>
        <v>0</v>
      </c>
    </row>
    <row r="48" spans="1:6">
      <c r="A48" s="23" t="str">
        <f>IF('TENAGA KERJA'!A47=0,"",'TENAGA KERJA'!A47)</f>
        <v/>
      </c>
      <c r="B48" s="24" t="str">
        <f>IF('TENAGA KERJA'!B47=0,"",'TENAGA KERJA'!B47)</f>
        <v/>
      </c>
      <c r="C48" s="43">
        <f>IF('TENAGA KERJA'!J47="Tidak",0,('TENAGA KERJA'!K47+'TENAGA KERJA'!L47))</f>
        <v>0</v>
      </c>
      <c r="D48" s="43">
        <f>IF(C48=0,0,IF(C48&lt;SETTING!$C$3,(SETTING!$C$3*SETTING!$C$5),IF(C48&gt;SETTING!$C$4,(SETTING!$C$4*SETTING!$C$5),(C48*SETTING!$C$5))))</f>
        <v>0</v>
      </c>
      <c r="E48" s="43">
        <f>IF(C48=0,0,IF(C48&lt;SETTING!$C$3,(SETTING!$C$3*SETTING!$C$6),IF(C48&gt;SETTING!$C$4,(SETTING!$C$4*SETTING!$C$6),(C48*SETTING!$C$6))))</f>
        <v>0</v>
      </c>
      <c r="F48" s="44">
        <f t="shared" si="2"/>
        <v>0</v>
      </c>
    </row>
    <row r="49" spans="1:6">
      <c r="A49" s="23" t="str">
        <f>IF('TENAGA KERJA'!A48=0,"",'TENAGA KERJA'!A48)</f>
        <v/>
      </c>
      <c r="B49" s="24" t="str">
        <f>IF('TENAGA KERJA'!B48=0,"",'TENAGA KERJA'!B48)</f>
        <v/>
      </c>
      <c r="C49" s="43">
        <f>IF('TENAGA KERJA'!J48="Tidak",0,('TENAGA KERJA'!K48+'TENAGA KERJA'!L48))</f>
        <v>0</v>
      </c>
      <c r="D49" s="43">
        <f>IF(C49=0,0,IF(C49&lt;SETTING!$C$3,(SETTING!$C$3*SETTING!$C$5),IF(C49&gt;SETTING!$C$4,(SETTING!$C$4*SETTING!$C$5),(C49*SETTING!$C$5))))</f>
        <v>0</v>
      </c>
      <c r="E49" s="43">
        <f>IF(C49=0,0,IF(C49&lt;SETTING!$C$3,(SETTING!$C$3*SETTING!$C$6),IF(C49&gt;SETTING!$C$4,(SETTING!$C$4*SETTING!$C$6),(C49*SETTING!$C$6))))</f>
        <v>0</v>
      </c>
      <c r="F49" s="44">
        <f t="shared" si="2"/>
        <v>0</v>
      </c>
    </row>
    <row r="50" spans="1:6">
      <c r="A50" s="23" t="str">
        <f>IF('TENAGA KERJA'!A49=0,"",'TENAGA KERJA'!A49)</f>
        <v/>
      </c>
      <c r="B50" s="24" t="str">
        <f>IF('TENAGA KERJA'!B49=0,"",'TENAGA KERJA'!B49)</f>
        <v/>
      </c>
      <c r="C50" s="43">
        <f>IF('TENAGA KERJA'!J49="Tidak",0,('TENAGA KERJA'!K49+'TENAGA KERJA'!L49))</f>
        <v>0</v>
      </c>
      <c r="D50" s="43">
        <f>IF(C50=0,0,IF(C50&lt;SETTING!$C$3,(SETTING!$C$3*SETTING!$C$5),IF(C50&gt;SETTING!$C$4,(SETTING!$C$4*SETTING!$C$5),(C50*SETTING!$C$5))))</f>
        <v>0</v>
      </c>
      <c r="E50" s="43">
        <f>IF(C50=0,0,IF(C50&lt;SETTING!$C$3,(SETTING!$C$3*SETTING!$C$6),IF(C50&gt;SETTING!$C$4,(SETTING!$C$4*SETTING!$C$6),(C50*SETTING!$C$6))))</f>
        <v>0</v>
      </c>
      <c r="F50" s="44">
        <f t="shared" si="2"/>
        <v>0</v>
      </c>
    </row>
    <row r="51" spans="1:6">
      <c r="A51" s="23" t="str">
        <f>IF('TENAGA KERJA'!A50=0,"",'TENAGA KERJA'!A50)</f>
        <v/>
      </c>
      <c r="B51" s="24" t="str">
        <f>IF('TENAGA KERJA'!B50=0,"",'TENAGA KERJA'!B50)</f>
        <v/>
      </c>
      <c r="C51" s="43">
        <f>IF('TENAGA KERJA'!J50="Tidak",0,('TENAGA KERJA'!K50+'TENAGA KERJA'!L50))</f>
        <v>0</v>
      </c>
      <c r="D51" s="43">
        <f>IF(C51=0,0,IF(C51&lt;SETTING!$C$3,(SETTING!$C$3*SETTING!$C$5),IF(C51&gt;SETTING!$C$4,(SETTING!$C$4*SETTING!$C$5),(C51*SETTING!$C$5))))</f>
        <v>0</v>
      </c>
      <c r="E51" s="43">
        <f>IF(C51=0,0,IF(C51&lt;SETTING!$C$3,(SETTING!$C$3*SETTING!$C$6),IF(C51&gt;SETTING!$C$4,(SETTING!$C$4*SETTING!$C$6),(C51*SETTING!$C$6))))</f>
        <v>0</v>
      </c>
      <c r="F51" s="44">
        <f t="shared" si="2"/>
        <v>0</v>
      </c>
    </row>
    <row r="52" spans="1:6">
      <c r="A52" s="23" t="str">
        <f>IF('TENAGA KERJA'!A51=0,"",'TENAGA KERJA'!A51)</f>
        <v/>
      </c>
      <c r="B52" s="24" t="str">
        <f>IF('TENAGA KERJA'!B51=0,"",'TENAGA KERJA'!B51)</f>
        <v/>
      </c>
      <c r="C52" s="43">
        <f>IF('TENAGA KERJA'!J51="Tidak",0,('TENAGA KERJA'!K51+'TENAGA KERJA'!L51))</f>
        <v>0</v>
      </c>
      <c r="D52" s="43">
        <f>IF(C52=0,0,IF(C52&lt;SETTING!$C$3,(SETTING!$C$3*SETTING!$C$5),IF(C52&gt;SETTING!$C$4,(SETTING!$C$4*SETTING!$C$5),(C52*SETTING!$C$5))))</f>
        <v>0</v>
      </c>
      <c r="E52" s="208">
        <f>IF(C52=0,0,IF(C52&lt;SETTING!$C$3,(SETTING!$C$3*SETTING!$C$6),IF(C52&gt;SETTING!$C$4,(SETTING!$C$4*SETTING!$C$6),(C52*SETTING!$C$6))))*2</f>
        <v>0</v>
      </c>
      <c r="F52" s="44">
        <f t="shared" si="2"/>
        <v>0</v>
      </c>
    </row>
    <row r="53" spans="1:6">
      <c r="A53" s="23" t="str">
        <f>IF('TENAGA KERJA'!A52=0,"",'TENAGA KERJA'!A52)</f>
        <v/>
      </c>
      <c r="B53" s="24" t="str">
        <f>IF('TENAGA KERJA'!B52=0,"",'TENAGA KERJA'!B52)</f>
        <v/>
      </c>
      <c r="C53" s="43">
        <f>IF('TENAGA KERJA'!J52="Tidak",0,('TENAGA KERJA'!K52+'TENAGA KERJA'!L52))</f>
        <v>0</v>
      </c>
      <c r="D53" s="43">
        <f>IF(C53=0,0,IF(C53&lt;SETTING!$C$3,(SETTING!$C$3*SETTING!$C$5),IF(C53&gt;SETTING!$C$4,(SETTING!$C$4*SETTING!$C$5),(C53*SETTING!$C$5))))</f>
        <v>0</v>
      </c>
      <c r="E53" s="43">
        <f>IF(C53=0,0,IF(C53&lt;SETTING!$C$3,(SETTING!$C$3*SETTING!$C$6),IF(C53&gt;SETTING!$C$4,(SETTING!$C$4*SETTING!$C$6),(C53*SETTING!$C$6))))</f>
        <v>0</v>
      </c>
      <c r="F53" s="44">
        <f t="shared" si="2"/>
        <v>0</v>
      </c>
    </row>
    <row r="54" spans="1:6">
      <c r="A54" s="23" t="str">
        <f>IF('TENAGA KERJA'!A53=0,"",'TENAGA KERJA'!A53)</f>
        <v/>
      </c>
      <c r="B54" s="24" t="str">
        <f>IF('TENAGA KERJA'!B53=0,"",'TENAGA KERJA'!B53)</f>
        <v/>
      </c>
      <c r="C54" s="43">
        <f>IF('TENAGA KERJA'!J53="Tidak",0,('TENAGA KERJA'!K53+'TENAGA KERJA'!L53))</f>
        <v>0</v>
      </c>
      <c r="D54" s="43">
        <f>IF(C54=0,0,IF(C54&lt;SETTING!$C$3,(SETTING!$C$3*SETTING!$C$5),IF(C54&gt;SETTING!$C$4,(SETTING!$C$4*SETTING!$C$5),(C54*SETTING!$C$5))))</f>
        <v>0</v>
      </c>
      <c r="E54" s="43">
        <f>IF(C54=0,0,IF(C54&lt;SETTING!$C$3,(SETTING!$C$3*SETTING!$C$6),IF(C54&gt;SETTING!$C$4,(SETTING!$C$4*SETTING!$C$6),(C54*SETTING!$C$6))))</f>
        <v>0</v>
      </c>
      <c r="F54" s="44">
        <f t="shared" si="2"/>
        <v>0</v>
      </c>
    </row>
    <row r="55" spans="1:6">
      <c r="A55" s="23" t="str">
        <f>IF('TENAGA KERJA'!A54=0,"",'TENAGA KERJA'!A54)</f>
        <v/>
      </c>
      <c r="B55" s="24" t="str">
        <f>IF('TENAGA KERJA'!B54=0,"",'TENAGA KERJA'!B54)</f>
        <v/>
      </c>
      <c r="C55" s="43">
        <f>IF('TENAGA KERJA'!J54="Tidak",0,('TENAGA KERJA'!K54+'TENAGA KERJA'!L54))</f>
        <v>0</v>
      </c>
      <c r="D55" s="43">
        <f>IF(C55=0,0,IF(C55&lt;SETTING!$C$3,(SETTING!$C$3*SETTING!$C$5),IF(C55&gt;SETTING!$C$4,(SETTING!$C$4*SETTING!$C$5),(C55*SETTING!$C$5))))</f>
        <v>0</v>
      </c>
      <c r="E55" s="43">
        <f>IF(C55=0,0,IF(C55&lt;SETTING!$C$3,(SETTING!$C$3*SETTING!$C$6),IF(C55&gt;SETTING!$C$4,(SETTING!$C$4*SETTING!$C$6),(C55*SETTING!$C$6))))</f>
        <v>0</v>
      </c>
      <c r="F55" s="44">
        <f t="shared" si="2"/>
        <v>0</v>
      </c>
    </row>
    <row r="56" spans="1:6">
      <c r="A56" s="23" t="str">
        <f>IF('TENAGA KERJA'!A55=0,"",'TENAGA KERJA'!A55)</f>
        <v/>
      </c>
      <c r="B56" s="24" t="str">
        <f>IF('TENAGA KERJA'!B55=0,"",'TENAGA KERJA'!B55)</f>
        <v/>
      </c>
      <c r="C56" s="43">
        <f>IF('TENAGA KERJA'!J55="Tidak",0,('TENAGA KERJA'!K55+'TENAGA KERJA'!L55))</f>
        <v>0</v>
      </c>
      <c r="D56" s="43">
        <f>IF(C56=0,0,IF(C56&lt;SETTING!$C$3,(SETTING!$C$3*SETTING!$C$5),IF(C56&gt;SETTING!$C$4,(SETTING!$C$4*SETTING!$C$5),(C56*SETTING!$C$5))))</f>
        <v>0</v>
      </c>
      <c r="E56" s="43">
        <f>IF(C56=0,0,IF(C56&lt;SETTING!$C$3,(SETTING!$C$3*SETTING!$C$6),IF(C56&gt;SETTING!$C$4,(SETTING!$C$4*SETTING!$C$6),(C56*SETTING!$C$6))))</f>
        <v>0</v>
      </c>
      <c r="F56" s="44">
        <f t="shared" si="2"/>
        <v>0</v>
      </c>
    </row>
    <row r="57" spans="1:6">
      <c r="A57" s="23" t="str">
        <f>IF('TENAGA KERJA'!A56=0,"",'TENAGA KERJA'!A56)</f>
        <v/>
      </c>
      <c r="B57" s="24" t="str">
        <f>IF('TENAGA KERJA'!B56=0,"",'TENAGA KERJA'!B56)</f>
        <v/>
      </c>
      <c r="C57" s="43">
        <f>IF('TENAGA KERJA'!J56="Tidak",0,('TENAGA KERJA'!K56+'TENAGA KERJA'!L56))</f>
        <v>0</v>
      </c>
      <c r="D57" s="43">
        <f>IF(C57=0,0,IF(C57&lt;SETTING!$C$3,(SETTING!$C$3*SETTING!$C$5),IF(C57&gt;SETTING!$C$4,(SETTING!$C$4*SETTING!$C$5),(C57*SETTING!$C$5))))</f>
        <v>0</v>
      </c>
      <c r="E57" s="43">
        <f>IF(C57=0,0,IF(C57&lt;SETTING!$C$3,(SETTING!$C$3*SETTING!$C$6),IF(C57&gt;SETTING!$C$4,(SETTING!$C$4*SETTING!$C$6),(C57*SETTING!$C$6))))</f>
        <v>0</v>
      </c>
      <c r="F57" s="44">
        <f t="shared" si="2"/>
        <v>0</v>
      </c>
    </row>
    <row r="58" spans="1:6">
      <c r="A58" s="23" t="str">
        <f>IF('TENAGA KERJA'!A57=0,"",'TENAGA KERJA'!A57)</f>
        <v/>
      </c>
      <c r="B58" s="24" t="str">
        <f>IF('TENAGA KERJA'!B57=0,"",'TENAGA KERJA'!B57)</f>
        <v/>
      </c>
      <c r="C58" s="43">
        <f>IF('TENAGA KERJA'!J57="Tidak",0,('TENAGA KERJA'!K57+'TENAGA KERJA'!L57))</f>
        <v>0</v>
      </c>
      <c r="D58" s="43">
        <f>IF(C58=0,0,IF(C58&lt;SETTING!$C$3,(SETTING!$C$3*SETTING!$C$5),IF(C58&gt;SETTING!$C$4,(SETTING!$C$4*SETTING!$C$5),(C58*SETTING!$C$5))))</f>
        <v>0</v>
      </c>
      <c r="E58" s="43">
        <f>IF(C58=0,0,IF(C58&lt;SETTING!$C$3,(SETTING!$C$3*SETTING!$C$6),IF(C58&gt;SETTING!$C$4,(SETTING!$C$4*SETTING!$C$6),(C58*SETTING!$C$6))))</f>
        <v>0</v>
      </c>
      <c r="F58" s="44">
        <f t="shared" si="2"/>
        <v>0</v>
      </c>
    </row>
    <row r="59" spans="1:6">
      <c r="A59" s="23" t="str">
        <f>IF('TENAGA KERJA'!A58=0,"",'TENAGA KERJA'!A58)</f>
        <v/>
      </c>
      <c r="B59" s="24" t="str">
        <f>IF('TENAGA KERJA'!B58=0,"",'TENAGA KERJA'!B58)</f>
        <v/>
      </c>
      <c r="C59" s="43">
        <f>IF('TENAGA KERJA'!J58="Tidak",0,('TENAGA KERJA'!K58+'TENAGA KERJA'!L58))</f>
        <v>0</v>
      </c>
      <c r="D59" s="43">
        <f>IF(C59=0,0,IF(C59&lt;SETTING!$C$3,(SETTING!$C$3*SETTING!$C$5),IF(C59&gt;SETTING!$C$4,(SETTING!$C$4*SETTING!$C$5),(C59*SETTING!$C$5))))</f>
        <v>0</v>
      </c>
      <c r="E59" s="43">
        <f>IF(C59=0,0,IF(C59&lt;SETTING!$C$3,(SETTING!$C$3*SETTING!$C$6),IF(C59&gt;SETTING!$C$4,(SETTING!$C$4*SETTING!$C$6),(C59*SETTING!$C$6))))</f>
        <v>0</v>
      </c>
      <c r="F59" s="44">
        <f t="shared" si="2"/>
        <v>0</v>
      </c>
    </row>
    <row r="60" spans="1:6">
      <c r="A60" s="23" t="str">
        <f>IF('TENAGA KERJA'!A59=0,"",'TENAGA KERJA'!A59)</f>
        <v/>
      </c>
      <c r="B60" s="24" t="str">
        <f>IF('TENAGA KERJA'!B59=0,"",'TENAGA KERJA'!B59)</f>
        <v/>
      </c>
      <c r="C60" s="43">
        <f>IF('TENAGA KERJA'!J59="Tidak",0,('TENAGA KERJA'!K59+'TENAGA KERJA'!L59))</f>
        <v>0</v>
      </c>
      <c r="D60" s="43">
        <f>IF(C60=0,0,IF(C60&lt;SETTING!$C$3,(SETTING!$C$3*SETTING!$C$5),IF(C60&gt;SETTING!$C$4,(SETTING!$C$4*SETTING!$C$5),(C60*SETTING!$C$5))))</f>
        <v>0</v>
      </c>
      <c r="E60" s="43">
        <f>IF(C60=0,0,IF(C60&lt;SETTING!$C$3,(SETTING!$C$3*SETTING!$C$6),IF(C60&gt;SETTING!$C$4,(SETTING!$C$4*SETTING!$C$6),(C60*SETTING!$C$6))))</f>
        <v>0</v>
      </c>
      <c r="F60" s="44">
        <f t="shared" si="2"/>
        <v>0</v>
      </c>
    </row>
    <row r="61" spans="1:6">
      <c r="A61" s="23" t="str">
        <f>IF('TENAGA KERJA'!A60=0,"",'TENAGA KERJA'!A60)</f>
        <v/>
      </c>
      <c r="B61" s="24" t="str">
        <f>IF('TENAGA KERJA'!B60=0,"",'TENAGA KERJA'!B60)</f>
        <v/>
      </c>
      <c r="C61" s="43">
        <f>IF('TENAGA KERJA'!J60="Tidak",0,('TENAGA KERJA'!K60+'TENAGA KERJA'!L60))</f>
        <v>0</v>
      </c>
      <c r="D61" s="43">
        <f>IF(C61=0,0,IF(C61&lt;SETTING!$C$3,(SETTING!$C$3*SETTING!$C$5),IF(C61&gt;SETTING!$C$4,(SETTING!$C$4*SETTING!$C$5),(C61*SETTING!$C$5))))</f>
        <v>0</v>
      </c>
      <c r="E61" s="43">
        <f>IF(C61=0,0,IF(C61&lt;SETTING!$C$3,(SETTING!$C$3*SETTING!$C$6),IF(C61&gt;SETTING!$C$4,(SETTING!$C$4*SETTING!$C$6),(C61*SETTING!$C$6))))</f>
        <v>0</v>
      </c>
      <c r="F61" s="44">
        <f t="shared" si="2"/>
        <v>0</v>
      </c>
    </row>
    <row r="62" spans="1:6">
      <c r="A62" s="23" t="str">
        <f>IF('TENAGA KERJA'!A61=0,"",'TENAGA KERJA'!A61)</f>
        <v/>
      </c>
      <c r="B62" s="24" t="str">
        <f>IF('TENAGA KERJA'!B61=0,"",'TENAGA KERJA'!B61)</f>
        <v/>
      </c>
      <c r="C62" s="43">
        <f>IF('TENAGA KERJA'!J61="Tidak",0,('TENAGA KERJA'!K61+'TENAGA KERJA'!L61))</f>
        <v>0</v>
      </c>
      <c r="D62" s="43">
        <f>IF(C62=0,0,IF(C62&lt;SETTING!$C$3,(SETTING!$C$3*SETTING!$C$5),IF(C62&gt;SETTING!$C$4,(SETTING!$C$4*SETTING!$C$5),(C62*SETTING!$C$5))))</f>
        <v>0</v>
      </c>
      <c r="E62" s="43">
        <f>IF(C62=0,0,IF(C62&lt;SETTING!$C$3,(SETTING!$C$3*SETTING!$C$6),IF(C62&gt;SETTING!$C$4,(SETTING!$C$4*SETTING!$C$6),(C62*SETTING!$C$6))))</f>
        <v>0</v>
      </c>
      <c r="F62" s="44">
        <f t="shared" si="2"/>
        <v>0</v>
      </c>
    </row>
    <row r="63" spans="1:6">
      <c r="A63" s="23" t="str">
        <f>IF('TENAGA KERJA'!A62=0,"",'TENAGA KERJA'!A62)</f>
        <v/>
      </c>
      <c r="B63" s="24" t="str">
        <f>IF('TENAGA KERJA'!B62=0,"",'TENAGA KERJA'!B62)</f>
        <v/>
      </c>
      <c r="C63" s="43">
        <f>IF('TENAGA KERJA'!J62="Tidak",0,('TENAGA KERJA'!K62+'TENAGA KERJA'!L62))</f>
        <v>0</v>
      </c>
      <c r="D63" s="43">
        <f>IF(C63=0,0,IF(C63&lt;SETTING!$C$3,(SETTING!$C$3*SETTING!$C$5),IF(C63&gt;SETTING!$C$4,(SETTING!$C$4*SETTING!$C$5),(C63*SETTING!$C$5))))</f>
        <v>0</v>
      </c>
      <c r="E63" s="43">
        <f>IF(C63=0,0,IF(C63&lt;SETTING!$C$3,(SETTING!$C$3*SETTING!$C$6),IF(C63&gt;SETTING!$C$4,(SETTING!$C$4*SETTING!$C$6),(C63*SETTING!$C$6))))</f>
        <v>0</v>
      </c>
      <c r="F63" s="44">
        <f t="shared" si="2"/>
        <v>0</v>
      </c>
    </row>
    <row r="64" spans="1:6">
      <c r="A64" s="23" t="str">
        <f>IF('TENAGA KERJA'!A63=0,"",'TENAGA KERJA'!A63)</f>
        <v/>
      </c>
      <c r="B64" s="24" t="str">
        <f>IF('TENAGA KERJA'!B63=0,"",'TENAGA KERJA'!B63)</f>
        <v/>
      </c>
      <c r="C64" s="43">
        <f>IF('TENAGA KERJA'!J63="Tidak",0,('TENAGA KERJA'!K63+'TENAGA KERJA'!L63))</f>
        <v>0</v>
      </c>
      <c r="D64" s="43">
        <f>IF(C64=0,0,IF(C64&lt;SETTING!$C$3,(SETTING!$C$3*SETTING!$C$5),IF(C64&gt;SETTING!$C$4,(SETTING!$C$4*SETTING!$C$5),(C64*SETTING!$C$5))))</f>
        <v>0</v>
      </c>
      <c r="E64" s="43">
        <f>IF(C64=0,0,IF(C64&lt;SETTING!$C$3,(SETTING!$C$3*SETTING!$C$6),IF(C64&gt;SETTING!$C$4,(SETTING!$C$4*SETTING!$C$6),(C64*SETTING!$C$6))))</f>
        <v>0</v>
      </c>
      <c r="F64" s="44">
        <f t="shared" si="2"/>
        <v>0</v>
      </c>
    </row>
    <row r="65" spans="1:6">
      <c r="A65" s="23" t="str">
        <f>IF('TENAGA KERJA'!A64=0,"",'TENAGA KERJA'!A64)</f>
        <v/>
      </c>
      <c r="B65" s="24" t="str">
        <f>IF('TENAGA KERJA'!B64=0,"",'TENAGA KERJA'!B64)</f>
        <v/>
      </c>
      <c r="C65" s="43">
        <f>IF('TENAGA KERJA'!J64="Tidak",0,('TENAGA KERJA'!K64+'TENAGA KERJA'!L64))</f>
        <v>0</v>
      </c>
      <c r="D65" s="43">
        <f>IF(C65=0,0,IF(C65&lt;SETTING!$C$3,(SETTING!$C$3*SETTING!$C$5),IF(C65&gt;SETTING!$C$4,(SETTING!$C$4*SETTING!$C$5),(C65*SETTING!$C$5))))</f>
        <v>0</v>
      </c>
      <c r="E65" s="43">
        <f>IF(C65=0,0,IF(C65&lt;SETTING!$C$3,(SETTING!$C$3*SETTING!$C$6),IF(C65&gt;SETTING!$C$4,(SETTING!$C$4*SETTING!$C$6),(C65*SETTING!$C$6))))</f>
        <v>0</v>
      </c>
      <c r="F65" s="44">
        <f t="shared" si="2"/>
        <v>0</v>
      </c>
    </row>
    <row r="66" spans="1:6">
      <c r="A66" s="23" t="str">
        <f>IF('TENAGA KERJA'!A65=0,"",'TENAGA KERJA'!A65)</f>
        <v/>
      </c>
      <c r="B66" s="24" t="str">
        <f>IF('TENAGA KERJA'!B65=0,"",'TENAGA KERJA'!B65)</f>
        <v/>
      </c>
      <c r="C66" s="43">
        <f>IF('TENAGA KERJA'!J65="Tidak",0,('TENAGA KERJA'!K65+'TENAGA KERJA'!L65))</f>
        <v>0</v>
      </c>
      <c r="D66" s="43">
        <f>IF(C66=0,0,IF(C66&lt;SETTING!$C$3,(SETTING!$C$3*SETTING!$C$5),IF(C66&gt;SETTING!$C$4,(SETTING!$C$4*SETTING!$C$5),(C66*SETTING!$C$5))))</f>
        <v>0</v>
      </c>
      <c r="E66" s="43">
        <f>IF(C66=0,0,IF(C66&lt;SETTING!$C$3,(SETTING!$C$3*SETTING!$C$6),IF(C66&gt;SETTING!$C$4,(SETTING!$C$4*SETTING!$C$6),(C66*SETTING!$C$6))))</f>
        <v>0</v>
      </c>
      <c r="F66" s="44">
        <f t="shared" si="2"/>
        <v>0</v>
      </c>
    </row>
    <row r="67" spans="1:6">
      <c r="A67" s="23" t="str">
        <f>IF('TENAGA KERJA'!A66=0,"",'TENAGA KERJA'!A66)</f>
        <v/>
      </c>
      <c r="B67" s="24" t="str">
        <f>IF('TENAGA KERJA'!B66=0,"",'TENAGA KERJA'!B66)</f>
        <v/>
      </c>
      <c r="C67" s="43">
        <f>IF('TENAGA KERJA'!J66="Tidak",0,('TENAGA KERJA'!K66+'TENAGA KERJA'!L66))</f>
        <v>0</v>
      </c>
      <c r="D67" s="43">
        <f>IF(C67=0,0,IF(C67&lt;SETTING!$C$3,(SETTING!$C$3*SETTING!$C$5),IF(C67&gt;SETTING!$C$4,(SETTING!$C$4*SETTING!$C$5),(C67*SETTING!$C$5))))</f>
        <v>0</v>
      </c>
      <c r="E67" s="43">
        <f>IF(C67=0,0,IF(C67&lt;SETTING!$C$3,(SETTING!$C$3*SETTING!$C$6),IF(C67&gt;SETTING!$C$4,(SETTING!$C$4*SETTING!$C$6),(C67*SETTING!$C$6))))</f>
        <v>0</v>
      </c>
      <c r="F67" s="44">
        <f t="shared" si="2"/>
        <v>0</v>
      </c>
    </row>
    <row r="68" spans="1:6">
      <c r="A68" s="23" t="str">
        <f>IF('TENAGA KERJA'!A67=0,"",'TENAGA KERJA'!A67)</f>
        <v/>
      </c>
      <c r="B68" s="24" t="str">
        <f>IF('TENAGA KERJA'!B67=0,"",'TENAGA KERJA'!B67)</f>
        <v/>
      </c>
      <c r="C68" s="43">
        <f>IF('TENAGA KERJA'!J67="Tidak",0,('TENAGA KERJA'!K67+'TENAGA KERJA'!L67))</f>
        <v>0</v>
      </c>
      <c r="D68" s="43">
        <f>IF(C68=0,0,IF(C68&lt;SETTING!$C$3,(SETTING!$C$3*SETTING!$C$5),IF(C68&gt;SETTING!$C$4,(SETTING!$C$4*SETTING!$C$5),(C68*SETTING!$C$5))))</f>
        <v>0</v>
      </c>
      <c r="E68" s="43">
        <f>IF(C68=0,0,IF(C68&lt;SETTING!$C$3,(SETTING!$C$3*SETTING!$C$6),IF(C68&gt;SETTING!$C$4,(SETTING!$C$4*SETTING!$C$6),(C68*SETTING!$C$6))))</f>
        <v>0</v>
      </c>
      <c r="F68" s="44">
        <f t="shared" si="2"/>
        <v>0</v>
      </c>
    </row>
    <row r="69" spans="1:6">
      <c r="A69" s="23" t="str">
        <f>IF('TENAGA KERJA'!A68=0,"",'TENAGA KERJA'!A68)</f>
        <v/>
      </c>
      <c r="B69" s="24" t="str">
        <f>IF('TENAGA KERJA'!B68=0,"",'TENAGA KERJA'!B68)</f>
        <v/>
      </c>
      <c r="C69" s="43">
        <f>IF('TENAGA KERJA'!J68="Tidak",0,('TENAGA KERJA'!K68+'TENAGA KERJA'!L68))</f>
        <v>0</v>
      </c>
      <c r="D69" s="43">
        <f>IF(C69=0,0,IF(C69&lt;SETTING!$C$3,(SETTING!$C$3*SETTING!$C$5),IF(C69&gt;SETTING!$C$4,(SETTING!$C$4*SETTING!$C$5),(C69*SETTING!$C$5))))</f>
        <v>0</v>
      </c>
      <c r="E69" s="43">
        <f>IF(C69=0,0,IF(C69&lt;SETTING!$C$3,(SETTING!$C$3*SETTING!$C$6),IF(C69&gt;SETTING!$C$4,(SETTING!$C$4*SETTING!$C$6),(C69*SETTING!$C$6))))</f>
        <v>0</v>
      </c>
      <c r="F69" s="44">
        <f t="shared" ref="F69:F132" si="3">D69+E69</f>
        <v>0</v>
      </c>
    </row>
    <row r="70" spans="1:6">
      <c r="A70" s="23" t="str">
        <f>IF('TENAGA KERJA'!A69=0,"",'TENAGA KERJA'!A69)</f>
        <v/>
      </c>
      <c r="B70" s="24" t="str">
        <f>IF('TENAGA KERJA'!B69=0,"",'TENAGA KERJA'!B69)</f>
        <v/>
      </c>
      <c r="C70" s="43">
        <f>IF('TENAGA KERJA'!J69="Tidak",0,('TENAGA KERJA'!K69+'TENAGA KERJA'!L69))</f>
        <v>0</v>
      </c>
      <c r="D70" s="43">
        <f>IF(C70=0,0,IF(C70&lt;SETTING!$C$3,(SETTING!$C$3*SETTING!$C$5),IF(C70&gt;SETTING!$C$4,(SETTING!$C$4*SETTING!$C$5),(C70*SETTING!$C$5))))</f>
        <v>0</v>
      </c>
      <c r="E70" s="43">
        <f>IF(C70=0,0,IF(C70&lt;SETTING!$C$3,(SETTING!$C$3*SETTING!$C$6),IF(C70&gt;SETTING!$C$4,(SETTING!$C$4*SETTING!$C$6),(C70*SETTING!$C$6))))</f>
        <v>0</v>
      </c>
      <c r="F70" s="44">
        <f t="shared" si="3"/>
        <v>0</v>
      </c>
    </row>
    <row r="71" spans="1:6">
      <c r="A71" s="23" t="str">
        <f>IF('TENAGA KERJA'!A70=0,"",'TENAGA KERJA'!A70)</f>
        <v/>
      </c>
      <c r="B71" s="24" t="str">
        <f>IF('TENAGA KERJA'!B70=0,"",'TENAGA KERJA'!B70)</f>
        <v/>
      </c>
      <c r="C71" s="43">
        <f>IF('TENAGA KERJA'!J70="Tidak",0,('TENAGA KERJA'!K70+'TENAGA KERJA'!L70))</f>
        <v>0</v>
      </c>
      <c r="D71" s="43">
        <f>IF(C71=0,0,IF(C71&lt;SETTING!$C$3,(SETTING!$C$3*SETTING!$C$5),IF(C71&gt;SETTING!$C$4,(SETTING!$C$4*SETTING!$C$5),(C71*SETTING!$C$5))))</f>
        <v>0</v>
      </c>
      <c r="E71" s="43">
        <f>IF(C71=0,0,IF(C71&lt;SETTING!$C$3,(SETTING!$C$3*SETTING!$C$6),IF(C71&gt;SETTING!$C$4,(SETTING!$C$4*SETTING!$C$6),(C71*SETTING!$C$6))))</f>
        <v>0</v>
      </c>
      <c r="F71" s="44">
        <f t="shared" si="3"/>
        <v>0</v>
      </c>
    </row>
    <row r="72" spans="1:6">
      <c r="A72" s="23" t="str">
        <f>IF('TENAGA KERJA'!A71=0,"",'TENAGA KERJA'!A71)</f>
        <v/>
      </c>
      <c r="B72" s="24" t="str">
        <f>IF('TENAGA KERJA'!B71=0,"",'TENAGA KERJA'!B71)</f>
        <v/>
      </c>
      <c r="C72" s="43">
        <f>IF('TENAGA KERJA'!J71="Tidak",0,('TENAGA KERJA'!K71+'TENAGA KERJA'!L71))</f>
        <v>0</v>
      </c>
      <c r="D72" s="43">
        <f>IF(C72=0,0,IF(C72&lt;SETTING!$C$3,(SETTING!$C$3*SETTING!$C$5),IF(C72&gt;SETTING!$C$4,(SETTING!$C$4*SETTING!$C$5),(C72*SETTING!$C$5))))</f>
        <v>0</v>
      </c>
      <c r="E72" s="43">
        <f>IF(C72=0,0,IF(C72&lt;SETTING!$C$3,(SETTING!$C$3*SETTING!$C$6),IF(C72&gt;SETTING!$C$4,(SETTING!$C$4*SETTING!$C$6),(C72*SETTING!$C$6))))</f>
        <v>0</v>
      </c>
      <c r="F72" s="44">
        <f t="shared" si="3"/>
        <v>0</v>
      </c>
    </row>
    <row r="73" spans="1:6">
      <c r="A73" s="23" t="str">
        <f>IF('TENAGA KERJA'!A72=0,"",'TENAGA KERJA'!A72)</f>
        <v/>
      </c>
      <c r="B73" s="24" t="str">
        <f>IF('TENAGA KERJA'!B72=0,"",'TENAGA KERJA'!B72)</f>
        <v/>
      </c>
      <c r="C73" s="43">
        <f>IF('TENAGA KERJA'!J72="Tidak",0,('TENAGA KERJA'!K72+'TENAGA KERJA'!L72))</f>
        <v>0</v>
      </c>
      <c r="D73" s="43">
        <f>IF(C73=0,0,IF(C73&lt;SETTING!$C$3,(SETTING!$C$3*SETTING!$C$5),IF(C73&gt;SETTING!$C$4,(SETTING!$C$4*SETTING!$C$5),(C73*SETTING!$C$5))))</f>
        <v>0</v>
      </c>
      <c r="E73" s="43">
        <f>IF(C73=0,0,IF(C73&lt;SETTING!$C$3,(SETTING!$C$3*SETTING!$C$6),IF(C73&gt;SETTING!$C$4,(SETTING!$C$4*SETTING!$C$6),(C73*SETTING!$C$6))))</f>
        <v>0</v>
      </c>
      <c r="F73" s="44">
        <f t="shared" si="3"/>
        <v>0</v>
      </c>
    </row>
    <row r="74" spans="1:6">
      <c r="A74" s="23" t="str">
        <f>IF('TENAGA KERJA'!A73=0,"",'TENAGA KERJA'!A73)</f>
        <v/>
      </c>
      <c r="B74" s="24" t="str">
        <f>IF('TENAGA KERJA'!B73=0,"",'TENAGA KERJA'!B73)</f>
        <v/>
      </c>
      <c r="C74" s="43">
        <f>IF('TENAGA KERJA'!J73="Tidak",0,('TENAGA KERJA'!K73+'TENAGA KERJA'!L73))</f>
        <v>0</v>
      </c>
      <c r="D74" s="43">
        <f>IF(C74=0,0,IF(C74&lt;SETTING!$C$3,(SETTING!$C$3*SETTING!$C$5),IF(C74&gt;SETTING!$C$4,(SETTING!$C$4*SETTING!$C$5),(C74*SETTING!$C$5))))</f>
        <v>0</v>
      </c>
      <c r="E74" s="43">
        <f>IF(C74=0,0,IF(C74&lt;SETTING!$C$3,(SETTING!$C$3*SETTING!$C$6),IF(C74&gt;SETTING!$C$4,(SETTING!$C$4*SETTING!$C$6),(C74*SETTING!$C$6))))</f>
        <v>0</v>
      </c>
      <c r="F74" s="44">
        <f t="shared" si="3"/>
        <v>0</v>
      </c>
    </row>
    <row r="75" spans="1:6">
      <c r="A75" s="23" t="str">
        <f>IF('TENAGA KERJA'!A74=0,"",'TENAGA KERJA'!A74)</f>
        <v/>
      </c>
      <c r="B75" s="24" t="str">
        <f>IF('TENAGA KERJA'!B74=0,"",'TENAGA KERJA'!B74)</f>
        <v/>
      </c>
      <c r="C75" s="43">
        <f>IF('TENAGA KERJA'!J74="Tidak",0,('TENAGA KERJA'!K74+'TENAGA KERJA'!L74))</f>
        <v>0</v>
      </c>
      <c r="D75" s="43">
        <f>IF(C75=0,0,IF(C75&lt;SETTING!$C$3,(SETTING!$C$3*SETTING!$C$5),IF(C75&gt;SETTING!$C$4,(SETTING!$C$4*SETTING!$C$5),(C75*SETTING!$C$5))))</f>
        <v>0</v>
      </c>
      <c r="E75" s="43">
        <f>IF(C75=0,0,IF(C75&lt;SETTING!$C$3,(SETTING!$C$3*SETTING!$C$6),IF(C75&gt;SETTING!$C$4,(SETTING!$C$4*SETTING!$C$6),(C75*SETTING!$C$6))))</f>
        <v>0</v>
      </c>
      <c r="F75" s="44">
        <f t="shared" si="3"/>
        <v>0</v>
      </c>
    </row>
    <row r="76" spans="1:6">
      <c r="A76" s="23" t="str">
        <f>IF('TENAGA KERJA'!A75=0,"",'TENAGA KERJA'!A75)</f>
        <v/>
      </c>
      <c r="B76" s="24" t="str">
        <f>IF('TENAGA KERJA'!B75=0,"",'TENAGA KERJA'!B75)</f>
        <v/>
      </c>
      <c r="C76" s="43">
        <f>IF('TENAGA KERJA'!J75="Tidak",0,('TENAGA KERJA'!K75+'TENAGA KERJA'!L75))</f>
        <v>0</v>
      </c>
      <c r="D76" s="43">
        <f>IF(C76=0,0,IF(C76&lt;SETTING!$C$3,(SETTING!$C$3*SETTING!$C$5),IF(C76&gt;SETTING!$C$4,(SETTING!$C$4*SETTING!$C$5),(C76*SETTING!$C$5))))</f>
        <v>0</v>
      </c>
      <c r="E76" s="43">
        <f>IF(C76=0,0,IF(C76&lt;SETTING!$C$3,(SETTING!$C$3*SETTING!$C$6),IF(C76&gt;SETTING!$C$4,(SETTING!$C$4*SETTING!$C$6),(C76*SETTING!$C$6))))</f>
        <v>0</v>
      </c>
      <c r="F76" s="44">
        <f t="shared" si="3"/>
        <v>0</v>
      </c>
    </row>
    <row r="77" spans="1:6">
      <c r="A77" s="23" t="str">
        <f>IF('TENAGA KERJA'!A76=0,"",'TENAGA KERJA'!A76)</f>
        <v/>
      </c>
      <c r="B77" s="24" t="str">
        <f>IF('TENAGA KERJA'!B76=0,"",'TENAGA KERJA'!B76)</f>
        <v/>
      </c>
      <c r="C77" s="43">
        <f>IF('TENAGA KERJA'!J76="Tidak",0,('TENAGA KERJA'!K76+'TENAGA KERJA'!L76))</f>
        <v>0</v>
      </c>
      <c r="D77" s="43">
        <f>IF(C77=0,0,IF(C77&lt;SETTING!$C$3,(SETTING!$C$3*SETTING!$C$5),IF(C77&gt;SETTING!$C$4,(SETTING!$C$4*SETTING!$C$5),(C77*SETTING!$C$5))))</f>
        <v>0</v>
      </c>
      <c r="E77" s="43">
        <f>IF(C77=0,0,IF(C77&lt;SETTING!$C$3,(SETTING!$C$3*SETTING!$C$6),IF(C77&gt;SETTING!$C$4,(SETTING!$C$4*SETTING!$C$6),(C77*SETTING!$C$6))))</f>
        <v>0</v>
      </c>
      <c r="F77" s="44">
        <f t="shared" si="3"/>
        <v>0</v>
      </c>
    </row>
    <row r="78" spans="1:6">
      <c r="A78" s="23" t="str">
        <f>IF('TENAGA KERJA'!A77=0,"",'TENAGA KERJA'!A77)</f>
        <v/>
      </c>
      <c r="B78" s="24" t="str">
        <f>IF('TENAGA KERJA'!B77=0,"",'TENAGA KERJA'!B77)</f>
        <v/>
      </c>
      <c r="C78" s="43">
        <f>IF('TENAGA KERJA'!J77="Tidak",0,('TENAGA KERJA'!K77+'TENAGA KERJA'!L77))</f>
        <v>0</v>
      </c>
      <c r="D78" s="43">
        <f>IF(C78=0,0,IF(C78&lt;SETTING!$C$3,(SETTING!$C$3*SETTING!$C$5),IF(C78&gt;SETTING!$C$4,(SETTING!$C$4*SETTING!$C$5),(C78*SETTING!$C$5))))</f>
        <v>0</v>
      </c>
      <c r="E78" s="43">
        <f>IF(C78=0,0,IF(C78&lt;SETTING!$C$3,(SETTING!$C$3*SETTING!$C$6),IF(C78&gt;SETTING!$C$4,(SETTING!$C$4*SETTING!$C$6),(C78*SETTING!$C$6))))</f>
        <v>0</v>
      </c>
      <c r="F78" s="44">
        <f t="shared" si="3"/>
        <v>0</v>
      </c>
    </row>
    <row r="79" spans="1:6">
      <c r="A79" s="23" t="str">
        <f>IF('TENAGA KERJA'!A78=0,"",'TENAGA KERJA'!A78)</f>
        <v/>
      </c>
      <c r="B79" s="24" t="str">
        <f>IF('TENAGA KERJA'!B78=0,"",'TENAGA KERJA'!B78)</f>
        <v/>
      </c>
      <c r="C79" s="43">
        <f>IF('TENAGA KERJA'!J78="Tidak",0,('TENAGA KERJA'!K78+'TENAGA KERJA'!L78))</f>
        <v>0</v>
      </c>
      <c r="D79" s="43">
        <f>IF(C79=0,0,IF(C79&lt;SETTING!$C$3,(SETTING!$C$3*SETTING!$C$5),IF(C79&gt;SETTING!$C$4,(SETTING!$C$4*SETTING!$C$5),(C79*SETTING!$C$5))))</f>
        <v>0</v>
      </c>
      <c r="E79" s="43">
        <f>IF(C79=0,0,IF(C79&lt;SETTING!$C$3,(SETTING!$C$3*SETTING!$C$6),IF(C79&gt;SETTING!$C$4,(SETTING!$C$4*SETTING!$C$6),(C79*SETTING!$C$6))))</f>
        <v>0</v>
      </c>
      <c r="F79" s="44">
        <f t="shared" si="3"/>
        <v>0</v>
      </c>
    </row>
    <row r="80" spans="1:6">
      <c r="A80" s="23" t="str">
        <f>IF('TENAGA KERJA'!A79=0,"",'TENAGA KERJA'!A79)</f>
        <v/>
      </c>
      <c r="B80" s="24" t="str">
        <f>IF('TENAGA KERJA'!B79=0,"",'TENAGA KERJA'!B79)</f>
        <v/>
      </c>
      <c r="C80" s="43">
        <f>IF('TENAGA KERJA'!J79="Tidak",0,('TENAGA KERJA'!K79+'TENAGA KERJA'!L79))</f>
        <v>0</v>
      </c>
      <c r="D80" s="43">
        <f>IF(C80=0,0,IF(C80&lt;SETTING!$C$3,(SETTING!$C$3*SETTING!$C$5),IF(C80&gt;SETTING!$C$4,(SETTING!$C$4*SETTING!$C$5),(C80*SETTING!$C$5))))</f>
        <v>0</v>
      </c>
      <c r="E80" s="43">
        <f>IF(C80=0,0,IF(C80&lt;SETTING!$C$3,(SETTING!$C$3*SETTING!$C$6),IF(C80&gt;SETTING!$C$4,(SETTING!$C$4*SETTING!$C$6),(C80*SETTING!$C$6))))</f>
        <v>0</v>
      </c>
      <c r="F80" s="44">
        <f t="shared" si="3"/>
        <v>0</v>
      </c>
    </row>
    <row r="81" spans="1:6">
      <c r="A81" s="23" t="str">
        <f>IF('TENAGA KERJA'!A80=0,"",'TENAGA KERJA'!A80)</f>
        <v/>
      </c>
      <c r="B81" s="24" t="str">
        <f>IF('TENAGA KERJA'!B80=0,"",'TENAGA KERJA'!B80)</f>
        <v/>
      </c>
      <c r="C81" s="43">
        <f>IF('TENAGA KERJA'!J80="Tidak",0,('TENAGA KERJA'!K80+'TENAGA KERJA'!L80))</f>
        <v>0</v>
      </c>
      <c r="D81" s="43">
        <f>IF(C81=0,0,IF(C81&lt;SETTING!$C$3,(SETTING!$C$3*SETTING!$C$5),IF(C81&gt;SETTING!$C$4,(SETTING!$C$4*SETTING!$C$5),(C81*SETTING!$C$5))))</f>
        <v>0</v>
      </c>
      <c r="E81" s="43">
        <f>IF(C81=0,0,IF(C81&lt;SETTING!$C$3,(SETTING!$C$3*SETTING!$C$6),IF(C81&gt;SETTING!$C$4,(SETTING!$C$4*SETTING!$C$6),(C81*SETTING!$C$6))))</f>
        <v>0</v>
      </c>
      <c r="F81" s="44">
        <f t="shared" si="3"/>
        <v>0</v>
      </c>
    </row>
    <row r="82" spans="1:6">
      <c r="A82" s="23" t="str">
        <f>IF('TENAGA KERJA'!A81=0,"",'TENAGA KERJA'!A81)</f>
        <v/>
      </c>
      <c r="B82" s="24" t="str">
        <f>IF('TENAGA KERJA'!B81=0,"",'TENAGA KERJA'!B81)</f>
        <v/>
      </c>
      <c r="C82" s="43">
        <f>IF('TENAGA KERJA'!J81="Tidak",0,('TENAGA KERJA'!K81+'TENAGA KERJA'!L81))</f>
        <v>0</v>
      </c>
      <c r="D82" s="43">
        <f>IF(C82=0,0,IF(C82&lt;SETTING!$C$3,(SETTING!$C$3*SETTING!$C$5),IF(C82&gt;SETTING!$C$4,(SETTING!$C$4*SETTING!$C$5),(C82*SETTING!$C$5))))</f>
        <v>0</v>
      </c>
      <c r="E82" s="43">
        <f>IF(C82=0,0,IF(C82&lt;SETTING!$C$3,(SETTING!$C$3*SETTING!$C$6),IF(C82&gt;SETTING!$C$4,(SETTING!$C$4*SETTING!$C$6),(C82*SETTING!$C$6))))</f>
        <v>0</v>
      </c>
      <c r="F82" s="44">
        <f t="shared" si="3"/>
        <v>0</v>
      </c>
    </row>
    <row r="83" spans="1:6">
      <c r="A83" s="23" t="str">
        <f>IF('TENAGA KERJA'!A82=0,"",'TENAGA KERJA'!A82)</f>
        <v/>
      </c>
      <c r="B83" s="24" t="str">
        <f>IF('TENAGA KERJA'!B82=0,"",'TENAGA KERJA'!B82)</f>
        <v/>
      </c>
      <c r="C83" s="43">
        <f>IF('TENAGA KERJA'!J82="Tidak",0,('TENAGA KERJA'!K82+'TENAGA KERJA'!L82))</f>
        <v>0</v>
      </c>
      <c r="D83" s="43">
        <f>IF(C83=0,0,IF(C83&lt;SETTING!$C$3,(SETTING!$C$3*SETTING!$C$5),IF(C83&gt;SETTING!$C$4,(SETTING!$C$4*SETTING!$C$5),(C83*SETTING!$C$5))))</f>
        <v>0</v>
      </c>
      <c r="E83" s="43">
        <f>IF(C83=0,0,IF(C83&lt;SETTING!$C$3,(SETTING!$C$3*SETTING!$C$6),IF(C83&gt;SETTING!$C$4,(SETTING!$C$4*SETTING!$C$6),(C83*SETTING!$C$6))))</f>
        <v>0</v>
      </c>
      <c r="F83" s="44">
        <f t="shared" si="3"/>
        <v>0</v>
      </c>
    </row>
    <row r="84" spans="1:6">
      <c r="A84" s="23" t="str">
        <f>IF('TENAGA KERJA'!A83=0,"",'TENAGA KERJA'!A83)</f>
        <v/>
      </c>
      <c r="B84" s="24" t="str">
        <f>IF('TENAGA KERJA'!B83=0,"",'TENAGA KERJA'!B83)</f>
        <v/>
      </c>
      <c r="C84" s="43">
        <f>IF('TENAGA KERJA'!J83="Tidak",0,('TENAGA KERJA'!K83+'TENAGA KERJA'!L83))</f>
        <v>0</v>
      </c>
      <c r="D84" s="43">
        <f>IF(C84=0,0,IF(C84&lt;SETTING!$C$3,(SETTING!$C$3*SETTING!$C$5),IF(C84&gt;SETTING!$C$4,(SETTING!$C$4*SETTING!$C$5),(C84*SETTING!$C$5))))</f>
        <v>0</v>
      </c>
      <c r="E84" s="43">
        <f>IF(C84=0,0,IF(C84&lt;SETTING!$C$3,(SETTING!$C$3*SETTING!$C$6),IF(C84&gt;SETTING!$C$4,(SETTING!$C$4*SETTING!$C$6),(C84*SETTING!$C$6))))</f>
        <v>0</v>
      </c>
      <c r="F84" s="44">
        <f t="shared" si="3"/>
        <v>0</v>
      </c>
    </row>
    <row r="85" spans="1:6">
      <c r="A85" s="23" t="str">
        <f>IF('TENAGA KERJA'!A84=0,"",'TENAGA KERJA'!A84)</f>
        <v/>
      </c>
      <c r="B85" s="24" t="str">
        <f>IF('TENAGA KERJA'!B84=0,"",'TENAGA KERJA'!B84)</f>
        <v/>
      </c>
      <c r="C85" s="43">
        <f>IF('TENAGA KERJA'!J84="Tidak",0,('TENAGA KERJA'!K84+'TENAGA KERJA'!L84))</f>
        <v>0</v>
      </c>
      <c r="D85" s="43">
        <f>IF(C85=0,0,IF(C85&lt;SETTING!$C$3,(SETTING!$C$3*SETTING!$C$5),IF(C85&gt;SETTING!$C$4,(SETTING!$C$4*SETTING!$C$5),(C85*SETTING!$C$5))))</f>
        <v>0</v>
      </c>
      <c r="E85" s="43">
        <f>IF(C85=0,0,IF(C85&lt;SETTING!$C$3,(SETTING!$C$3*SETTING!$C$6),IF(C85&gt;SETTING!$C$4,(SETTING!$C$4*SETTING!$C$6),(C85*SETTING!$C$6))))</f>
        <v>0</v>
      </c>
      <c r="F85" s="44">
        <f t="shared" si="3"/>
        <v>0</v>
      </c>
    </row>
    <row r="86" spans="1:6">
      <c r="A86" s="23" t="str">
        <f>IF('TENAGA KERJA'!A85=0,"",'TENAGA KERJA'!A85)</f>
        <v/>
      </c>
      <c r="B86" s="24" t="str">
        <f>IF('TENAGA KERJA'!B85=0,"",'TENAGA KERJA'!B85)</f>
        <v/>
      </c>
      <c r="C86" s="43">
        <f>IF('TENAGA KERJA'!J85="Tidak",0,('TENAGA KERJA'!K85+'TENAGA KERJA'!L85))</f>
        <v>0</v>
      </c>
      <c r="D86" s="43">
        <f>IF(C86=0,0,IF(C86&lt;SETTING!$C$3,(SETTING!$C$3*SETTING!$C$5),IF(C86&gt;SETTING!$C$4,(SETTING!$C$4*SETTING!$C$5),(C86*SETTING!$C$5))))</f>
        <v>0</v>
      </c>
      <c r="E86" s="43">
        <f>IF(C86=0,0,IF(C86&lt;SETTING!$C$3,(SETTING!$C$3*SETTING!$C$6),IF(C86&gt;SETTING!$C$4,(SETTING!$C$4*SETTING!$C$6),(C86*SETTING!$C$6))))</f>
        <v>0</v>
      </c>
      <c r="F86" s="44">
        <f t="shared" si="3"/>
        <v>0</v>
      </c>
    </row>
    <row r="87" spans="1:6">
      <c r="A87" s="23" t="str">
        <f>IF('TENAGA KERJA'!A86=0,"",'TENAGA KERJA'!A86)</f>
        <v/>
      </c>
      <c r="B87" s="24" t="str">
        <f>IF('TENAGA KERJA'!B86=0,"",'TENAGA KERJA'!B86)</f>
        <v/>
      </c>
      <c r="C87" s="43">
        <f>IF('TENAGA KERJA'!J86="Tidak",0,('TENAGA KERJA'!K86+'TENAGA KERJA'!L86))</f>
        <v>0</v>
      </c>
      <c r="D87" s="43">
        <f>IF(C87=0,0,IF(C87&lt;SETTING!$C$3,(SETTING!$C$3*SETTING!$C$5),IF(C87&gt;SETTING!$C$4,(SETTING!$C$4*SETTING!$C$5),(C87*SETTING!$C$5))))</f>
        <v>0</v>
      </c>
      <c r="E87" s="43">
        <f>IF(C87=0,0,IF(C87&lt;SETTING!$C$3,(SETTING!$C$3*SETTING!$C$6),IF(C87&gt;SETTING!$C$4,(SETTING!$C$4*SETTING!$C$6),(C87*SETTING!$C$6))))</f>
        <v>0</v>
      </c>
      <c r="F87" s="44">
        <f t="shared" si="3"/>
        <v>0</v>
      </c>
    </row>
    <row r="88" spans="1:6">
      <c r="A88" s="23" t="str">
        <f>IF('TENAGA KERJA'!A87=0,"",'TENAGA KERJA'!A87)</f>
        <v/>
      </c>
      <c r="B88" s="24" t="str">
        <f>IF('TENAGA KERJA'!B87=0,"",'TENAGA KERJA'!B87)</f>
        <v/>
      </c>
      <c r="C88" s="43">
        <f>IF('TENAGA KERJA'!J87="Tidak",0,('TENAGA KERJA'!K87+'TENAGA KERJA'!L87))</f>
        <v>0</v>
      </c>
      <c r="D88" s="43">
        <f>IF(C88=0,0,IF(C88&lt;SETTING!$C$3,(SETTING!$C$3*SETTING!$C$5),IF(C88&gt;SETTING!$C$4,(SETTING!$C$4*SETTING!$C$5),(C88*SETTING!$C$5))))</f>
        <v>0</v>
      </c>
      <c r="E88" s="43">
        <f>IF(C88=0,0,IF(C88&lt;SETTING!$C$3,(SETTING!$C$3*SETTING!$C$6),IF(C88&gt;SETTING!$C$4,(SETTING!$C$4*SETTING!$C$6),(C88*SETTING!$C$6))))</f>
        <v>0</v>
      </c>
      <c r="F88" s="44">
        <f t="shared" si="3"/>
        <v>0</v>
      </c>
    </row>
    <row r="89" spans="1:6">
      <c r="A89" s="23" t="str">
        <f>IF('TENAGA KERJA'!A88=0,"",'TENAGA KERJA'!A88)</f>
        <v/>
      </c>
      <c r="B89" s="24" t="str">
        <f>IF('TENAGA KERJA'!B88=0,"",'TENAGA KERJA'!B88)</f>
        <v/>
      </c>
      <c r="C89" s="43">
        <f>IF('TENAGA KERJA'!J88="Tidak",0,('TENAGA KERJA'!K88+'TENAGA KERJA'!L88))</f>
        <v>0</v>
      </c>
      <c r="D89" s="43">
        <f>IF(C89=0,0,IF(C89&lt;SETTING!$C$3,(SETTING!$C$3*SETTING!$C$5),IF(C89&gt;SETTING!$C$4,(SETTING!$C$4*SETTING!$C$5),(C89*SETTING!$C$5))))</f>
        <v>0</v>
      </c>
      <c r="E89" s="43">
        <f>IF(C89=0,0,IF(C89&lt;SETTING!$C$3,(SETTING!$C$3*SETTING!$C$6),IF(C89&gt;SETTING!$C$4,(SETTING!$C$4*SETTING!$C$6),(C89*SETTING!$C$6))))</f>
        <v>0</v>
      </c>
      <c r="F89" s="44">
        <f t="shared" si="3"/>
        <v>0</v>
      </c>
    </row>
    <row r="90" spans="1:6">
      <c r="A90" s="23" t="str">
        <f>IF('TENAGA KERJA'!A89=0,"",'TENAGA KERJA'!A89)</f>
        <v/>
      </c>
      <c r="B90" s="24" t="str">
        <f>IF('TENAGA KERJA'!B89=0,"",'TENAGA KERJA'!B89)</f>
        <v/>
      </c>
      <c r="C90" s="43">
        <f>IF('TENAGA KERJA'!J89="Tidak",0,('TENAGA KERJA'!K89+'TENAGA KERJA'!L89))</f>
        <v>0</v>
      </c>
      <c r="D90" s="43">
        <f>IF(C90=0,0,IF(C90&lt;SETTING!$C$3,(SETTING!$C$3*SETTING!$C$5),IF(C90&gt;SETTING!$C$4,(SETTING!$C$4*SETTING!$C$5),(C90*SETTING!$C$5))))</f>
        <v>0</v>
      </c>
      <c r="E90" s="43">
        <f>IF(C90=0,0,IF(C90&lt;SETTING!$C$3,(SETTING!$C$3*SETTING!$C$6),IF(C90&gt;SETTING!$C$4,(SETTING!$C$4*SETTING!$C$6),(C90*SETTING!$C$6))))</f>
        <v>0</v>
      </c>
      <c r="F90" s="44">
        <f t="shared" si="3"/>
        <v>0</v>
      </c>
    </row>
    <row r="91" spans="1:6">
      <c r="A91" s="23" t="str">
        <f>IF('TENAGA KERJA'!A90=0,"",'TENAGA KERJA'!A90)</f>
        <v/>
      </c>
      <c r="B91" s="24" t="str">
        <f>IF('TENAGA KERJA'!B90=0,"",'TENAGA KERJA'!B90)</f>
        <v/>
      </c>
      <c r="C91" s="43">
        <f>IF('TENAGA KERJA'!J90="Tidak",0,('TENAGA KERJA'!K90+'TENAGA KERJA'!L90))</f>
        <v>0</v>
      </c>
      <c r="D91" s="43">
        <f>IF(C91=0,0,IF(C91&lt;SETTING!$C$3,(SETTING!$C$3*SETTING!$C$5),IF(C91&gt;SETTING!$C$4,(SETTING!$C$4*SETTING!$C$5),(C91*SETTING!$C$5))))</f>
        <v>0</v>
      </c>
      <c r="E91" s="43">
        <f>IF(C91=0,0,IF(C91&lt;SETTING!$C$3,(SETTING!$C$3*SETTING!$C$6),IF(C91&gt;SETTING!$C$4,(SETTING!$C$4*SETTING!$C$6),(C91*SETTING!$C$6))))</f>
        <v>0</v>
      </c>
      <c r="F91" s="44">
        <f t="shared" si="3"/>
        <v>0</v>
      </c>
    </row>
    <row r="92" spans="1:6">
      <c r="A92" s="23" t="str">
        <f>IF('TENAGA KERJA'!A91=0,"",'TENAGA KERJA'!A91)</f>
        <v/>
      </c>
      <c r="B92" s="24" t="str">
        <f>IF('TENAGA KERJA'!B91=0,"",'TENAGA KERJA'!B91)</f>
        <v/>
      </c>
      <c r="C92" s="43">
        <f>IF('TENAGA KERJA'!J91="Tidak",0,('TENAGA KERJA'!K91+'TENAGA KERJA'!L91))</f>
        <v>0</v>
      </c>
      <c r="D92" s="43">
        <f>IF(C92=0,0,IF(C92&lt;SETTING!$C$3,(SETTING!$C$3*SETTING!$C$5),IF(C92&gt;SETTING!$C$4,(SETTING!$C$4*SETTING!$C$5),(C92*SETTING!$C$5))))</f>
        <v>0</v>
      </c>
      <c r="E92" s="43">
        <f>IF(C92=0,0,IF(C92&lt;SETTING!$C$3,(SETTING!$C$3*SETTING!$C$6),IF(C92&gt;SETTING!$C$4,(SETTING!$C$4*SETTING!$C$6),(C92*SETTING!$C$6))))</f>
        <v>0</v>
      </c>
      <c r="F92" s="44">
        <f t="shared" si="3"/>
        <v>0</v>
      </c>
    </row>
    <row r="93" spans="1:6">
      <c r="A93" s="23" t="str">
        <f>IF('TENAGA KERJA'!A92=0,"",'TENAGA KERJA'!A92)</f>
        <v/>
      </c>
      <c r="B93" s="24" t="str">
        <f>IF('TENAGA KERJA'!B92=0,"",'TENAGA KERJA'!B92)</f>
        <v/>
      </c>
      <c r="C93" s="43">
        <f>IF('TENAGA KERJA'!J92="Tidak",0,('TENAGA KERJA'!K92+'TENAGA KERJA'!L92))</f>
        <v>0</v>
      </c>
      <c r="D93" s="43">
        <f>IF(C93=0,0,IF(C93&lt;SETTING!$C$3,(SETTING!$C$3*SETTING!$C$5),IF(C93&gt;SETTING!$C$4,(SETTING!$C$4*SETTING!$C$5),(C93*SETTING!$C$5))))</f>
        <v>0</v>
      </c>
      <c r="E93" s="43">
        <f>IF(C93=0,0,IF(C93&lt;SETTING!$C$3,(SETTING!$C$3*SETTING!$C$6),IF(C93&gt;SETTING!$C$4,(SETTING!$C$4*SETTING!$C$6),(C93*SETTING!$C$6))))</f>
        <v>0</v>
      </c>
      <c r="F93" s="44">
        <f t="shared" si="3"/>
        <v>0</v>
      </c>
    </row>
    <row r="94" spans="1:6">
      <c r="A94" s="23" t="str">
        <f>IF('TENAGA KERJA'!A93=0,"",'TENAGA KERJA'!A93)</f>
        <v/>
      </c>
      <c r="B94" s="24" t="str">
        <f>IF('TENAGA KERJA'!B93=0,"",'TENAGA KERJA'!B93)</f>
        <v/>
      </c>
      <c r="C94" s="43">
        <f>IF('TENAGA KERJA'!J93="Tidak",0,('TENAGA KERJA'!K93+'TENAGA KERJA'!L93))</f>
        <v>0</v>
      </c>
      <c r="D94" s="43">
        <f>IF(C94=0,0,IF(C94&lt;SETTING!$C$3,(SETTING!$C$3*SETTING!$C$5),IF(C94&gt;SETTING!$C$4,(SETTING!$C$4*SETTING!$C$5),(C94*SETTING!$C$5))))</f>
        <v>0</v>
      </c>
      <c r="E94" s="43">
        <f>IF(C94=0,0,IF(C94&lt;SETTING!$C$3,(SETTING!$C$3*SETTING!$C$6),IF(C94&gt;SETTING!$C$4,(SETTING!$C$4*SETTING!$C$6),(C94*SETTING!$C$6))))</f>
        <v>0</v>
      </c>
      <c r="F94" s="44">
        <f t="shared" si="3"/>
        <v>0</v>
      </c>
    </row>
    <row r="95" spans="1:6">
      <c r="A95" s="23" t="str">
        <f>IF('TENAGA KERJA'!A94=0,"",'TENAGA KERJA'!A94)</f>
        <v/>
      </c>
      <c r="B95" s="24" t="str">
        <f>IF('TENAGA KERJA'!B94=0,"",'TENAGA KERJA'!B94)</f>
        <v/>
      </c>
      <c r="C95" s="43">
        <f>IF('TENAGA KERJA'!J94="Tidak",0,('TENAGA KERJA'!K94+'TENAGA KERJA'!L94))</f>
        <v>0</v>
      </c>
      <c r="D95" s="43">
        <f>IF(C95=0,0,IF(C95&lt;SETTING!$C$3,(SETTING!$C$3*SETTING!$C$5),IF(C95&gt;SETTING!$C$4,(SETTING!$C$4*SETTING!$C$5),(C95*SETTING!$C$5))))</f>
        <v>0</v>
      </c>
      <c r="E95" s="43">
        <f>IF(C95=0,0,IF(C95&lt;SETTING!$C$3,(SETTING!$C$3*SETTING!$C$6),IF(C95&gt;SETTING!$C$4,(SETTING!$C$4*SETTING!$C$6),(C95*SETTING!$C$6))))</f>
        <v>0</v>
      </c>
      <c r="F95" s="44">
        <f t="shared" si="3"/>
        <v>0</v>
      </c>
    </row>
    <row r="96" spans="1:6">
      <c r="A96" s="23" t="str">
        <f>IF('TENAGA KERJA'!A95=0,"",'TENAGA KERJA'!A95)</f>
        <v/>
      </c>
      <c r="B96" s="24" t="str">
        <f>IF('TENAGA KERJA'!B95=0,"",'TENAGA KERJA'!B95)</f>
        <v/>
      </c>
      <c r="C96" s="43">
        <f>IF('TENAGA KERJA'!J95="Tidak",0,('TENAGA KERJA'!K95+'TENAGA KERJA'!L95))</f>
        <v>0</v>
      </c>
      <c r="D96" s="43">
        <f>IF(C96=0,0,IF(C96&lt;SETTING!$C$3,(SETTING!$C$3*SETTING!$C$5),IF(C96&gt;SETTING!$C$4,(SETTING!$C$4*SETTING!$C$5),(C96*SETTING!$C$5))))</f>
        <v>0</v>
      </c>
      <c r="E96" s="43">
        <f>IF(C96=0,0,IF(C96&lt;SETTING!$C$3,(SETTING!$C$3*SETTING!$C$6),IF(C96&gt;SETTING!$C$4,(SETTING!$C$4*SETTING!$C$6),(C96*SETTING!$C$6))))</f>
        <v>0</v>
      </c>
      <c r="F96" s="44">
        <f t="shared" si="3"/>
        <v>0</v>
      </c>
    </row>
    <row r="97" spans="1:8">
      <c r="A97" s="23" t="str">
        <f>IF('TENAGA KERJA'!A96=0,"",'TENAGA KERJA'!A96)</f>
        <v/>
      </c>
      <c r="B97" s="24" t="str">
        <f>IF('TENAGA KERJA'!B96=0,"",'TENAGA KERJA'!B96)</f>
        <v/>
      </c>
      <c r="C97" s="43">
        <f>IF('TENAGA KERJA'!J96="Tidak",0,('TENAGA KERJA'!K96+'TENAGA KERJA'!L96))</f>
        <v>0</v>
      </c>
      <c r="D97" s="43">
        <f>IF(C97=0,0,IF(C97&lt;SETTING!$C$3,(SETTING!$C$3*SETTING!$C$5),IF(C97&gt;SETTING!$C$4,(SETTING!$C$4*SETTING!$C$5),(C97*SETTING!$C$5))))</f>
        <v>0</v>
      </c>
      <c r="E97" s="43">
        <f>IF(C97=0,0,IF(C97&lt;SETTING!$C$3,(SETTING!$C$3*SETTING!$C$6),IF(C97&gt;SETTING!$C$4,(SETTING!$C$4*SETTING!$C$6),(C97*SETTING!$C$6))))</f>
        <v>0</v>
      </c>
      <c r="F97" s="44">
        <f t="shared" si="3"/>
        <v>0</v>
      </c>
    </row>
    <row r="98" spans="1:8">
      <c r="A98" s="23" t="str">
        <f>IF('TENAGA KERJA'!A97=0,"",'TENAGA KERJA'!A97)</f>
        <v/>
      </c>
      <c r="B98" s="24" t="str">
        <f>IF('TENAGA KERJA'!B97=0,"",'TENAGA KERJA'!B97)</f>
        <v/>
      </c>
      <c r="C98" s="43">
        <f>IF('TENAGA KERJA'!J97="Tidak",0,('TENAGA KERJA'!K97+'TENAGA KERJA'!L97))</f>
        <v>0</v>
      </c>
      <c r="D98" s="43">
        <f>IF(C98=0,0,IF(C98&lt;SETTING!$C$3,(SETTING!$C$3*SETTING!$C$5),IF(C98&gt;SETTING!$C$4,(SETTING!$C$4*SETTING!$C$5),(C98*SETTING!$C$5))))</f>
        <v>0</v>
      </c>
      <c r="E98" s="43">
        <f>IF(C98=0,0,IF(C98&lt;SETTING!$C$3,(SETTING!$C$3*SETTING!$C$6),IF(C98&gt;SETTING!$C$4,(SETTING!$C$4*SETTING!$C$6),(C98*SETTING!$C$6))))</f>
        <v>0</v>
      </c>
      <c r="F98" s="44">
        <f t="shared" si="3"/>
        <v>0</v>
      </c>
    </row>
    <row r="99" spans="1:8">
      <c r="A99" s="23" t="str">
        <f>IF('TENAGA KERJA'!A98=0,"",'TENAGA KERJA'!A98)</f>
        <v/>
      </c>
      <c r="B99" s="24" t="str">
        <f>IF('TENAGA KERJA'!B98=0,"",'TENAGA KERJA'!B98)</f>
        <v/>
      </c>
      <c r="C99" s="209">
        <f>IF('TENAGA KERJA'!J98="Tidak",0,('TENAGA KERJA'!K98+'TENAGA KERJA'!L98))+1891337</f>
        <v>1891337</v>
      </c>
      <c r="D99" s="43">
        <f>IF(C99=0,0,IF(C99&lt;SETTING!$C$3,(SETTING!$C$3*SETTING!$C$5),IF(C99&gt;SETTING!$C$4,(SETTING!$C$4*SETTING!$C$5),(C99*SETTING!$C$5))))</f>
        <v>175653.48</v>
      </c>
      <c r="E99" s="43">
        <f>IF(C99=0,0,IF(C99&lt;SETTING!$C$3,(SETTING!$C$3*SETTING!$C$6),IF(C99&gt;SETTING!$C$4,(SETTING!$C$4*SETTING!$C$6),(C99*SETTING!$C$6))))</f>
        <v>43913.37</v>
      </c>
      <c r="F99" s="44">
        <f t="shared" si="3"/>
        <v>219566.85</v>
      </c>
    </row>
    <row r="100" spans="1:8">
      <c r="A100" s="23" t="str">
        <f>IF('TENAGA KERJA'!A99=0,"",'TENAGA KERJA'!A99)</f>
        <v/>
      </c>
      <c r="B100" s="24" t="str">
        <f>IF('TENAGA KERJA'!B99=0,"",'TENAGA KERJA'!B99)</f>
        <v/>
      </c>
      <c r="C100" s="43">
        <f>IF('TENAGA KERJA'!J99="Tidak",0,('TENAGA KERJA'!K99+'TENAGA KERJA'!L99))</f>
        <v>0</v>
      </c>
      <c r="D100" s="43">
        <f>IF(C100=0,0,IF(C100&lt;SETTING!$C$3,(SETTING!$C$3*SETTING!$C$5),IF(C100&gt;SETTING!$C$4,(SETTING!$C$4*SETTING!$C$5),(C100*SETTING!$C$5))))</f>
        <v>0</v>
      </c>
      <c r="E100" s="43">
        <f>IF(C100=0,0,IF(C100&lt;SETTING!$C$3,(SETTING!$C$3*SETTING!$C$6),IF(C100&gt;SETTING!$C$4,(SETTING!$C$4*SETTING!$C$6),(C100*SETTING!$C$6))))</f>
        <v>0</v>
      </c>
      <c r="F100" s="44">
        <f t="shared" si="3"/>
        <v>0</v>
      </c>
    </row>
    <row r="101" spans="1:8">
      <c r="A101" s="23" t="str">
        <f>IF('TENAGA KERJA'!A100=0,"",'TENAGA KERJA'!A100)</f>
        <v/>
      </c>
      <c r="B101" s="24" t="str">
        <f>IF('TENAGA KERJA'!B100=0,"",'TENAGA KERJA'!B100)</f>
        <v/>
      </c>
      <c r="C101" s="43">
        <f>IF('TENAGA KERJA'!J100="Tidak",0,('TENAGA KERJA'!K100+'TENAGA KERJA'!L100))</f>
        <v>0</v>
      </c>
      <c r="D101" s="43">
        <f>IF(C101=0,0,IF(C101&lt;SETTING!$C$3,(SETTING!$C$3*SETTING!$C$5),IF(C101&gt;SETTING!$C$4,(SETTING!$C$4*SETTING!$C$5),(C101*SETTING!$C$5))))</f>
        <v>0</v>
      </c>
      <c r="E101" s="43">
        <f>IF(C101=0,0,IF(C101&lt;SETTING!$C$3,(SETTING!$C$3*SETTING!$C$6),IF(C101&gt;SETTING!$C$4,(SETTING!$C$4*SETTING!$C$6),(C101*SETTING!$C$6))))</f>
        <v>0</v>
      </c>
      <c r="F101" s="44">
        <f t="shared" si="3"/>
        <v>0</v>
      </c>
      <c r="H101" s="26">
        <f>SUM(E29:E99)+E168</f>
        <v>87826.74</v>
      </c>
    </row>
    <row r="102" spans="1:8">
      <c r="A102" s="23" t="str">
        <f>IF('TENAGA KERJA'!A101=0,"",'TENAGA KERJA'!A101)</f>
        <v/>
      </c>
      <c r="B102" s="24" t="str">
        <f>IF('TENAGA KERJA'!B101=0,"",'TENAGA KERJA'!B101)</f>
        <v/>
      </c>
      <c r="C102" s="43">
        <f>IF('TENAGA KERJA'!J101="Tidak",0,('TENAGA KERJA'!K101+'TENAGA KERJA'!L101))</f>
        <v>0</v>
      </c>
      <c r="D102" s="43">
        <f>IF(C102=0,0,IF(C102&lt;SETTING!$C$3,(SETTING!$C$3*SETTING!$C$5),IF(C102&gt;SETTING!$C$4,(SETTING!$C$4*SETTING!$C$5),(C102*SETTING!$C$5))))</f>
        <v>0</v>
      </c>
      <c r="E102" s="43">
        <f>IF(C102=0,0,IF(C102&lt;SETTING!$C$3,(SETTING!$C$3*SETTING!$C$6),IF(C102&gt;SETTING!$C$4,(SETTING!$C$4*SETTING!$C$6),(C102*SETTING!$C$6))))</f>
        <v>0</v>
      </c>
      <c r="F102" s="44">
        <f t="shared" si="3"/>
        <v>0</v>
      </c>
    </row>
    <row r="103" spans="1:8">
      <c r="A103" s="23" t="str">
        <f>IF('TENAGA KERJA'!A102=0,"",'TENAGA KERJA'!A102)</f>
        <v/>
      </c>
      <c r="B103" s="24" t="str">
        <f>IF('TENAGA KERJA'!B102=0,"",'TENAGA KERJA'!B102)</f>
        <v/>
      </c>
      <c r="C103" s="43">
        <f>IF('TENAGA KERJA'!J102="Tidak",0,('TENAGA KERJA'!K102+'TENAGA KERJA'!L102))</f>
        <v>0</v>
      </c>
      <c r="D103" s="43">
        <f>IF(C103=0,0,IF(C103&lt;SETTING!$C$3,(SETTING!$C$3*SETTING!$C$5),IF(C103&gt;SETTING!$C$4,(SETTING!$C$4*SETTING!$C$5),(C103*SETTING!$C$5))))</f>
        <v>0</v>
      </c>
      <c r="E103" s="43">
        <f>IF(C103=0,0,IF(C103&lt;SETTING!$C$3,(SETTING!$C$3*SETTING!$C$6),IF(C103&gt;SETTING!$C$4,(SETTING!$C$4*SETTING!$C$6),(C103*SETTING!$C$6))))</f>
        <v>0</v>
      </c>
      <c r="F103" s="44">
        <f t="shared" si="3"/>
        <v>0</v>
      </c>
    </row>
    <row r="104" spans="1:8">
      <c r="A104" s="23" t="str">
        <f>IF('TENAGA KERJA'!A103=0,"",'TENAGA KERJA'!A103)</f>
        <v/>
      </c>
      <c r="B104" s="24" t="str">
        <f>IF('TENAGA KERJA'!B103=0,"",'TENAGA KERJA'!B103)</f>
        <v/>
      </c>
      <c r="C104" s="43">
        <f>IF('TENAGA KERJA'!J103="Tidak",0,('TENAGA KERJA'!K103+'TENAGA KERJA'!L103))</f>
        <v>0</v>
      </c>
      <c r="D104" s="43">
        <f>IF(C104=0,0,IF(C104&lt;SETTING!$C$3,(SETTING!$C$3*SETTING!$C$5),IF(C104&gt;SETTING!$C$4,(SETTING!$C$4*SETTING!$C$5),(C104*SETTING!$C$5))))</f>
        <v>0</v>
      </c>
      <c r="E104" s="43">
        <f>IF(C104=0,0,IF(C104&lt;SETTING!$C$3,(SETTING!$C$3*SETTING!$C$6),IF(C104&gt;SETTING!$C$4,(SETTING!$C$4*SETTING!$C$6),(C104*SETTING!$C$6))))</f>
        <v>0</v>
      </c>
      <c r="F104" s="44">
        <f t="shared" si="3"/>
        <v>0</v>
      </c>
    </row>
    <row r="105" spans="1:8">
      <c r="A105" s="23" t="str">
        <f>IF('TENAGA KERJA'!A104=0,"",'TENAGA KERJA'!A104)</f>
        <v/>
      </c>
      <c r="B105" s="24" t="str">
        <f>IF('TENAGA KERJA'!B104=0,"",'TENAGA KERJA'!B104)</f>
        <v/>
      </c>
      <c r="C105" s="43">
        <f>IF('TENAGA KERJA'!J104="Tidak",0,('TENAGA KERJA'!K104+'TENAGA KERJA'!L104))</f>
        <v>0</v>
      </c>
      <c r="D105" s="43">
        <f>IF(C105=0,0,IF(C105&lt;SETTING!$C$3,(SETTING!$C$3*SETTING!$C$5),IF(C105&gt;SETTING!$C$4,(SETTING!$C$4*SETTING!$C$5),(C105*SETTING!$C$5))))</f>
        <v>0</v>
      </c>
      <c r="E105" s="43">
        <f>IF(C105=0,0,IF(C105&lt;SETTING!$C$3,(SETTING!$C$3*SETTING!$C$6),IF(C105&gt;SETTING!$C$4,(SETTING!$C$4*SETTING!$C$6),(C105*SETTING!$C$6))))</f>
        <v>0</v>
      </c>
      <c r="F105" s="44">
        <f t="shared" si="3"/>
        <v>0</v>
      </c>
    </row>
    <row r="106" spans="1:8">
      <c r="A106" s="23" t="str">
        <f>IF('TENAGA KERJA'!A105=0,"",'TENAGA KERJA'!A105)</f>
        <v/>
      </c>
      <c r="B106" s="24" t="str">
        <f>IF('TENAGA KERJA'!B105=0,"",'TENAGA KERJA'!B105)</f>
        <v/>
      </c>
      <c r="C106" s="43">
        <f>IF('TENAGA KERJA'!J105="Tidak",0,('TENAGA KERJA'!K105+'TENAGA KERJA'!L105))</f>
        <v>0</v>
      </c>
      <c r="D106" s="43">
        <f>IF(C106=0,0,IF(C106&lt;SETTING!$C$3,(SETTING!$C$3*SETTING!$C$5),IF(C106&gt;SETTING!$C$4,(SETTING!$C$4*SETTING!$C$5),(C106*SETTING!$C$5))))</f>
        <v>0</v>
      </c>
      <c r="E106" s="43">
        <f>IF(C106=0,0,IF(C106&lt;SETTING!$C$3,(SETTING!$C$3*SETTING!$C$6),IF(C106&gt;SETTING!$C$4,(SETTING!$C$4*SETTING!$C$6),(C106*SETTING!$C$6))))</f>
        <v>0</v>
      </c>
      <c r="F106" s="44">
        <f t="shared" si="3"/>
        <v>0</v>
      </c>
    </row>
    <row r="107" spans="1:8">
      <c r="A107" s="23" t="str">
        <f>IF('TENAGA KERJA'!A106=0,"",'TENAGA KERJA'!A106)</f>
        <v/>
      </c>
      <c r="B107" s="24" t="str">
        <f>IF('TENAGA KERJA'!B106=0,"",'TENAGA KERJA'!B106)</f>
        <v/>
      </c>
      <c r="C107" s="43">
        <f>IF('TENAGA KERJA'!J106="Tidak",0,('TENAGA KERJA'!K106+'TENAGA KERJA'!L106))</f>
        <v>0</v>
      </c>
      <c r="D107" s="43">
        <f>IF(C107=0,0,IF(C107&lt;SETTING!$C$3,(SETTING!$C$3*SETTING!$C$5),IF(C107&gt;SETTING!$C$4,(SETTING!$C$4*SETTING!$C$5),(C107*SETTING!$C$5))))</f>
        <v>0</v>
      </c>
      <c r="E107" s="43">
        <f>IF(C107=0,0,IF(C107&lt;SETTING!$C$3,(SETTING!$C$3*SETTING!$C$6),IF(C107&gt;SETTING!$C$4,(SETTING!$C$4*SETTING!$C$6),(C107*SETTING!$C$6))))</f>
        <v>0</v>
      </c>
      <c r="F107" s="44">
        <f t="shared" si="3"/>
        <v>0</v>
      </c>
    </row>
    <row r="108" spans="1:8">
      <c r="A108" s="23" t="str">
        <f>IF('TENAGA KERJA'!A107=0,"",'TENAGA KERJA'!A107)</f>
        <v/>
      </c>
      <c r="B108" s="24" t="str">
        <f>IF('TENAGA KERJA'!B107=0,"",'TENAGA KERJA'!B107)</f>
        <v/>
      </c>
      <c r="C108" s="43">
        <f>IF('TENAGA KERJA'!J107="Tidak",0,('TENAGA KERJA'!K107+'TENAGA KERJA'!L107))</f>
        <v>0</v>
      </c>
      <c r="D108" s="43">
        <f>IF(C108=0,0,IF(C108&lt;SETTING!$C$3,(SETTING!$C$3*SETTING!$C$5),IF(C108&gt;SETTING!$C$4,(SETTING!$C$4*SETTING!$C$5),(C108*SETTING!$C$5))))</f>
        <v>0</v>
      </c>
      <c r="E108" s="43">
        <f>IF(C108=0,0,IF(C108&lt;SETTING!$C$3,(SETTING!$C$3*SETTING!$C$6),IF(C108&gt;SETTING!$C$4,(SETTING!$C$4*SETTING!$C$6),(C108*SETTING!$C$6))))</f>
        <v>0</v>
      </c>
      <c r="F108" s="44">
        <f t="shared" si="3"/>
        <v>0</v>
      </c>
    </row>
    <row r="109" spans="1:8">
      <c r="A109" s="23" t="str">
        <f>IF('TENAGA KERJA'!A108=0,"",'TENAGA KERJA'!A108)</f>
        <v/>
      </c>
      <c r="B109" s="24" t="str">
        <f>IF('TENAGA KERJA'!B108=0,"",'TENAGA KERJA'!B108)</f>
        <v/>
      </c>
      <c r="C109" s="43">
        <f>IF('TENAGA KERJA'!J108="Tidak",0,('TENAGA KERJA'!K108+'TENAGA KERJA'!L108))</f>
        <v>0</v>
      </c>
      <c r="D109" s="43">
        <f>IF(C109=0,0,IF(C109&lt;SETTING!$C$3,(SETTING!$C$3*SETTING!$C$5),IF(C109&gt;SETTING!$C$4,(SETTING!$C$4*SETTING!$C$5),(C109*SETTING!$C$5))))</f>
        <v>0</v>
      </c>
      <c r="E109" s="43">
        <f>IF(C109=0,0,IF(C109&lt;SETTING!$C$3,(SETTING!$C$3*SETTING!$C$6),IF(C109&gt;SETTING!$C$4,(SETTING!$C$4*SETTING!$C$6),(C109*SETTING!$C$6))))</f>
        <v>0</v>
      </c>
      <c r="F109" s="44">
        <f t="shared" si="3"/>
        <v>0</v>
      </c>
    </row>
    <row r="110" spans="1:8">
      <c r="A110" s="23" t="str">
        <f>IF('TENAGA KERJA'!A109=0,"",'TENAGA KERJA'!A109)</f>
        <v/>
      </c>
      <c r="B110" s="24" t="str">
        <f>IF('TENAGA KERJA'!B109=0,"",'TENAGA KERJA'!B109)</f>
        <v/>
      </c>
      <c r="C110" s="43">
        <f>IF('TENAGA KERJA'!J109="Tidak",0,('TENAGA KERJA'!K109+'TENAGA KERJA'!L109))</f>
        <v>0</v>
      </c>
      <c r="D110" s="43">
        <f>IF(C110=0,0,IF(C110&lt;SETTING!$C$3,(SETTING!$C$3*SETTING!$C$5),IF(C110&gt;SETTING!$C$4,(SETTING!$C$4*SETTING!$C$5),(C110*SETTING!$C$5))))</f>
        <v>0</v>
      </c>
      <c r="E110" s="43">
        <f>IF(C110=0,0,IF(C110&lt;SETTING!$C$3,(SETTING!$C$3*SETTING!$C$6),IF(C110&gt;SETTING!$C$4,(SETTING!$C$4*SETTING!$C$6),(C110*SETTING!$C$6))))</f>
        <v>0</v>
      </c>
      <c r="F110" s="44">
        <f t="shared" si="3"/>
        <v>0</v>
      </c>
    </row>
    <row r="111" spans="1:8">
      <c r="A111" s="23" t="str">
        <f>IF('TENAGA KERJA'!A110=0,"",'TENAGA KERJA'!A110)</f>
        <v/>
      </c>
      <c r="B111" s="24" t="str">
        <f>IF('TENAGA KERJA'!B110=0,"",'TENAGA KERJA'!B110)</f>
        <v/>
      </c>
      <c r="C111" s="43">
        <f>IF('TENAGA KERJA'!J110="Tidak",0,('TENAGA KERJA'!K110+'TENAGA KERJA'!L110))</f>
        <v>0</v>
      </c>
      <c r="D111" s="43">
        <f>IF(C111=0,0,IF(C111&lt;SETTING!$C$3,(SETTING!$C$3*SETTING!$C$5),IF(C111&gt;SETTING!$C$4,(SETTING!$C$4*SETTING!$C$5),(C111*SETTING!$C$5))))</f>
        <v>0</v>
      </c>
      <c r="E111" s="43">
        <f>IF(C111=0,0,IF(C111&lt;SETTING!$C$3,(SETTING!$C$3*SETTING!$C$6),IF(C111&gt;SETTING!$C$4,(SETTING!$C$4*SETTING!$C$6),(C111*SETTING!$C$6))))</f>
        <v>0</v>
      </c>
      <c r="F111" s="44">
        <f t="shared" si="3"/>
        <v>0</v>
      </c>
    </row>
    <row r="112" spans="1:8">
      <c r="A112" s="23" t="str">
        <f>IF('TENAGA KERJA'!A111=0,"",'TENAGA KERJA'!A111)</f>
        <v/>
      </c>
      <c r="B112" s="24" t="str">
        <f>IF('TENAGA KERJA'!B111=0,"",'TENAGA KERJA'!B111)</f>
        <v/>
      </c>
      <c r="C112" s="43">
        <f>IF('TENAGA KERJA'!J111="Tidak",0,('TENAGA KERJA'!K111+'TENAGA KERJA'!L111))</f>
        <v>0</v>
      </c>
      <c r="D112" s="43">
        <f>IF(C112=0,0,IF(C112&lt;SETTING!$C$3,(SETTING!$C$3*SETTING!$C$5),IF(C112&gt;SETTING!$C$4,(SETTING!$C$4*SETTING!$C$5),(C112*SETTING!$C$5))))</f>
        <v>0</v>
      </c>
      <c r="E112" s="43">
        <f>IF(C112=0,0,IF(C112&lt;SETTING!$C$3,(SETTING!$C$3*SETTING!$C$6),IF(C112&gt;SETTING!$C$4,(SETTING!$C$4*SETTING!$C$6),(C112*SETTING!$C$6))))</f>
        <v>0</v>
      </c>
      <c r="F112" s="44">
        <f t="shared" si="3"/>
        <v>0</v>
      </c>
    </row>
    <row r="113" spans="1:6">
      <c r="A113" s="23" t="str">
        <f>IF('TENAGA KERJA'!A112=0,"",'TENAGA KERJA'!A112)</f>
        <v/>
      </c>
      <c r="B113" s="24" t="str">
        <f>IF('TENAGA KERJA'!B112=0,"",'TENAGA KERJA'!B112)</f>
        <v/>
      </c>
      <c r="C113" s="43">
        <f>IF('TENAGA KERJA'!J112="Tidak",0,('TENAGA KERJA'!K112+'TENAGA KERJA'!L112))</f>
        <v>0</v>
      </c>
      <c r="D113" s="43">
        <f>IF(C113=0,0,IF(C113&lt;SETTING!$C$3,(SETTING!$C$3*SETTING!$C$5),IF(C113&gt;SETTING!$C$4,(SETTING!$C$4*SETTING!$C$5),(C113*SETTING!$C$5))))</f>
        <v>0</v>
      </c>
      <c r="E113" s="43">
        <f>IF(C113=0,0,IF(C113&lt;SETTING!$C$3,(SETTING!$C$3*SETTING!$C$6),IF(C113&gt;SETTING!$C$4,(SETTING!$C$4*SETTING!$C$6),(C113*SETTING!$C$6))))</f>
        <v>0</v>
      </c>
      <c r="F113" s="44">
        <f t="shared" si="3"/>
        <v>0</v>
      </c>
    </row>
    <row r="114" spans="1:6">
      <c r="A114" s="23" t="str">
        <f>IF('TENAGA KERJA'!A113=0,"",'TENAGA KERJA'!A113)</f>
        <v/>
      </c>
      <c r="B114" s="24" t="str">
        <f>IF('TENAGA KERJA'!B113=0,"",'TENAGA KERJA'!B113)</f>
        <v/>
      </c>
      <c r="C114" s="43">
        <f>IF('TENAGA KERJA'!J113="Tidak",0,('TENAGA KERJA'!K113+'TENAGA KERJA'!L113))</f>
        <v>0</v>
      </c>
      <c r="D114" s="43">
        <f>IF(C114=0,0,IF(C114&lt;SETTING!$C$3,(SETTING!$C$3*SETTING!$C$5),IF(C114&gt;SETTING!$C$4,(SETTING!$C$4*SETTING!$C$5),(C114*SETTING!$C$5))))</f>
        <v>0</v>
      </c>
      <c r="E114" s="43">
        <f>IF(C114=0,0,IF(C114&lt;SETTING!$C$3,(SETTING!$C$3*SETTING!$C$6),IF(C114&gt;SETTING!$C$4,(SETTING!$C$4*SETTING!$C$6),(C114*SETTING!$C$6))))</f>
        <v>0</v>
      </c>
      <c r="F114" s="44">
        <f t="shared" si="3"/>
        <v>0</v>
      </c>
    </row>
    <row r="115" spans="1:6">
      <c r="A115" s="23" t="str">
        <f>IF('TENAGA KERJA'!A114=0,"",'TENAGA KERJA'!A114)</f>
        <v/>
      </c>
      <c r="B115" s="24" t="str">
        <f>IF('TENAGA KERJA'!B114=0,"",'TENAGA KERJA'!B114)</f>
        <v/>
      </c>
      <c r="C115" s="43">
        <f>IF('TENAGA KERJA'!J114="Tidak",0,('TENAGA KERJA'!K114+'TENAGA KERJA'!L114))</f>
        <v>0</v>
      </c>
      <c r="D115" s="43">
        <f>IF(C115=0,0,IF(C115&lt;SETTING!$C$3,(SETTING!$C$3*SETTING!$C$5),IF(C115&gt;SETTING!$C$4,(SETTING!$C$4*SETTING!$C$5),(C115*SETTING!$C$5))))</f>
        <v>0</v>
      </c>
      <c r="E115" s="43">
        <f>IF(C115=0,0,IF(C115&lt;SETTING!$C$3,(SETTING!$C$3*SETTING!$C$6),IF(C115&gt;SETTING!$C$4,(SETTING!$C$4*SETTING!$C$6),(C115*SETTING!$C$6))))</f>
        <v>0</v>
      </c>
      <c r="F115" s="44">
        <f t="shared" si="3"/>
        <v>0</v>
      </c>
    </row>
    <row r="116" spans="1:6">
      <c r="A116" s="23" t="str">
        <f>IF('TENAGA KERJA'!A115=0,"",'TENAGA KERJA'!A115)</f>
        <v/>
      </c>
      <c r="B116" s="24" t="str">
        <f>IF('TENAGA KERJA'!B115=0,"",'TENAGA KERJA'!B115)</f>
        <v/>
      </c>
      <c r="C116" s="43">
        <f>IF('TENAGA KERJA'!J115="Tidak",0,('TENAGA KERJA'!K115+'TENAGA KERJA'!L115))</f>
        <v>0</v>
      </c>
      <c r="D116" s="43">
        <f>IF(C116=0,0,IF(C116&lt;SETTING!$C$3,(SETTING!$C$3*SETTING!$C$5),IF(C116&gt;SETTING!$C$4,(SETTING!$C$4*SETTING!$C$5),(C116*SETTING!$C$5))))</f>
        <v>0</v>
      </c>
      <c r="E116" s="43">
        <f>IF(C116=0,0,IF(C116&lt;SETTING!$C$3,(SETTING!$C$3*SETTING!$C$6),IF(C116&gt;SETTING!$C$4,(SETTING!$C$4*SETTING!$C$6),(C116*SETTING!$C$6))))</f>
        <v>0</v>
      </c>
      <c r="F116" s="44">
        <f t="shared" si="3"/>
        <v>0</v>
      </c>
    </row>
    <row r="117" spans="1:6">
      <c r="A117" s="23" t="str">
        <f>IF('TENAGA KERJA'!A116=0,"",'TENAGA KERJA'!A116)</f>
        <v/>
      </c>
      <c r="B117" s="24" t="str">
        <f>IF('TENAGA KERJA'!B116=0,"",'TENAGA KERJA'!B116)</f>
        <v/>
      </c>
      <c r="C117" s="43">
        <f>IF('TENAGA KERJA'!J116="Tidak",0,('TENAGA KERJA'!K116+'TENAGA KERJA'!L116))</f>
        <v>0</v>
      </c>
      <c r="D117" s="43">
        <f>IF(C117=0,0,IF(C117&lt;SETTING!$C$3,(SETTING!$C$3*SETTING!$C$5),IF(C117&gt;SETTING!$C$4,(SETTING!$C$4*SETTING!$C$5),(C117*SETTING!$C$5))))</f>
        <v>0</v>
      </c>
      <c r="E117" s="43">
        <f>IF(C117=0,0,IF(C117&lt;SETTING!$C$3,(SETTING!$C$3*SETTING!$C$6),IF(C117&gt;SETTING!$C$4,(SETTING!$C$4*SETTING!$C$6),(C117*SETTING!$C$6))))</f>
        <v>0</v>
      </c>
      <c r="F117" s="44">
        <f t="shared" si="3"/>
        <v>0</v>
      </c>
    </row>
    <row r="118" spans="1:6">
      <c r="A118" s="23" t="str">
        <f>IF('TENAGA KERJA'!A117=0,"",'TENAGA KERJA'!A117)</f>
        <v/>
      </c>
      <c r="B118" s="24" t="str">
        <f>IF('TENAGA KERJA'!B117=0,"",'TENAGA KERJA'!B117)</f>
        <v/>
      </c>
      <c r="C118" s="43">
        <f>IF('TENAGA KERJA'!J117="Tidak",0,('TENAGA KERJA'!K117+'TENAGA KERJA'!L117))</f>
        <v>0</v>
      </c>
      <c r="D118" s="43">
        <f>IF(C118=0,0,IF(C118&lt;SETTING!$C$3,(SETTING!$C$3*SETTING!$C$5),IF(C118&gt;SETTING!$C$4,(SETTING!$C$4*SETTING!$C$5),(C118*SETTING!$C$5))))</f>
        <v>0</v>
      </c>
      <c r="E118" s="43">
        <f>IF(C118=0,0,IF(C118&lt;SETTING!$C$3,(SETTING!$C$3*SETTING!$C$6),IF(C118&gt;SETTING!$C$4,(SETTING!$C$4*SETTING!$C$6),(C118*SETTING!$C$6))))</f>
        <v>0</v>
      </c>
      <c r="F118" s="44">
        <f t="shared" si="3"/>
        <v>0</v>
      </c>
    </row>
    <row r="119" spans="1:6">
      <c r="A119" s="23" t="str">
        <f>IF('TENAGA KERJA'!A118=0,"",'TENAGA KERJA'!A118)</f>
        <v/>
      </c>
      <c r="B119" s="24" t="str">
        <f>IF('TENAGA KERJA'!B118=0,"",'TENAGA KERJA'!B118)</f>
        <v/>
      </c>
      <c r="C119" s="43">
        <f>IF('TENAGA KERJA'!J118="Tidak",0,('TENAGA KERJA'!K118+'TENAGA KERJA'!L118))</f>
        <v>0</v>
      </c>
      <c r="D119" s="43">
        <f>IF(C119=0,0,IF(C119&lt;SETTING!$C$3,(SETTING!$C$3*SETTING!$C$5),IF(C119&gt;SETTING!$C$4,(SETTING!$C$4*SETTING!$C$5),(C119*SETTING!$C$5))))</f>
        <v>0</v>
      </c>
      <c r="E119" s="43">
        <f>IF(C119=0,0,IF(C119&lt;SETTING!$C$3,(SETTING!$C$3*SETTING!$C$6),IF(C119&gt;SETTING!$C$4,(SETTING!$C$4*SETTING!$C$6),(C119*SETTING!$C$6))))</f>
        <v>0</v>
      </c>
      <c r="F119" s="44">
        <f t="shared" si="3"/>
        <v>0</v>
      </c>
    </row>
    <row r="120" spans="1:6">
      <c r="A120" s="23" t="str">
        <f>IF('TENAGA KERJA'!A119=0,"",'TENAGA KERJA'!A119)</f>
        <v/>
      </c>
      <c r="B120" s="24" t="str">
        <f>IF('TENAGA KERJA'!B119=0,"",'TENAGA KERJA'!B119)</f>
        <v/>
      </c>
      <c r="C120" s="43">
        <f>IF('TENAGA KERJA'!J119="Tidak",0,('TENAGA KERJA'!K119+'TENAGA KERJA'!L119))</f>
        <v>0</v>
      </c>
      <c r="D120" s="43">
        <f>IF(C120=0,0,IF(C120&lt;SETTING!$C$3,(SETTING!$C$3*SETTING!$C$5),IF(C120&gt;SETTING!$C$4,(SETTING!$C$4*SETTING!$C$5),(C120*SETTING!$C$5))))</f>
        <v>0</v>
      </c>
      <c r="E120" s="43">
        <f>IF(C120=0,0,IF(C120&lt;SETTING!$C$3,(SETTING!$C$3*SETTING!$C$6),IF(C120&gt;SETTING!$C$4,(SETTING!$C$4*SETTING!$C$6),(C120*SETTING!$C$6))))</f>
        <v>0</v>
      </c>
      <c r="F120" s="44">
        <f t="shared" si="3"/>
        <v>0</v>
      </c>
    </row>
    <row r="121" spans="1:6">
      <c r="A121" s="23" t="str">
        <f>IF('TENAGA KERJA'!A120=0,"",'TENAGA KERJA'!A120)</f>
        <v/>
      </c>
      <c r="B121" s="24" t="str">
        <f>IF('TENAGA KERJA'!B120=0,"",'TENAGA KERJA'!B120)</f>
        <v/>
      </c>
      <c r="C121" s="43">
        <f>IF('TENAGA KERJA'!J120="Tidak",0,('TENAGA KERJA'!K120+'TENAGA KERJA'!L120))</f>
        <v>0</v>
      </c>
      <c r="D121" s="43">
        <f>IF(C121=0,0,IF(C121&lt;SETTING!$C$3,(SETTING!$C$3*SETTING!$C$5),IF(C121&gt;SETTING!$C$4,(SETTING!$C$4*SETTING!$C$5),(C121*SETTING!$C$5))))</f>
        <v>0</v>
      </c>
      <c r="E121" s="43">
        <f>IF(C121=0,0,IF(C121&lt;SETTING!$C$3,(SETTING!$C$3*SETTING!$C$6),IF(C121&gt;SETTING!$C$4,(SETTING!$C$4*SETTING!$C$6),(C121*SETTING!$C$6))))</f>
        <v>0</v>
      </c>
      <c r="F121" s="44">
        <f t="shared" si="3"/>
        <v>0</v>
      </c>
    </row>
    <row r="122" spans="1:6">
      <c r="A122" s="23" t="str">
        <f>IF('TENAGA KERJA'!A121=0,"",'TENAGA KERJA'!A121)</f>
        <v/>
      </c>
      <c r="B122" s="24" t="str">
        <f>IF('TENAGA KERJA'!B121=0,"",'TENAGA KERJA'!B121)</f>
        <v/>
      </c>
      <c r="C122" s="43">
        <f>IF('TENAGA KERJA'!J121="Tidak",0,('TENAGA KERJA'!K121+'TENAGA KERJA'!L121))</f>
        <v>0</v>
      </c>
      <c r="D122" s="43">
        <f>IF(C122=0,0,IF(C122&lt;SETTING!$C$3,(SETTING!$C$3*SETTING!$C$5),IF(C122&gt;SETTING!$C$4,(SETTING!$C$4*SETTING!$C$5),(C122*SETTING!$C$5))))</f>
        <v>0</v>
      </c>
      <c r="E122" s="43">
        <f>IF(C122=0,0,IF(C122&lt;SETTING!$C$3,(SETTING!$C$3*SETTING!$C$6),IF(C122&gt;SETTING!$C$4,(SETTING!$C$4*SETTING!$C$6),(C122*SETTING!$C$6))))</f>
        <v>0</v>
      </c>
      <c r="F122" s="44">
        <f t="shared" si="3"/>
        <v>0</v>
      </c>
    </row>
    <row r="123" spans="1:6">
      <c r="A123" s="23" t="str">
        <f>IF('TENAGA KERJA'!A122=0,"",'TENAGA KERJA'!A122)</f>
        <v/>
      </c>
      <c r="B123" s="24" t="str">
        <f>IF('TENAGA KERJA'!B122=0,"",'TENAGA KERJA'!B122)</f>
        <v/>
      </c>
      <c r="C123" s="43">
        <f>IF('TENAGA KERJA'!J122="Tidak",0,('TENAGA KERJA'!K122+'TENAGA KERJA'!L122))</f>
        <v>0</v>
      </c>
      <c r="D123" s="43">
        <f>IF(C123=0,0,IF(C123&lt;SETTING!$C$3,(SETTING!$C$3*SETTING!$C$5),IF(C123&gt;SETTING!$C$4,(SETTING!$C$4*SETTING!$C$5),(C123*SETTING!$C$5))))</f>
        <v>0</v>
      </c>
      <c r="E123" s="43">
        <f>IF(C123=0,0,IF(C123&lt;SETTING!$C$3,(SETTING!$C$3*SETTING!$C$6),IF(C123&gt;SETTING!$C$4,(SETTING!$C$4*SETTING!$C$6),(C123*SETTING!$C$6))))</f>
        <v>0</v>
      </c>
      <c r="F123" s="44">
        <f t="shared" si="3"/>
        <v>0</v>
      </c>
    </row>
    <row r="124" spans="1:6">
      <c r="A124" s="23" t="str">
        <f>IF('TENAGA KERJA'!A123=0,"",'TENAGA KERJA'!A123)</f>
        <v/>
      </c>
      <c r="B124" s="24" t="str">
        <f>IF('TENAGA KERJA'!B123=0,"",'TENAGA KERJA'!B123)</f>
        <v/>
      </c>
      <c r="C124" s="43">
        <f>IF('TENAGA KERJA'!J123="Tidak",0,('TENAGA KERJA'!K123+'TENAGA KERJA'!L123))</f>
        <v>0</v>
      </c>
      <c r="D124" s="43">
        <f>IF(C124=0,0,IF(C124&lt;SETTING!$C$3,(SETTING!$C$3*SETTING!$C$5),IF(C124&gt;SETTING!$C$4,(SETTING!$C$4*SETTING!$C$5),(C124*SETTING!$C$5))))</f>
        <v>0</v>
      </c>
      <c r="E124" s="43">
        <f>IF(C124=0,0,IF(C124&lt;SETTING!$C$3,(SETTING!$C$3*SETTING!$C$6),IF(C124&gt;SETTING!$C$4,(SETTING!$C$4*SETTING!$C$6),(C124*SETTING!$C$6))))</f>
        <v>0</v>
      </c>
      <c r="F124" s="44">
        <f t="shared" si="3"/>
        <v>0</v>
      </c>
    </row>
    <row r="125" spans="1:6">
      <c r="A125" s="23" t="str">
        <f>IF('TENAGA KERJA'!A124=0,"",'TENAGA KERJA'!A124)</f>
        <v/>
      </c>
      <c r="B125" s="24" t="str">
        <f>IF('TENAGA KERJA'!B124=0,"",'TENAGA KERJA'!B124)</f>
        <v/>
      </c>
      <c r="C125" s="43">
        <f>IF('TENAGA KERJA'!J124="Tidak",0,('TENAGA KERJA'!K124+'TENAGA KERJA'!L124))</f>
        <v>0</v>
      </c>
      <c r="D125" s="43">
        <f>IF(C125=0,0,IF(C125&lt;SETTING!$C$3,(SETTING!$C$3*SETTING!$C$5),IF(C125&gt;SETTING!$C$4,(SETTING!$C$4*SETTING!$C$5),(C125*SETTING!$C$5))))</f>
        <v>0</v>
      </c>
      <c r="E125" s="43">
        <f>IF(C125=0,0,IF(C125&lt;SETTING!$C$3,(SETTING!$C$3*SETTING!$C$6),IF(C125&gt;SETTING!$C$4,(SETTING!$C$4*SETTING!$C$6),(C125*SETTING!$C$6))))</f>
        <v>0</v>
      </c>
      <c r="F125" s="44">
        <f t="shared" si="3"/>
        <v>0</v>
      </c>
    </row>
    <row r="126" spans="1:6">
      <c r="A126" s="23" t="str">
        <f>IF('TENAGA KERJA'!A125=0,"",'TENAGA KERJA'!A125)</f>
        <v/>
      </c>
      <c r="B126" s="24" t="str">
        <f>IF('TENAGA KERJA'!B125=0,"",'TENAGA KERJA'!B125)</f>
        <v/>
      </c>
      <c r="C126" s="43">
        <f>IF('TENAGA KERJA'!J125="Tidak",0,('TENAGA KERJA'!K125+'TENAGA KERJA'!L125))</f>
        <v>0</v>
      </c>
      <c r="D126" s="43">
        <f>IF(C126=0,0,IF(C126&lt;SETTING!$C$3,(SETTING!$C$3*SETTING!$C$5),IF(C126&gt;SETTING!$C$4,(SETTING!$C$4*SETTING!$C$5),(C126*SETTING!$C$5))))</f>
        <v>0</v>
      </c>
      <c r="E126" s="43">
        <f>IF(C126=0,0,IF(C126&lt;SETTING!$C$3,(SETTING!$C$3*SETTING!$C$6),IF(C126&gt;SETTING!$C$4,(SETTING!$C$4*SETTING!$C$6),(C126*SETTING!$C$6))))</f>
        <v>0</v>
      </c>
      <c r="F126" s="44">
        <f t="shared" si="3"/>
        <v>0</v>
      </c>
    </row>
    <row r="127" spans="1:6">
      <c r="A127" s="23" t="str">
        <f>IF('TENAGA KERJA'!A126=0,"",'TENAGA KERJA'!A126)</f>
        <v/>
      </c>
      <c r="B127" s="24" t="str">
        <f>IF('TENAGA KERJA'!B126=0,"",'TENAGA KERJA'!B126)</f>
        <v/>
      </c>
      <c r="C127" s="43">
        <f>IF('TENAGA KERJA'!J126="Tidak",0,('TENAGA KERJA'!K126+'TENAGA KERJA'!L126))</f>
        <v>0</v>
      </c>
      <c r="D127" s="43">
        <f>IF(C127=0,0,IF(C127&lt;SETTING!$C$3,(SETTING!$C$3*SETTING!$C$5),IF(C127&gt;SETTING!$C$4,(SETTING!$C$4*SETTING!$C$5),(C127*SETTING!$C$5))))</f>
        <v>0</v>
      </c>
      <c r="E127" s="43">
        <f>IF(C127=0,0,IF(C127&lt;SETTING!$C$3,(SETTING!$C$3*SETTING!$C$6),IF(C127&gt;SETTING!$C$4,(SETTING!$C$4*SETTING!$C$6),(C127*SETTING!$C$6))))</f>
        <v>0</v>
      </c>
      <c r="F127" s="44">
        <f t="shared" si="3"/>
        <v>0</v>
      </c>
    </row>
    <row r="128" spans="1:6">
      <c r="A128" s="23" t="str">
        <f>IF('TENAGA KERJA'!A127=0,"",'TENAGA KERJA'!A127)</f>
        <v/>
      </c>
      <c r="B128" s="24" t="str">
        <f>IF('TENAGA KERJA'!B127=0,"",'TENAGA KERJA'!B127)</f>
        <v/>
      </c>
      <c r="C128" s="43">
        <f>IF('TENAGA KERJA'!J127="Tidak",0,('TENAGA KERJA'!K127+'TENAGA KERJA'!L127))</f>
        <v>0</v>
      </c>
      <c r="D128" s="43">
        <f>IF(C128=0,0,IF(C128&lt;SETTING!$C$3,(SETTING!$C$3*SETTING!$C$5),IF(C128&gt;SETTING!$C$4,(SETTING!$C$4*SETTING!$C$5),(C128*SETTING!$C$5))))</f>
        <v>0</v>
      </c>
      <c r="E128" s="43">
        <f>IF(C128=0,0,IF(C128&lt;SETTING!$C$3,(SETTING!$C$3*SETTING!$C$6),IF(C128&gt;SETTING!$C$4,(SETTING!$C$4*SETTING!$C$6),(C128*SETTING!$C$6))))</f>
        <v>0</v>
      </c>
      <c r="F128" s="44">
        <f t="shared" si="3"/>
        <v>0</v>
      </c>
    </row>
    <row r="129" spans="1:7">
      <c r="A129" s="23" t="str">
        <f>IF('TENAGA KERJA'!A128=0,"",'TENAGA KERJA'!A128)</f>
        <v/>
      </c>
      <c r="B129" s="24" t="str">
        <f>IF('TENAGA KERJA'!B128=0,"",'TENAGA KERJA'!B128)</f>
        <v/>
      </c>
      <c r="C129" s="43">
        <f>IF('TENAGA KERJA'!J128="Tidak",0,('TENAGA KERJA'!K128+'TENAGA KERJA'!L128))</f>
        <v>0</v>
      </c>
      <c r="D129" s="43">
        <f>IF(C129=0,0,IF(C129&lt;SETTING!$C$3,(SETTING!$C$3*SETTING!$C$5),IF(C129&gt;SETTING!$C$4,(SETTING!$C$4*SETTING!$C$5),(C129*SETTING!$C$5))))</f>
        <v>0</v>
      </c>
      <c r="E129" s="43">
        <f>IF(C129=0,0,IF(C129&lt;SETTING!$C$3,(SETTING!$C$3*SETTING!$C$6),IF(C129&gt;SETTING!$C$4,(SETTING!$C$4*SETTING!$C$6),(C129*SETTING!$C$6))))</f>
        <v>0</v>
      </c>
      <c r="F129" s="44">
        <f t="shared" si="3"/>
        <v>0</v>
      </c>
    </row>
    <row r="130" spans="1:7">
      <c r="A130" s="23" t="str">
        <f>IF('TENAGA KERJA'!A129=0,"",'TENAGA KERJA'!A129)</f>
        <v/>
      </c>
      <c r="B130" s="24" t="str">
        <f>IF('TENAGA KERJA'!B129=0,"",'TENAGA KERJA'!B129)</f>
        <v/>
      </c>
      <c r="C130" s="43">
        <f>IF('TENAGA KERJA'!J129="Tidak",0,('TENAGA KERJA'!K129+'TENAGA KERJA'!L129))</f>
        <v>0</v>
      </c>
      <c r="D130" s="43">
        <f>IF(C130=0,0,IF(C130&lt;SETTING!$C$3,(SETTING!$C$3*SETTING!$C$5),IF(C130&gt;SETTING!$C$4,(SETTING!$C$4*SETTING!$C$5),(C130*SETTING!$C$5))))</f>
        <v>0</v>
      </c>
      <c r="E130" s="43">
        <f>IF(C130=0,0,IF(C130&lt;SETTING!$C$3,(SETTING!$C$3*SETTING!$C$6),IF(C130&gt;SETTING!$C$4,(SETTING!$C$4*SETTING!$C$6),(C130*SETTING!$C$6))))</f>
        <v>0</v>
      </c>
      <c r="F130" s="44">
        <f t="shared" si="3"/>
        <v>0</v>
      </c>
    </row>
    <row r="131" spans="1:7">
      <c r="A131" s="23" t="str">
        <f>IF('TENAGA KERJA'!A130=0,"",'TENAGA KERJA'!A130)</f>
        <v/>
      </c>
      <c r="B131" s="24" t="str">
        <f>IF('TENAGA KERJA'!B130=0,"",'TENAGA KERJA'!B130)</f>
        <v/>
      </c>
      <c r="C131" s="209">
        <f>IF('TENAGA KERJA'!J130="Tidak",0,('TENAGA KERJA'!K130+'TENAGA KERJA'!L130))+1891337</f>
        <v>1891337</v>
      </c>
      <c r="D131" s="43">
        <f>IF(C131=0,0,IF(C131&lt;SETTING!$C$3,(SETTING!$C$3*SETTING!$C$5),IF(C131&gt;SETTING!$C$4,(SETTING!$C$4*SETTING!$C$5),(C131*SETTING!$C$5))))</f>
        <v>175653.48</v>
      </c>
      <c r="E131" s="43">
        <f>IF(C131=0,0,IF(C131&lt;SETTING!$C$3,(SETTING!$C$3*SETTING!$C$6),IF(C131&gt;SETTING!$C$4,(SETTING!$C$4*SETTING!$C$6),(C131*SETTING!$C$6))))</f>
        <v>43913.37</v>
      </c>
      <c r="F131" s="44">
        <f t="shared" si="3"/>
        <v>219566.85</v>
      </c>
    </row>
    <row r="132" spans="1:7">
      <c r="A132" s="23" t="str">
        <f>IF('TENAGA KERJA'!A131=0,"",'TENAGA KERJA'!A131)</f>
        <v/>
      </c>
      <c r="B132" s="24" t="str">
        <f>IF('TENAGA KERJA'!B131=0,"",'TENAGA KERJA'!B131)</f>
        <v/>
      </c>
      <c r="C132" s="43">
        <f>IF('TENAGA KERJA'!J131="Tidak",0,('TENAGA KERJA'!K131+'TENAGA KERJA'!L131))</f>
        <v>0</v>
      </c>
      <c r="D132" s="43">
        <f>IF(C132=0,0,IF(C132&lt;SETTING!$C$3,(SETTING!$C$3*SETTING!$C$5),IF(C132&gt;SETTING!$C$4,(SETTING!$C$4*SETTING!$C$5),(C132*SETTING!$C$5))))</f>
        <v>0</v>
      </c>
      <c r="E132" s="43">
        <f>IF(C132=0,0,IF(C132&lt;SETTING!$C$3,(SETTING!$C$3*SETTING!$C$6),IF(C132&gt;SETTING!$C$4,(SETTING!$C$4*SETTING!$C$6),(C132*SETTING!$C$6))))</f>
        <v>0</v>
      </c>
      <c r="F132" s="44">
        <f t="shared" si="3"/>
        <v>0</v>
      </c>
    </row>
    <row r="133" spans="1:7">
      <c r="A133" s="23" t="str">
        <f>IF('TENAGA KERJA'!A132=0,"",'TENAGA KERJA'!A132)</f>
        <v/>
      </c>
      <c r="B133" s="24" t="str">
        <f>IF('TENAGA KERJA'!B132=0,"",'TENAGA KERJA'!B132)</f>
        <v/>
      </c>
      <c r="C133" s="43">
        <f>IF('TENAGA KERJA'!J132="Tidak",0,('TENAGA KERJA'!K132+'TENAGA KERJA'!L132))</f>
        <v>0</v>
      </c>
      <c r="D133" s="43">
        <f>IF(C133=0,0,IF(C133&lt;SETTING!$C$3,(SETTING!$C$3*SETTING!$C$5),IF(C133&gt;SETTING!$C$4,(SETTING!$C$4*SETTING!$C$5),(C133*SETTING!$C$5))))</f>
        <v>0</v>
      </c>
      <c r="E133" s="43">
        <f>IF(C133=0,0,IF(C133&lt;SETTING!$C$3,(SETTING!$C$3*SETTING!$C$6),IF(C133&gt;SETTING!$C$4,(SETTING!$C$4*SETTING!$C$6),(C133*SETTING!$C$6))))</f>
        <v>0</v>
      </c>
      <c r="F133" s="44">
        <f t="shared" ref="F133:F195" si="4">D133+E133</f>
        <v>0</v>
      </c>
    </row>
    <row r="134" spans="1:7">
      <c r="A134" s="23" t="str">
        <f>IF('TENAGA KERJA'!A133=0,"",'TENAGA KERJA'!A133)</f>
        <v/>
      </c>
      <c r="B134" s="24" t="str">
        <f>IF('TENAGA KERJA'!B133=0,"",'TENAGA KERJA'!B133)</f>
        <v/>
      </c>
      <c r="C134" s="43">
        <f>IF('TENAGA KERJA'!J133="Tidak",0,('TENAGA KERJA'!K133+'TENAGA KERJA'!L133))</f>
        <v>0</v>
      </c>
      <c r="D134" s="43">
        <f>IF(C134=0,0,IF(C134&lt;SETTING!$C$3,(SETTING!$C$3*SETTING!$C$5),IF(C134&gt;SETTING!$C$4,(SETTING!$C$4*SETTING!$C$5),(C134*SETTING!$C$5))))</f>
        <v>0</v>
      </c>
      <c r="E134" s="43">
        <f>IF(C134=0,0,IF(C134&lt;SETTING!$C$3,(SETTING!$C$3*SETTING!$C$6),IF(C134&gt;SETTING!$C$4,(SETTING!$C$4*SETTING!$C$6),(C134*SETTING!$C$6))))</f>
        <v>0</v>
      </c>
      <c r="F134" s="44">
        <f t="shared" si="4"/>
        <v>0</v>
      </c>
    </row>
    <row r="135" spans="1:7">
      <c r="A135" s="23" t="str">
        <f>IF('TENAGA KERJA'!A134=0,"",'TENAGA KERJA'!A134)</f>
        <v/>
      </c>
      <c r="B135" s="24" t="str">
        <f>IF('TENAGA KERJA'!B134=0,"",'TENAGA KERJA'!B134)</f>
        <v/>
      </c>
      <c r="C135" s="43">
        <f>IF('TENAGA KERJA'!J134="Tidak",0,('TENAGA KERJA'!K134+'TENAGA KERJA'!L134))</f>
        <v>0</v>
      </c>
      <c r="D135" s="43">
        <f>IF(C135=0,0,IF(C135&lt;SETTING!$C$3,(SETTING!$C$3*SETTING!$C$5),IF(C135&gt;SETTING!$C$4,(SETTING!$C$4*SETTING!$C$5),(C135*SETTING!$C$5))))</f>
        <v>0</v>
      </c>
      <c r="E135" s="43">
        <f>IF(C135=0,0,IF(C135&lt;SETTING!$C$3,(SETTING!$C$3*SETTING!$C$6),IF(C135&gt;SETTING!$C$4,(SETTING!$C$4*SETTING!$C$6),(C135*SETTING!$C$6))))</f>
        <v>0</v>
      </c>
      <c r="F135" s="44">
        <f t="shared" si="4"/>
        <v>0</v>
      </c>
    </row>
    <row r="136" spans="1:7">
      <c r="A136" s="23" t="str">
        <f>IF('TENAGA KERJA'!A135=0,"",'TENAGA KERJA'!A135)</f>
        <v/>
      </c>
      <c r="B136" s="24" t="str">
        <f>IF('TENAGA KERJA'!B135=0,"",'TENAGA KERJA'!B135)</f>
        <v/>
      </c>
      <c r="C136" s="43">
        <f>IF('TENAGA KERJA'!J135="Tidak",0,('TENAGA KERJA'!K135+'TENAGA KERJA'!L135))</f>
        <v>0</v>
      </c>
      <c r="D136" s="43">
        <f>IF(C136=0,0,IF(C136&lt;SETTING!$C$3,(SETTING!$C$3*SETTING!$C$5),IF(C136&gt;SETTING!$C$4,(SETTING!$C$4*SETTING!$C$5),(C136*SETTING!$C$5))))</f>
        <v>0</v>
      </c>
      <c r="E136" s="43">
        <f>IF(C136=0,0,IF(C136&lt;SETTING!$C$3,(SETTING!$C$3*SETTING!$C$6),IF(C136&gt;SETTING!$C$4,(SETTING!$C$4*SETTING!$C$6),(C136*SETTING!$C$6))))</f>
        <v>0</v>
      </c>
      <c r="F136" s="44">
        <f t="shared" si="4"/>
        <v>0</v>
      </c>
    </row>
    <row r="137" spans="1:7">
      <c r="A137" s="23" t="str">
        <f>IF('TENAGA KERJA'!A136=0,"",'TENAGA KERJA'!A136)</f>
        <v/>
      </c>
      <c r="B137" s="24" t="str">
        <f>IF('TENAGA KERJA'!B136=0,"",'TENAGA KERJA'!B136)</f>
        <v/>
      </c>
      <c r="C137" s="43">
        <f>IF('TENAGA KERJA'!J136="Tidak",0,('TENAGA KERJA'!K136+'TENAGA KERJA'!L136))</f>
        <v>0</v>
      </c>
      <c r="D137" s="43">
        <f>IF(C137=0,0,IF(C137&lt;SETTING!$C$3,(SETTING!$C$3*SETTING!$C$5),IF(C137&gt;SETTING!$C$4,(SETTING!$C$4*SETTING!$C$5),(C137*SETTING!$C$5))))</f>
        <v>0</v>
      </c>
      <c r="E137" s="43">
        <f>IF(C137=0,0,IF(C137&lt;SETTING!$C$3,(SETTING!$C$3*SETTING!$C$6),IF(C137&gt;SETTING!$C$4,(SETTING!$C$4*SETTING!$C$6),(C137*SETTING!$C$6))))</f>
        <v>0</v>
      </c>
      <c r="F137" s="44">
        <f t="shared" si="4"/>
        <v>0</v>
      </c>
    </row>
    <row r="138" spans="1:7">
      <c r="A138" s="23" t="str">
        <f>IF('TENAGA KERJA'!A137=0,"",'TENAGA KERJA'!A137)</f>
        <v/>
      </c>
      <c r="B138" s="24" t="str">
        <f>IF('TENAGA KERJA'!B137=0,"",'TENAGA KERJA'!B137)</f>
        <v/>
      </c>
      <c r="C138" s="43">
        <f>IF('TENAGA KERJA'!J137="Tidak",0,('TENAGA KERJA'!K137+'TENAGA KERJA'!L137))</f>
        <v>0</v>
      </c>
      <c r="D138" s="43">
        <f>IF(C138=0,0,IF(C138&lt;SETTING!$C$3,(SETTING!$C$3*SETTING!$C$5),IF(C138&gt;SETTING!$C$4,(SETTING!$C$4*SETTING!$C$5),(C138*SETTING!$C$5))))</f>
        <v>0</v>
      </c>
      <c r="E138" s="43">
        <f>IF(C138=0,0,IF(C138&lt;SETTING!$C$3,(SETTING!$C$3*SETTING!$C$6),IF(C138&gt;SETTING!$C$4,(SETTING!$C$4*SETTING!$C$6),(C138*SETTING!$C$6))))</f>
        <v>0</v>
      </c>
      <c r="F138" s="44">
        <f t="shared" si="4"/>
        <v>0</v>
      </c>
      <c r="G138" s="26">
        <f>SUM(E102:E137)</f>
        <v>43913.37</v>
      </c>
    </row>
    <row r="139" spans="1:7">
      <c r="A139" s="23" t="str">
        <f>IF('TENAGA KERJA'!A138=0,"",'TENAGA KERJA'!A138)</f>
        <v/>
      </c>
      <c r="B139" s="24" t="str">
        <f>IF('TENAGA KERJA'!B138=0,"",'TENAGA KERJA'!B138)</f>
        <v/>
      </c>
      <c r="C139" s="43">
        <f>IF('TENAGA KERJA'!J138="Tidak",0,('TENAGA KERJA'!K138+'TENAGA KERJA'!L138))</f>
        <v>0</v>
      </c>
      <c r="D139" s="43">
        <f>IF(C139=0,0,IF(C139&lt;SETTING!$C$3,(SETTING!$C$3*SETTING!$C$5),IF(C139&gt;SETTING!$C$4,(SETTING!$C$4*SETTING!$C$5),(C139*SETTING!$C$5))))</f>
        <v>0</v>
      </c>
      <c r="E139" s="43">
        <f>IF(C139=0,0,IF(C139&lt;SETTING!$C$3,(SETTING!$C$3*SETTING!$C$6),IF(C139&gt;SETTING!$C$4,(SETTING!$C$4*SETTING!$C$6),(C139*SETTING!$C$6))))</f>
        <v>0</v>
      </c>
      <c r="F139" s="44">
        <f t="shared" si="4"/>
        <v>0</v>
      </c>
    </row>
    <row r="140" spans="1:7">
      <c r="A140" s="23" t="str">
        <f>IF('TENAGA KERJA'!A139=0,"",'TENAGA KERJA'!A139)</f>
        <v/>
      </c>
      <c r="B140" s="24" t="str">
        <f>IF('TENAGA KERJA'!B139=0,"",'TENAGA KERJA'!B139)</f>
        <v/>
      </c>
      <c r="C140" s="43">
        <f>IF('TENAGA KERJA'!J139="Tidak",0,('TENAGA KERJA'!K139+'TENAGA KERJA'!L139))</f>
        <v>0</v>
      </c>
      <c r="D140" s="43">
        <f>IF(C140=0,0,IF(C140&lt;SETTING!$C$3,(SETTING!$C$3*SETTING!$C$5),IF(C140&gt;SETTING!$C$4,(SETTING!$C$4*SETTING!$C$5),(C140*SETTING!$C$5))))</f>
        <v>0</v>
      </c>
      <c r="E140" s="43">
        <f>IF(C140=0,0,IF(C140&lt;SETTING!$C$3,(SETTING!$C$3*SETTING!$C$6),IF(C140&gt;SETTING!$C$4,(SETTING!$C$4*SETTING!$C$6),(C140*SETTING!$C$6))))</f>
        <v>0</v>
      </c>
      <c r="F140" s="44">
        <f t="shared" si="4"/>
        <v>0</v>
      </c>
    </row>
    <row r="141" spans="1:7">
      <c r="A141" s="23" t="str">
        <f>IF('TENAGA KERJA'!A140=0,"",'TENAGA KERJA'!A140)</f>
        <v/>
      </c>
      <c r="B141" s="24" t="str">
        <f>IF('TENAGA KERJA'!B140=0,"",'TENAGA KERJA'!B140)</f>
        <v/>
      </c>
      <c r="C141" s="43">
        <f>IF('TENAGA KERJA'!J140="Tidak",0,('TENAGA KERJA'!K140+'TENAGA KERJA'!L140))</f>
        <v>0</v>
      </c>
      <c r="D141" s="43">
        <f>IF(C141=0,0,IF(C141&lt;SETTING!$C$3,(SETTING!$C$3*SETTING!$C$5),IF(C141&gt;SETTING!$C$4,(SETTING!$C$4*SETTING!$C$5),(C141*SETTING!$C$5))))</f>
        <v>0</v>
      </c>
      <c r="E141" s="43">
        <f>IF(C141=0,0,IF(C141&lt;SETTING!$C$3,(SETTING!$C$3*SETTING!$C$6),IF(C141&gt;SETTING!$C$4,(SETTING!$C$4*SETTING!$C$6),(C141*SETTING!$C$6))))</f>
        <v>0</v>
      </c>
      <c r="F141" s="44">
        <f t="shared" si="4"/>
        <v>0</v>
      </c>
    </row>
    <row r="142" spans="1:7">
      <c r="A142" s="23" t="str">
        <f>IF('TENAGA KERJA'!A141=0,"",'TENAGA KERJA'!A141)</f>
        <v/>
      </c>
      <c r="B142" s="24" t="str">
        <f>IF('TENAGA KERJA'!B141=0,"",'TENAGA KERJA'!B141)</f>
        <v/>
      </c>
      <c r="C142" s="43">
        <f>IF('TENAGA KERJA'!J141="Tidak",0,('TENAGA KERJA'!K141+'TENAGA KERJA'!L141))</f>
        <v>0</v>
      </c>
      <c r="D142" s="43">
        <f>IF(C142=0,0,IF(C142&lt;SETTING!$C$3,(SETTING!$C$3*SETTING!$C$5),IF(C142&gt;SETTING!$C$4,(SETTING!$C$4*SETTING!$C$5),(C142*SETTING!$C$5))))</f>
        <v>0</v>
      </c>
      <c r="E142" s="43">
        <f>IF(C142=0,0,IF(C142&lt;SETTING!$C$3,(SETTING!$C$3*SETTING!$C$6),IF(C142&gt;SETTING!$C$4,(SETTING!$C$4*SETTING!$C$6),(C142*SETTING!$C$6))))</f>
        <v>0</v>
      </c>
      <c r="F142" s="44">
        <f t="shared" si="4"/>
        <v>0</v>
      </c>
    </row>
    <row r="143" spans="1:7">
      <c r="A143" s="23" t="str">
        <f>IF('TENAGA KERJA'!A142=0,"",'TENAGA KERJA'!A142)</f>
        <v/>
      </c>
      <c r="B143" s="24" t="str">
        <f>IF('TENAGA KERJA'!B142=0,"",'TENAGA KERJA'!B142)</f>
        <v/>
      </c>
      <c r="C143" s="43">
        <f>IF('TENAGA KERJA'!J142="Tidak",0,('TENAGA KERJA'!K142+'TENAGA KERJA'!L142))</f>
        <v>0</v>
      </c>
      <c r="D143" s="43">
        <f>IF(C143=0,0,IF(C143&lt;SETTING!$C$3,(SETTING!$C$3*SETTING!$C$5),IF(C143&gt;SETTING!$C$4,(SETTING!$C$4*SETTING!$C$5),(C143*SETTING!$C$5))))</f>
        <v>0</v>
      </c>
      <c r="E143" s="43">
        <f>IF(C143=0,0,IF(C143&lt;SETTING!$C$3,(SETTING!$C$3*SETTING!$C$6),IF(C143&gt;SETTING!$C$4,(SETTING!$C$4*SETTING!$C$6),(C143*SETTING!$C$6))))</f>
        <v>0</v>
      </c>
      <c r="F143" s="44">
        <f t="shared" si="4"/>
        <v>0</v>
      </c>
    </row>
    <row r="144" spans="1:7">
      <c r="A144" s="23" t="str">
        <f>IF('TENAGA KERJA'!A143=0,"",'TENAGA KERJA'!A143)</f>
        <v/>
      </c>
      <c r="B144" s="24" t="str">
        <f>IF('TENAGA KERJA'!B143=0,"",'TENAGA KERJA'!B143)</f>
        <v/>
      </c>
      <c r="C144" s="43">
        <f>IF('TENAGA KERJA'!J143="Tidak",0,('TENAGA KERJA'!K143+'TENAGA KERJA'!L143))</f>
        <v>0</v>
      </c>
      <c r="D144" s="43">
        <f>IF(C144=0,0,IF(C144&lt;SETTING!$C$3,(SETTING!$C$3*SETTING!$C$5),IF(C144&gt;SETTING!$C$4,(SETTING!$C$4*SETTING!$C$5),(C144*SETTING!$C$5))))</f>
        <v>0</v>
      </c>
      <c r="E144" s="43">
        <f>IF(C144=0,0,IF(C144&lt;SETTING!$C$3,(SETTING!$C$3*SETTING!$C$6),IF(C144&gt;SETTING!$C$4,(SETTING!$C$4*SETTING!$C$6),(C144*SETTING!$C$6))))</f>
        <v>0</v>
      </c>
      <c r="F144" s="44">
        <f t="shared" si="4"/>
        <v>0</v>
      </c>
    </row>
    <row r="145" spans="1:6">
      <c r="A145" s="23" t="str">
        <f>IF('TENAGA KERJA'!A144=0,"",'TENAGA KERJA'!A144)</f>
        <v/>
      </c>
      <c r="B145" s="24" t="str">
        <f>IF('TENAGA KERJA'!B144=0,"",'TENAGA KERJA'!B144)</f>
        <v/>
      </c>
      <c r="C145" s="43">
        <f>IF('TENAGA KERJA'!J144="Tidak",0,('TENAGA KERJA'!K144+'TENAGA KERJA'!L144))</f>
        <v>0</v>
      </c>
      <c r="D145" s="43">
        <f>IF(C145=0,0,IF(C145&lt;SETTING!$C$3,(SETTING!$C$3*SETTING!$C$5),IF(C145&gt;SETTING!$C$4,(SETTING!$C$4*SETTING!$C$5),(C145*SETTING!$C$5))))</f>
        <v>0</v>
      </c>
      <c r="E145" s="43">
        <f>IF(C145=0,0,IF(C145&lt;SETTING!$C$3,(SETTING!$C$3*SETTING!$C$6),IF(C145&gt;SETTING!$C$4,(SETTING!$C$4*SETTING!$C$6),(C145*SETTING!$C$6))))</f>
        <v>0</v>
      </c>
      <c r="F145" s="44">
        <f t="shared" si="4"/>
        <v>0</v>
      </c>
    </row>
    <row r="146" spans="1:6">
      <c r="A146" s="23" t="str">
        <f>IF('TENAGA KERJA'!A145=0,"",'TENAGA KERJA'!A145)</f>
        <v/>
      </c>
      <c r="B146" s="24" t="str">
        <f>IF('TENAGA KERJA'!B145=0,"",'TENAGA KERJA'!B145)</f>
        <v/>
      </c>
      <c r="C146" s="43">
        <f>IF('TENAGA KERJA'!J145="Tidak",0,('TENAGA KERJA'!K145+'TENAGA KERJA'!L145))</f>
        <v>0</v>
      </c>
      <c r="D146" s="43">
        <f>IF(C146=0,0,IF(C146&lt;SETTING!$C$3,(SETTING!$C$3*SETTING!$C$5),IF(C146&gt;SETTING!$C$4,(SETTING!$C$4*SETTING!$C$5),(C146*SETTING!$C$5))))</f>
        <v>0</v>
      </c>
      <c r="E146" s="43">
        <f>IF(C146=0,0,IF(C146&lt;SETTING!$C$3,(SETTING!$C$3*SETTING!$C$6),IF(C146&gt;SETTING!$C$4,(SETTING!$C$4*SETTING!$C$6),(C146*SETTING!$C$6))))</f>
        <v>0</v>
      </c>
      <c r="F146" s="44">
        <f t="shared" si="4"/>
        <v>0</v>
      </c>
    </row>
    <row r="147" spans="1:6">
      <c r="A147" s="23" t="str">
        <f>IF('TENAGA KERJA'!A146=0,"",'TENAGA KERJA'!A146)</f>
        <v/>
      </c>
      <c r="B147" s="24" t="str">
        <f>IF('TENAGA KERJA'!B146=0,"",'TENAGA KERJA'!B146)</f>
        <v/>
      </c>
      <c r="C147" s="43">
        <f>IF('TENAGA KERJA'!J146="Tidak",0,('TENAGA KERJA'!K146+'TENAGA KERJA'!L146))</f>
        <v>0</v>
      </c>
      <c r="D147" s="43">
        <f>IF(C147=0,0,IF(C147&lt;SETTING!$C$3,(SETTING!$C$3*SETTING!$C$5),IF(C147&gt;SETTING!$C$4,(SETTING!$C$4*SETTING!$C$5),(C147*SETTING!$C$5))))</f>
        <v>0</v>
      </c>
      <c r="E147" s="43">
        <f>IF(C147=0,0,IF(C147&lt;SETTING!$C$3,(SETTING!$C$3*SETTING!$C$6),IF(C147&gt;SETTING!$C$4,(SETTING!$C$4*SETTING!$C$6),(C147*SETTING!$C$6))))</f>
        <v>0</v>
      </c>
      <c r="F147" s="44">
        <f t="shared" si="4"/>
        <v>0</v>
      </c>
    </row>
    <row r="148" spans="1:6">
      <c r="A148" s="23" t="str">
        <f>IF('TENAGA KERJA'!A147=0,"",'TENAGA KERJA'!A147)</f>
        <v/>
      </c>
      <c r="B148" s="24" t="str">
        <f>IF('TENAGA KERJA'!B147=0,"",'TENAGA KERJA'!B147)</f>
        <v/>
      </c>
      <c r="C148" s="43">
        <f>IF('TENAGA KERJA'!J147="Tidak",0,('TENAGA KERJA'!K147+'TENAGA KERJA'!L147))</f>
        <v>0</v>
      </c>
      <c r="D148" s="43">
        <f>IF(C148=0,0,IF(C148&lt;SETTING!$C$3,(SETTING!$C$3*SETTING!$C$5),IF(C148&gt;SETTING!$C$4,(SETTING!$C$4*SETTING!$C$5),(C148*SETTING!$C$5))))</f>
        <v>0</v>
      </c>
      <c r="E148" s="43">
        <f>IF(C148=0,0,IF(C148&lt;SETTING!$C$3,(SETTING!$C$3*SETTING!$C$6),IF(C148&gt;SETTING!$C$4,(SETTING!$C$4*SETTING!$C$6),(C148*SETTING!$C$6))))</f>
        <v>0</v>
      </c>
      <c r="F148" s="44">
        <f t="shared" si="4"/>
        <v>0</v>
      </c>
    </row>
    <row r="149" spans="1:6">
      <c r="A149" s="23" t="str">
        <f>IF('TENAGA KERJA'!A148=0,"",'TENAGA KERJA'!A148)</f>
        <v/>
      </c>
      <c r="B149" s="24" t="str">
        <f>IF('TENAGA KERJA'!B148=0,"",'TENAGA KERJA'!B148)</f>
        <v/>
      </c>
      <c r="C149" s="43">
        <f>IF('TENAGA KERJA'!J148="Tidak",0,('TENAGA KERJA'!K148+'TENAGA KERJA'!L148))</f>
        <v>0</v>
      </c>
      <c r="D149" s="43">
        <f>IF(C149=0,0,IF(C149&lt;SETTING!$C$3,(SETTING!$C$3*SETTING!$C$5),IF(C149&gt;SETTING!$C$4,(SETTING!$C$4*SETTING!$C$5),(C149*SETTING!$C$5))))</f>
        <v>0</v>
      </c>
      <c r="E149" s="43">
        <f>IF(C149=0,0,IF(C149&lt;SETTING!$C$3,(SETTING!$C$3*SETTING!$C$6),IF(C149&gt;SETTING!$C$4,(SETTING!$C$4*SETTING!$C$6),(C149*SETTING!$C$6))))</f>
        <v>0</v>
      </c>
      <c r="F149" s="44">
        <f t="shared" si="4"/>
        <v>0</v>
      </c>
    </row>
    <row r="150" spans="1:6">
      <c r="A150" s="23" t="str">
        <f>IF('TENAGA KERJA'!A149=0,"",'TENAGA KERJA'!A149)</f>
        <v/>
      </c>
      <c r="B150" s="24" t="str">
        <f>IF('TENAGA KERJA'!B149=0,"",'TENAGA KERJA'!B149)</f>
        <v/>
      </c>
      <c r="C150" s="43">
        <f>IF('TENAGA KERJA'!J149="Tidak",0,('TENAGA KERJA'!K149+'TENAGA KERJA'!L149))</f>
        <v>0</v>
      </c>
      <c r="D150" s="43">
        <f>IF(C150=0,0,IF(C150&lt;SETTING!$C$3,(SETTING!$C$3*SETTING!$C$5),IF(C150&gt;SETTING!$C$4,(SETTING!$C$4*SETTING!$C$5),(C150*SETTING!$C$5))))</f>
        <v>0</v>
      </c>
      <c r="E150" s="43">
        <f>IF(C150=0,0,IF(C150&lt;SETTING!$C$3,(SETTING!$C$3*SETTING!$C$6),IF(C150&gt;SETTING!$C$4,(SETTING!$C$4*SETTING!$C$6),(C150*SETTING!$C$6))))</f>
        <v>0</v>
      </c>
      <c r="F150" s="44">
        <f t="shared" si="4"/>
        <v>0</v>
      </c>
    </row>
    <row r="151" spans="1:6">
      <c r="A151" s="23" t="str">
        <f>IF('TENAGA KERJA'!A150=0,"",'TENAGA KERJA'!A150)</f>
        <v/>
      </c>
      <c r="B151" s="24" t="str">
        <f>IF('TENAGA KERJA'!B150=0,"",'TENAGA KERJA'!B150)</f>
        <v/>
      </c>
      <c r="C151" s="43">
        <f>IF('TENAGA KERJA'!J150="Tidak",0,('TENAGA KERJA'!K150+'TENAGA KERJA'!L150))</f>
        <v>0</v>
      </c>
      <c r="D151" s="43">
        <f>IF(C151=0,0,IF(C151&lt;SETTING!$C$3,(SETTING!$C$3*SETTING!$C$5),IF(C151&gt;SETTING!$C$4,(SETTING!$C$4*SETTING!$C$5),(C151*SETTING!$C$5))))</f>
        <v>0</v>
      </c>
      <c r="E151" s="43">
        <f>IF(C151=0,0,IF(C151&lt;SETTING!$C$3,(SETTING!$C$3*SETTING!$C$6),IF(C151&gt;SETTING!$C$4,(SETTING!$C$4*SETTING!$C$6),(C151*SETTING!$C$6))))</f>
        <v>0</v>
      </c>
      <c r="F151" s="44">
        <f t="shared" si="4"/>
        <v>0</v>
      </c>
    </row>
    <row r="152" spans="1:6">
      <c r="A152" s="23" t="str">
        <f>IF('TENAGA KERJA'!A151=0,"",'TENAGA KERJA'!A151)</f>
        <v/>
      </c>
      <c r="B152" s="24" t="str">
        <f>IF('TENAGA KERJA'!B151=0,"",'TENAGA KERJA'!B151)</f>
        <v/>
      </c>
      <c r="C152" s="43">
        <f>IF('TENAGA KERJA'!J151="Tidak",0,('TENAGA KERJA'!K151+'TENAGA KERJA'!L151))</f>
        <v>0</v>
      </c>
      <c r="D152" s="43">
        <f>IF(C152=0,0,IF(C152&lt;SETTING!$C$3,(SETTING!$C$3*SETTING!$C$5),IF(C152&gt;SETTING!$C$4,(SETTING!$C$4*SETTING!$C$5),(C152*SETTING!$C$5))))</f>
        <v>0</v>
      </c>
      <c r="E152" s="43">
        <f>IF(C152=0,0,IF(C152&lt;SETTING!$C$3,(SETTING!$C$3*SETTING!$C$6),IF(C152&gt;SETTING!$C$4,(SETTING!$C$4*SETTING!$C$6),(C152*SETTING!$C$6))))</f>
        <v>0</v>
      </c>
      <c r="F152" s="44">
        <f t="shared" si="4"/>
        <v>0</v>
      </c>
    </row>
    <row r="153" spans="1:6">
      <c r="A153" s="23" t="str">
        <f>IF('TENAGA KERJA'!A152=0,"",'TENAGA KERJA'!A152)</f>
        <v/>
      </c>
      <c r="B153" s="24" t="str">
        <f>IF('TENAGA KERJA'!B152=0,"",'TENAGA KERJA'!B152)</f>
        <v/>
      </c>
      <c r="C153" s="43">
        <f>IF('TENAGA KERJA'!J152="Tidak",0,('TENAGA KERJA'!K152+'TENAGA KERJA'!L152))</f>
        <v>0</v>
      </c>
      <c r="D153" s="43">
        <f>IF(C153=0,0,IF(C153&lt;SETTING!$C$3,(SETTING!$C$3*SETTING!$C$5),IF(C153&gt;SETTING!$C$4,(SETTING!$C$4*SETTING!$C$5),(C153*SETTING!$C$5))))</f>
        <v>0</v>
      </c>
      <c r="E153" s="43">
        <f>IF(C153=0,0,IF(C153&lt;SETTING!$C$3,(SETTING!$C$3*SETTING!$C$6),IF(C153&gt;SETTING!$C$4,(SETTING!$C$4*SETTING!$C$6),(C153*SETTING!$C$6))))</f>
        <v>0</v>
      </c>
      <c r="F153" s="44">
        <f t="shared" si="4"/>
        <v>0</v>
      </c>
    </row>
    <row r="154" spans="1:6">
      <c r="A154" s="23" t="str">
        <f>IF('TENAGA KERJA'!A153=0,"",'TENAGA KERJA'!A153)</f>
        <v/>
      </c>
      <c r="B154" s="24" t="str">
        <f>IF('TENAGA KERJA'!B153=0,"",'TENAGA KERJA'!B153)</f>
        <v/>
      </c>
      <c r="C154" s="43">
        <f>IF('TENAGA KERJA'!J153="Tidak",0,('TENAGA KERJA'!K153+'TENAGA KERJA'!L153))</f>
        <v>0</v>
      </c>
      <c r="D154" s="43">
        <f>IF(C154=0,0,IF(C154&lt;SETTING!$C$3,(SETTING!$C$3*SETTING!$C$5),IF(C154&gt;SETTING!$C$4,(SETTING!$C$4*SETTING!$C$5),(C154*SETTING!$C$5))))</f>
        <v>0</v>
      </c>
      <c r="E154" s="43">
        <f>IF(C154=0,0,IF(C154&lt;SETTING!$C$3,(SETTING!$C$3*SETTING!$C$6),IF(C154&gt;SETTING!$C$4,(SETTING!$C$4*SETTING!$C$6),(C154*SETTING!$C$6))))</f>
        <v>0</v>
      </c>
      <c r="F154" s="44">
        <f t="shared" si="4"/>
        <v>0</v>
      </c>
    </row>
    <row r="155" spans="1:6">
      <c r="A155" s="23" t="str">
        <f>IF('TENAGA KERJA'!A154=0,"",'TENAGA KERJA'!A154)</f>
        <v/>
      </c>
      <c r="B155" s="24" t="str">
        <f>IF('TENAGA KERJA'!B154=0,"",'TENAGA KERJA'!B154)</f>
        <v/>
      </c>
      <c r="C155" s="209">
        <f>IF('TENAGA KERJA'!J154="Tidak",0,('TENAGA KERJA'!K154+'TENAGA KERJA'!L154))+1891337</f>
        <v>1891337</v>
      </c>
      <c r="D155" s="43">
        <f>IF(C155=0,0,IF(C155&lt;SETTING!$C$3,(SETTING!$C$3*SETTING!$C$5),IF(C155&gt;SETTING!$C$4,(SETTING!$C$4*SETTING!$C$5),(C155*SETTING!$C$5))))</f>
        <v>175653.48</v>
      </c>
      <c r="E155" s="43">
        <f>IF(C155=0,0,IF(C155&lt;SETTING!$C$3,(SETTING!$C$3*SETTING!$C$6),IF(C155&gt;SETTING!$C$4,(SETTING!$C$4*SETTING!$C$6),(C155*SETTING!$C$6))))</f>
        <v>43913.37</v>
      </c>
      <c r="F155" s="44">
        <f t="shared" si="4"/>
        <v>219566.85</v>
      </c>
    </row>
    <row r="156" spans="1:6">
      <c r="A156" s="23" t="str">
        <f>IF('TENAGA KERJA'!A155=0,"",'TENAGA KERJA'!A155)</f>
        <v/>
      </c>
      <c r="B156" s="24" t="str">
        <f>IF('TENAGA KERJA'!B155=0,"",'TENAGA KERJA'!B155)</f>
        <v/>
      </c>
      <c r="C156" s="43">
        <f>IF('TENAGA KERJA'!J155="Tidak",0,('TENAGA KERJA'!K155+'TENAGA KERJA'!L155))</f>
        <v>0</v>
      </c>
      <c r="D156" s="43">
        <f>IF(C156=0,0,IF(C156&lt;SETTING!$C$3,(SETTING!$C$3*SETTING!$C$5),IF(C156&gt;SETTING!$C$4,(SETTING!$C$4*SETTING!$C$5),(C156*SETTING!$C$5))))</f>
        <v>0</v>
      </c>
      <c r="E156" s="43">
        <f>IF(C156=0,0,IF(C156&lt;SETTING!$C$3,(SETTING!$C$3*SETTING!$C$6),IF(C156&gt;SETTING!$C$4,(SETTING!$C$4*SETTING!$C$6),(C156*SETTING!$C$6))))</f>
        <v>0</v>
      </c>
      <c r="F156" s="44">
        <f t="shared" si="4"/>
        <v>0</v>
      </c>
    </row>
    <row r="157" spans="1:6">
      <c r="A157" s="23" t="str">
        <f>IF('TENAGA KERJA'!A156=0,"",'TENAGA KERJA'!A156)</f>
        <v/>
      </c>
      <c r="B157" s="24" t="str">
        <f>IF('TENAGA KERJA'!B156=0,"",'TENAGA KERJA'!B156)</f>
        <v/>
      </c>
      <c r="C157" s="43">
        <f>IF('TENAGA KERJA'!J156="Tidak",0,('TENAGA KERJA'!K156+'TENAGA KERJA'!L156))</f>
        <v>0</v>
      </c>
      <c r="D157" s="43">
        <f>IF(C157=0,0,IF(C157&lt;SETTING!$C$3,(SETTING!$C$3*SETTING!$C$5),IF(C157&gt;SETTING!$C$4,(SETTING!$C$4*SETTING!$C$5),(C157*SETTING!$C$5))))</f>
        <v>0</v>
      </c>
      <c r="E157" s="43">
        <f>IF(C157=0,0,IF(C157&lt;SETTING!$C$3,(SETTING!$C$3*SETTING!$C$6),IF(C157&gt;SETTING!$C$4,(SETTING!$C$4*SETTING!$C$6),(C157*SETTING!$C$6))))</f>
        <v>0</v>
      </c>
      <c r="F157" s="44">
        <f t="shared" si="4"/>
        <v>0</v>
      </c>
    </row>
    <row r="158" spans="1:6">
      <c r="A158" s="23" t="str">
        <f>IF('TENAGA KERJA'!A157=0,"",'TENAGA KERJA'!A157)</f>
        <v/>
      </c>
      <c r="B158" s="24" t="str">
        <f>IF('TENAGA KERJA'!B157=0,"",'TENAGA KERJA'!B157)</f>
        <v/>
      </c>
      <c r="C158" s="43">
        <f>IF('TENAGA KERJA'!J157="Tidak",0,('TENAGA KERJA'!K157+'TENAGA KERJA'!L157))</f>
        <v>0</v>
      </c>
      <c r="D158" s="43">
        <f>IF(C158=0,0,IF(C158&lt;SETTING!$C$3,(SETTING!$C$3*SETTING!$C$5),IF(C158&gt;SETTING!$C$4,(SETTING!$C$4*SETTING!$C$5),(C158*SETTING!$C$5))))</f>
        <v>0</v>
      </c>
      <c r="E158" s="43">
        <f>IF(C158=0,0,IF(C158&lt;SETTING!$C$3,(SETTING!$C$3*SETTING!$C$6),IF(C158&gt;SETTING!$C$4,(SETTING!$C$4*SETTING!$C$6),(C158*SETTING!$C$6))))</f>
        <v>0</v>
      </c>
      <c r="F158" s="44">
        <f t="shared" si="4"/>
        <v>0</v>
      </c>
    </row>
    <row r="159" spans="1:6">
      <c r="A159" s="23" t="str">
        <f>IF('TENAGA KERJA'!A158=0,"",'TENAGA KERJA'!A158)</f>
        <v/>
      </c>
      <c r="B159" s="24" t="str">
        <f>IF('TENAGA KERJA'!B158=0,"",'TENAGA KERJA'!B158)</f>
        <v/>
      </c>
      <c r="C159" s="43">
        <f>IF('TENAGA KERJA'!J158="Tidak",0,('TENAGA KERJA'!K158+'TENAGA KERJA'!L158))</f>
        <v>0</v>
      </c>
      <c r="D159" s="43">
        <f>IF(C159=0,0,IF(C159&lt;SETTING!$C$3,(SETTING!$C$3*SETTING!$C$5),IF(C159&gt;SETTING!$C$4,(SETTING!$C$4*SETTING!$C$5),(C159*SETTING!$C$5))))</f>
        <v>0</v>
      </c>
      <c r="E159" s="43">
        <f>IF(C159=0,0,IF(C159&lt;SETTING!$C$3,(SETTING!$C$3*SETTING!$C$6),IF(C159&gt;SETTING!$C$4,(SETTING!$C$4*SETTING!$C$6),(C159*SETTING!$C$6))))</f>
        <v>0</v>
      </c>
      <c r="F159" s="44">
        <f t="shared" si="4"/>
        <v>0</v>
      </c>
    </row>
    <row r="160" spans="1:6">
      <c r="A160" s="23" t="str">
        <f>IF('TENAGA KERJA'!A159=0,"",'TENAGA KERJA'!A159)</f>
        <v/>
      </c>
      <c r="B160" s="24" t="str">
        <f>IF('TENAGA KERJA'!B159=0,"",'TENAGA KERJA'!B159)</f>
        <v/>
      </c>
      <c r="C160" s="43">
        <f>IF('TENAGA KERJA'!J159="Tidak",0,('TENAGA KERJA'!K159+'TENAGA KERJA'!L159))</f>
        <v>0</v>
      </c>
      <c r="D160" s="43">
        <f>IF(C160=0,0,IF(C160&lt;SETTING!$C$3,(SETTING!$C$3*SETTING!$C$5),IF(C160&gt;SETTING!$C$4,(SETTING!$C$4*SETTING!$C$5),(C160*SETTING!$C$5))))</f>
        <v>0</v>
      </c>
      <c r="E160" s="43">
        <f>IF(C160=0,0,IF(C160&lt;SETTING!$C$3,(SETTING!$C$3*SETTING!$C$6),IF(C160&gt;SETTING!$C$4,(SETTING!$C$4*SETTING!$C$6),(C160*SETTING!$C$6))))</f>
        <v>0</v>
      </c>
      <c r="F160" s="44">
        <f t="shared" si="4"/>
        <v>0</v>
      </c>
    </row>
    <row r="161" spans="1:6">
      <c r="A161" s="23" t="str">
        <f>IF('TENAGA KERJA'!A160=0,"",'TENAGA KERJA'!A160)</f>
        <v/>
      </c>
      <c r="B161" s="24" t="str">
        <f>IF('TENAGA KERJA'!B160=0,"",'TENAGA KERJA'!B160)</f>
        <v/>
      </c>
      <c r="C161" s="43">
        <f>IF('TENAGA KERJA'!J160="Tidak",0,('TENAGA KERJA'!K160+'TENAGA KERJA'!L160))</f>
        <v>0</v>
      </c>
      <c r="D161" s="43">
        <f>IF(C161=0,0,IF(C161&lt;SETTING!$C$3,(SETTING!$C$3*SETTING!$C$5),IF(C161&gt;SETTING!$C$4,(SETTING!$C$4*SETTING!$C$5),(C161*SETTING!$C$5))))</f>
        <v>0</v>
      </c>
      <c r="E161" s="43">
        <f>IF(C161=0,0,IF(C161&lt;SETTING!$C$3,(SETTING!$C$3*SETTING!$C$6),IF(C161&gt;SETTING!$C$4,(SETTING!$C$4*SETTING!$C$6),(C161*SETTING!$C$6))))</f>
        <v>0</v>
      </c>
      <c r="F161" s="44">
        <f t="shared" si="4"/>
        <v>0</v>
      </c>
    </row>
    <row r="162" spans="1:6">
      <c r="A162" s="23" t="str">
        <f>IF('TENAGA KERJA'!A161=0,"",'TENAGA KERJA'!A161)</f>
        <v/>
      </c>
      <c r="B162" s="24" t="str">
        <f>IF('TENAGA KERJA'!B161=0,"",'TENAGA KERJA'!B161)</f>
        <v/>
      </c>
      <c r="C162" s="43">
        <f>IF('TENAGA KERJA'!J161="Tidak",0,('TENAGA KERJA'!K161+'TENAGA KERJA'!L161))</f>
        <v>0</v>
      </c>
      <c r="D162" s="43">
        <f>IF(C162=0,0,IF(C162&lt;SETTING!$C$3,(SETTING!$C$3*SETTING!$C$5),IF(C162&gt;SETTING!$C$4,(SETTING!$C$4*SETTING!$C$5),(C162*SETTING!$C$5))))</f>
        <v>0</v>
      </c>
      <c r="E162" s="43">
        <f>IF(C162=0,0,IF(C162&lt;SETTING!$C$3,(SETTING!$C$3*SETTING!$C$6),IF(C162&gt;SETTING!$C$4,(SETTING!$C$4*SETTING!$C$6),(C162*SETTING!$C$6))))</f>
        <v>0</v>
      </c>
      <c r="F162" s="44">
        <f t="shared" si="4"/>
        <v>0</v>
      </c>
    </row>
    <row r="163" spans="1:6">
      <c r="A163" s="23" t="str">
        <f>IF('TENAGA KERJA'!A162=0,"",'TENAGA KERJA'!A162)</f>
        <v/>
      </c>
      <c r="B163" s="24" t="str">
        <f>IF('TENAGA KERJA'!B162=0,"",'TENAGA KERJA'!B162)</f>
        <v/>
      </c>
      <c r="C163" s="43">
        <f>IF('TENAGA KERJA'!J162="Tidak",0,('TENAGA KERJA'!K162+'TENAGA KERJA'!L162))</f>
        <v>0</v>
      </c>
      <c r="D163" s="43">
        <f>IF(C163=0,0,IF(C163&lt;SETTING!$C$3,(SETTING!$C$3*SETTING!$C$5),IF(C163&gt;SETTING!$C$4,(SETTING!$C$4*SETTING!$C$5),(C163*SETTING!$C$5))))</f>
        <v>0</v>
      </c>
      <c r="E163" s="43">
        <f>IF(C163=0,0,IF(C163&lt;SETTING!$C$3,(SETTING!$C$3*SETTING!$C$6),IF(C163&gt;SETTING!$C$4,(SETTING!$C$4*SETTING!$C$6),(C163*SETTING!$C$6))))</f>
        <v>0</v>
      </c>
      <c r="F163" s="44">
        <f t="shared" si="4"/>
        <v>0</v>
      </c>
    </row>
    <row r="164" spans="1:6">
      <c r="A164" s="23" t="str">
        <f>IF('TENAGA KERJA'!A163=0,"",'TENAGA KERJA'!A163)</f>
        <v/>
      </c>
      <c r="B164" s="24" t="str">
        <f>IF('TENAGA KERJA'!B163=0,"",'TENAGA KERJA'!B163)</f>
        <v/>
      </c>
      <c r="C164" s="43">
        <f>IF('TENAGA KERJA'!J163="Tidak",0,('TENAGA KERJA'!K163+'TENAGA KERJA'!L163))</f>
        <v>0</v>
      </c>
      <c r="D164" s="43">
        <f>IF(C164=0,0,IF(C164&lt;SETTING!$C$3,(SETTING!$C$3*SETTING!$C$5),IF(C164&gt;SETTING!$C$4,(SETTING!$C$4*SETTING!$C$5),(C164*SETTING!$C$5))))</f>
        <v>0</v>
      </c>
      <c r="E164" s="43">
        <f>IF(C164=0,0,IF(C164&lt;SETTING!$C$3,(SETTING!$C$3*SETTING!$C$6),IF(C164&gt;SETTING!$C$4,(SETTING!$C$4*SETTING!$C$6),(C164*SETTING!$C$6))))</f>
        <v>0</v>
      </c>
      <c r="F164" s="44">
        <f t="shared" si="4"/>
        <v>0</v>
      </c>
    </row>
    <row r="165" spans="1:6">
      <c r="A165" s="23" t="str">
        <f>IF('TENAGA KERJA'!A164=0,"",'TENAGA KERJA'!A164)</f>
        <v/>
      </c>
      <c r="B165" s="24" t="str">
        <f>IF('TENAGA KERJA'!B164=0,"",'TENAGA KERJA'!B164)</f>
        <v/>
      </c>
      <c r="C165" s="43">
        <f>IF('TENAGA KERJA'!J164="Tidak",0,('TENAGA KERJA'!K164+'TENAGA KERJA'!L164))</f>
        <v>0</v>
      </c>
      <c r="D165" s="43">
        <f>IF(C165=0,0,IF(C165&lt;SETTING!$C$3,(SETTING!$C$3*SETTING!$C$5),IF(C165&gt;SETTING!$C$4,(SETTING!$C$4*SETTING!$C$5),(C165*SETTING!$C$5))))</f>
        <v>0</v>
      </c>
      <c r="E165" s="43">
        <f>IF(C165=0,0,IF(C165&lt;SETTING!$C$3,(SETTING!$C$3*SETTING!$C$6),IF(C165&gt;SETTING!$C$4,(SETTING!$C$4*SETTING!$C$6),(C165*SETTING!$C$6))))</f>
        <v>0</v>
      </c>
      <c r="F165" s="44">
        <f t="shared" si="4"/>
        <v>0</v>
      </c>
    </row>
    <row r="166" spans="1:6">
      <c r="A166" s="23" t="str">
        <f>IF('TENAGA KERJA'!A165=0,"",'TENAGA KERJA'!A165)</f>
        <v/>
      </c>
      <c r="B166" s="24" t="str">
        <f>IF('TENAGA KERJA'!B165=0,"",'TENAGA KERJA'!B165)</f>
        <v/>
      </c>
      <c r="C166" s="43">
        <f>IF('TENAGA KERJA'!J165="Tidak",0,('TENAGA KERJA'!K165+'TENAGA KERJA'!L165))</f>
        <v>0</v>
      </c>
      <c r="D166" s="43">
        <f>IF(C166=0,0,IF(C166&lt;SETTING!$C$3,(SETTING!$C$3*SETTING!$C$5),IF(C166&gt;SETTING!$C$4,(SETTING!$C$4*SETTING!$C$5),(C166*SETTING!$C$5))))</f>
        <v>0</v>
      </c>
      <c r="E166" s="43">
        <f>IF(C166=0,0,IF(C166&lt;SETTING!$C$3,(SETTING!$C$3*SETTING!$C$6),IF(C166&gt;SETTING!$C$4,(SETTING!$C$4*SETTING!$C$6),(C166*SETTING!$C$6))))</f>
        <v>0</v>
      </c>
      <c r="F166" s="44">
        <f t="shared" si="4"/>
        <v>0</v>
      </c>
    </row>
    <row r="167" spans="1:6">
      <c r="A167" s="23" t="str">
        <f>IF('TENAGA KERJA'!A166=0,"",'TENAGA KERJA'!A166)</f>
        <v/>
      </c>
      <c r="B167" s="24" t="str">
        <f>IF('TENAGA KERJA'!B166=0,"",'TENAGA KERJA'!B166)</f>
        <v/>
      </c>
      <c r="C167" s="43">
        <f>IF('TENAGA KERJA'!J166="Tidak",0,('TENAGA KERJA'!K166+'TENAGA KERJA'!L166))</f>
        <v>0</v>
      </c>
      <c r="D167" s="43">
        <f>IF(C167=0,0,IF(C167&lt;SETTING!$C$3,(SETTING!$C$3*SETTING!$C$5),IF(C167&gt;SETTING!$C$4,(SETTING!$C$4*SETTING!$C$5),(C167*SETTING!$C$5))))</f>
        <v>0</v>
      </c>
      <c r="E167" s="43">
        <f>IF(C167=0,0,IF(C167&lt;SETTING!$C$3,(SETTING!$C$3*SETTING!$C$6),IF(C167&gt;SETTING!$C$4,(SETTING!$C$4*SETTING!$C$6),(C167*SETTING!$C$6))))</f>
        <v>0</v>
      </c>
      <c r="F167" s="44">
        <f t="shared" si="4"/>
        <v>0</v>
      </c>
    </row>
    <row r="168" spans="1:6">
      <c r="A168" s="23" t="str">
        <f>IF('TENAGA KERJA'!A167=0,"",'TENAGA KERJA'!A167)</f>
        <v/>
      </c>
      <c r="B168" s="24" t="str">
        <f>IF('TENAGA KERJA'!B167=0,"",'TENAGA KERJA'!B167)</f>
        <v/>
      </c>
      <c r="C168" s="209">
        <f>IF('TENAGA KERJA'!J167="Tidak",0,('TENAGA KERJA'!K167+'TENAGA KERJA'!L167))+1891337</f>
        <v>1891337</v>
      </c>
      <c r="D168" s="43">
        <f>IF(C168=0,0,IF(C168&lt;SETTING!$C$3,(SETTING!$C$3*SETTING!$C$5),IF(C168&gt;SETTING!$C$4,(SETTING!$C$4*SETTING!$C$5),(C168*SETTING!$C$5))))</f>
        <v>175653.48</v>
      </c>
      <c r="E168" s="43">
        <f>IF(C168=0,0,IF(C168&lt;SETTING!$C$3,(SETTING!$C$3*SETTING!$C$6),IF(C168&gt;SETTING!$C$4,(SETTING!$C$4*SETTING!$C$6),(C168*SETTING!$C$6))))</f>
        <v>43913.37</v>
      </c>
      <c r="F168" s="44">
        <f t="shared" si="4"/>
        <v>219566.85</v>
      </c>
    </row>
    <row r="169" spans="1:6">
      <c r="A169" s="23" t="str">
        <f>IF('TENAGA KERJA'!A168=0,"",'TENAGA KERJA'!A168)</f>
        <v/>
      </c>
      <c r="B169" s="24" t="str">
        <f>IF('TENAGA KERJA'!B168=0,"",'TENAGA KERJA'!B168)</f>
        <v/>
      </c>
      <c r="C169" s="43">
        <f>IF('TENAGA KERJA'!J168="Tidak",0,('TENAGA KERJA'!K168+'TENAGA KERJA'!L168))</f>
        <v>0</v>
      </c>
      <c r="D169" s="43">
        <f>IF(C169=0,0,IF(C169&lt;SETTING!$C$3,(SETTING!$C$3*SETTING!$C$5),IF(C169&gt;SETTING!$C$4,(SETTING!$C$4*SETTING!$C$5),(C169*SETTING!$C$5))))</f>
        <v>0</v>
      </c>
      <c r="E169" s="43">
        <f>IF(C169=0,0,IF(C169&lt;SETTING!$C$3,(SETTING!$C$3*SETTING!$C$6),IF(C169&gt;SETTING!$C$4,(SETTING!$C$4*SETTING!$C$6),(C169*SETTING!$C$6))))</f>
        <v>0</v>
      </c>
      <c r="F169" s="44">
        <f t="shared" si="4"/>
        <v>0</v>
      </c>
    </row>
    <row r="170" spans="1:6">
      <c r="A170" s="23" t="str">
        <f>IF('TENAGA KERJA'!A169=0,"",'TENAGA KERJA'!A169)</f>
        <v/>
      </c>
      <c r="B170" s="24" t="str">
        <f>IF('TENAGA KERJA'!B169=0,"",'TENAGA KERJA'!B169)</f>
        <v/>
      </c>
      <c r="C170" s="43">
        <f>IF('TENAGA KERJA'!J169="Tidak",0,('TENAGA KERJA'!K169+'TENAGA KERJA'!L169))</f>
        <v>0</v>
      </c>
      <c r="D170" s="43">
        <f>IF(C170=0,0,IF(C170&lt;SETTING!$C$3,(SETTING!$C$3*SETTING!$C$5),IF(C170&gt;SETTING!$C$4,(SETTING!$C$4*SETTING!$C$5),(C170*SETTING!$C$5))))</f>
        <v>0</v>
      </c>
      <c r="E170" s="43">
        <f>IF(C170=0,0,IF(C170&lt;SETTING!$C$3,(SETTING!$C$3*SETTING!$C$6),IF(C170&gt;SETTING!$C$4,(SETTING!$C$4*SETTING!$C$6),(C170*SETTING!$C$6))))</f>
        <v>0</v>
      </c>
      <c r="F170" s="44">
        <f t="shared" si="4"/>
        <v>0</v>
      </c>
    </row>
    <row r="171" spans="1:6">
      <c r="A171" s="23" t="str">
        <f>IF('TENAGA KERJA'!A170=0,"",'TENAGA KERJA'!A170)</f>
        <v/>
      </c>
      <c r="B171" s="24" t="str">
        <f>IF('TENAGA KERJA'!B170=0,"",'TENAGA KERJA'!B170)</f>
        <v/>
      </c>
      <c r="C171" s="43">
        <f>IF('TENAGA KERJA'!J170="Tidak",0,('TENAGA KERJA'!K170+'TENAGA KERJA'!L170))</f>
        <v>0</v>
      </c>
      <c r="D171" s="43">
        <f>IF(C171=0,0,IF(C171&lt;SETTING!$C$3,(SETTING!$C$3*SETTING!$C$5),IF(C171&gt;SETTING!$C$4,(SETTING!$C$4*SETTING!$C$5),(C171*SETTING!$C$5))))</f>
        <v>0</v>
      </c>
      <c r="E171" s="43">
        <f>IF(C171=0,0,IF(C171&lt;SETTING!$C$3,(SETTING!$C$3*SETTING!$C$6),IF(C171&gt;SETTING!$C$4,(SETTING!$C$4*SETTING!$C$6),(C171*SETTING!$C$6))))</f>
        <v>0</v>
      </c>
      <c r="F171" s="44">
        <f t="shared" si="4"/>
        <v>0</v>
      </c>
    </row>
    <row r="172" spans="1:6">
      <c r="A172" s="23" t="str">
        <f>IF('TENAGA KERJA'!A171=0,"",'TENAGA KERJA'!A171)</f>
        <v/>
      </c>
      <c r="B172" s="24" t="str">
        <f>IF('TENAGA KERJA'!B171=0,"",'TENAGA KERJA'!B171)</f>
        <v/>
      </c>
      <c r="C172" s="43">
        <f>IF('TENAGA KERJA'!J171="Tidak",0,('TENAGA KERJA'!K171+'TENAGA KERJA'!L171))</f>
        <v>0</v>
      </c>
      <c r="D172" s="43">
        <f>IF(C172=0,0,IF(C172&lt;SETTING!$C$3,(SETTING!$C$3*SETTING!$C$5),IF(C172&gt;SETTING!$C$4,(SETTING!$C$4*SETTING!$C$5),(C172*SETTING!$C$5))))</f>
        <v>0</v>
      </c>
      <c r="E172" s="43">
        <f>IF(C172=0,0,IF(C172&lt;SETTING!$C$3,(SETTING!$C$3*SETTING!$C$6),IF(C172&gt;SETTING!$C$4,(SETTING!$C$4*SETTING!$C$6),(C172*SETTING!$C$6))))</f>
        <v>0</v>
      </c>
      <c r="F172" s="44">
        <f t="shared" si="4"/>
        <v>0</v>
      </c>
    </row>
    <row r="173" spans="1:6">
      <c r="A173" s="23" t="str">
        <f>IF('TENAGA KERJA'!A172=0,"",'TENAGA KERJA'!A172)</f>
        <v/>
      </c>
      <c r="B173" s="24" t="str">
        <f>IF('TENAGA KERJA'!B172=0,"",'TENAGA KERJA'!B172)</f>
        <v/>
      </c>
      <c r="C173" s="43">
        <f>IF('TENAGA KERJA'!J172="Tidak",0,('TENAGA KERJA'!K172+'TENAGA KERJA'!L172))</f>
        <v>0</v>
      </c>
      <c r="D173" s="43">
        <f>IF(C173=0,0,IF(C173&lt;SETTING!$C$3,(SETTING!$C$3*SETTING!$C$5),IF(C173&gt;SETTING!$C$4,(SETTING!$C$4*SETTING!$C$5),(C173*SETTING!$C$5))))</f>
        <v>0</v>
      </c>
      <c r="E173" s="43">
        <f>IF(C173=0,0,IF(C173&lt;SETTING!$C$3,(SETTING!$C$3*SETTING!$C$6),IF(C173&gt;SETTING!$C$4,(SETTING!$C$4*SETTING!$C$6),(C173*SETTING!$C$6))))</f>
        <v>0</v>
      </c>
      <c r="F173" s="44">
        <f t="shared" si="4"/>
        <v>0</v>
      </c>
    </row>
    <row r="174" spans="1:6">
      <c r="A174" s="23" t="str">
        <f>IF('TENAGA KERJA'!A173=0,"",'TENAGA KERJA'!A173)</f>
        <v/>
      </c>
      <c r="B174" s="24" t="str">
        <f>IF('TENAGA KERJA'!B173=0,"",'TENAGA KERJA'!B173)</f>
        <v/>
      </c>
      <c r="C174" s="43">
        <f>IF('TENAGA KERJA'!J173="Tidak",0,('TENAGA KERJA'!K173+'TENAGA KERJA'!L173))</f>
        <v>0</v>
      </c>
      <c r="D174" s="43">
        <f>IF(C174=0,0,IF(C174&lt;SETTING!$C$3,(SETTING!$C$3*SETTING!$C$5),IF(C174&gt;SETTING!$C$4,(SETTING!$C$4*SETTING!$C$5),(C174*SETTING!$C$5))))</f>
        <v>0</v>
      </c>
      <c r="E174" s="43">
        <f>IF(C174=0,0,IF(C174&lt;SETTING!$C$3,(SETTING!$C$3*SETTING!$C$6),IF(C174&gt;SETTING!$C$4,(SETTING!$C$4*SETTING!$C$6),(C174*SETTING!$C$6))))</f>
        <v>0</v>
      </c>
      <c r="F174" s="44">
        <f t="shared" si="4"/>
        <v>0</v>
      </c>
    </row>
    <row r="175" spans="1:6">
      <c r="A175" s="23" t="str">
        <f>IF('TENAGA KERJA'!A174=0,"",'TENAGA KERJA'!A174)</f>
        <v/>
      </c>
      <c r="B175" s="24" t="str">
        <f>IF('TENAGA KERJA'!B174=0,"",'TENAGA KERJA'!B174)</f>
        <v/>
      </c>
      <c r="C175" s="43">
        <f>IF('TENAGA KERJA'!J174="Tidak",0,('TENAGA KERJA'!K174+'TENAGA KERJA'!L174))</f>
        <v>0</v>
      </c>
      <c r="D175" s="43">
        <f>IF(C175=0,0,IF(C175&lt;SETTING!$C$3,(SETTING!$C$3*SETTING!$C$5),IF(C175&gt;SETTING!$C$4,(SETTING!$C$4*SETTING!$C$5),(C175*SETTING!$C$5))))</f>
        <v>0</v>
      </c>
      <c r="E175" s="43">
        <f>IF(C175=0,0,IF(C175&lt;SETTING!$C$3,(SETTING!$C$3*SETTING!$C$6),IF(C175&gt;SETTING!$C$4,(SETTING!$C$4*SETTING!$C$6),(C175*SETTING!$C$6))))</f>
        <v>0</v>
      </c>
      <c r="F175" s="44">
        <f t="shared" si="4"/>
        <v>0</v>
      </c>
    </row>
    <row r="176" spans="1:6">
      <c r="A176" s="23" t="str">
        <f>IF('TENAGA KERJA'!A175=0,"",'TENAGA KERJA'!A175)</f>
        <v/>
      </c>
      <c r="B176" s="24" t="str">
        <f>IF('TENAGA KERJA'!B175=0,"",'TENAGA KERJA'!B175)</f>
        <v/>
      </c>
      <c r="C176" s="43">
        <f>IF('TENAGA KERJA'!J175="Tidak",0,('TENAGA KERJA'!K175+'TENAGA KERJA'!L175))</f>
        <v>0</v>
      </c>
      <c r="D176" s="43">
        <f>IF(C176=0,0,IF(C176&lt;SETTING!$C$3,(SETTING!$C$3*SETTING!$C$5),IF(C176&gt;SETTING!$C$4,(SETTING!$C$4*SETTING!$C$5),(C176*SETTING!$C$5))))</f>
        <v>0</v>
      </c>
      <c r="E176" s="43">
        <f>IF(C176=0,0,IF(C176&lt;SETTING!$C$3,(SETTING!$C$3*SETTING!$C$6),IF(C176&gt;SETTING!$C$4,(SETTING!$C$4*SETTING!$C$6),(C176*SETTING!$C$6))))</f>
        <v>0</v>
      </c>
      <c r="F176" s="44">
        <f t="shared" si="4"/>
        <v>0</v>
      </c>
    </row>
    <row r="177" spans="1:8">
      <c r="A177" s="23" t="str">
        <f>IF('TENAGA KERJA'!A176=0,"",'TENAGA KERJA'!A176)</f>
        <v/>
      </c>
      <c r="B177" s="24" t="str">
        <f>IF('TENAGA KERJA'!B176=0,"",'TENAGA KERJA'!B176)</f>
        <v/>
      </c>
      <c r="C177" s="43">
        <f>IF('TENAGA KERJA'!J176="Tidak",0,('TENAGA KERJA'!K176+'TENAGA KERJA'!L176))</f>
        <v>0</v>
      </c>
      <c r="D177" s="43">
        <f>IF(C177=0,0,IF(C177&lt;SETTING!$C$3,(SETTING!$C$3*SETTING!$C$5),IF(C177&gt;SETTING!$C$4,(SETTING!$C$4*SETTING!$C$5),(C177*SETTING!$C$5))))</f>
        <v>0</v>
      </c>
      <c r="E177" s="43">
        <f>IF(C177=0,0,IF(C177&lt;SETTING!$C$3,(SETTING!$C$3*SETTING!$C$6),IF(C177&gt;SETTING!$C$4,(SETTING!$C$4*SETTING!$C$6),(C177*SETTING!$C$6))))</f>
        <v>0</v>
      </c>
      <c r="F177" s="44">
        <f t="shared" si="4"/>
        <v>0</v>
      </c>
    </row>
    <row r="178" spans="1:8">
      <c r="A178" s="23" t="str">
        <f>IF('TENAGA KERJA'!A177=0,"",'TENAGA KERJA'!A177)</f>
        <v/>
      </c>
      <c r="B178" s="24" t="str">
        <f>IF('TENAGA KERJA'!B177=0,"",'TENAGA KERJA'!B177)</f>
        <v/>
      </c>
      <c r="C178" s="43">
        <f>IF('TENAGA KERJA'!J177="Tidak",0,('TENAGA KERJA'!K177+'TENAGA KERJA'!L177))</f>
        <v>0</v>
      </c>
      <c r="D178" s="43">
        <f>IF(C178=0,0,IF(C178&lt;SETTING!$C$3,(SETTING!$C$3*SETTING!$C$5),IF(C178&gt;SETTING!$C$4,(SETTING!$C$4*SETTING!$C$5),(C178*SETTING!$C$5))))</f>
        <v>0</v>
      </c>
      <c r="E178" s="43">
        <f>IF(C178=0,0,IF(C178&lt;SETTING!$C$3,(SETTING!$C$3*SETTING!$C$6),IF(C178&gt;SETTING!$C$4,(SETTING!$C$4*SETTING!$C$6),(C178*SETTING!$C$6))))</f>
        <v>0</v>
      </c>
      <c r="F178" s="44">
        <f t="shared" si="4"/>
        <v>0</v>
      </c>
      <c r="H178" s="26">
        <f>SUM(E140:E177)-E168</f>
        <v>43913.37</v>
      </c>
    </row>
    <row r="179" spans="1:8">
      <c r="A179" s="23" t="str">
        <f>IF('TENAGA KERJA'!A178=0,"",'TENAGA KERJA'!A178)</f>
        <v/>
      </c>
      <c r="B179" s="24" t="str">
        <f>IF('TENAGA KERJA'!B178=0,"",'TENAGA KERJA'!B178)</f>
        <v/>
      </c>
      <c r="C179" s="213">
        <f>IF('TENAGA KERJA'!J178="Tidak",0,('TENAGA KERJA'!K178+'TENAGA KERJA'!L178))+2331396</f>
        <v>2331396</v>
      </c>
      <c r="D179" s="43">
        <f>IF(C179=0,0,IF(C179&lt;SETTING!$C$3,(SETTING!$C$3*SETTING!$C$5),IF(C179&gt;SETTING!$C$4,(SETTING!$C$4*SETTING!$C$5),(C179*SETTING!$C$5))))</f>
        <v>175653.48</v>
      </c>
      <c r="E179" s="43">
        <f>IF(C179=0,0,IF(C179&lt;SETTING!$C$3,(SETTING!$C$3*SETTING!$C$6),IF(C179&gt;SETTING!$C$4,(SETTING!$C$4*SETTING!$C$6),(C179*SETTING!$C$6))))</f>
        <v>43913.37</v>
      </c>
      <c r="F179" s="44">
        <f t="shared" si="4"/>
        <v>219566.85</v>
      </c>
      <c r="G179" s="26">
        <f>C177-C179</f>
        <v>-2331396</v>
      </c>
    </row>
    <row r="180" spans="1:8">
      <c r="A180" s="23" t="str">
        <f>IF('TENAGA KERJA'!A179=0,"",'TENAGA KERJA'!A179)</f>
        <v/>
      </c>
      <c r="B180" s="24" t="str">
        <f>IF('TENAGA KERJA'!B179=0,"",'TENAGA KERJA'!B179)</f>
        <v/>
      </c>
      <c r="C180" s="43">
        <f>IF('TENAGA KERJA'!J179="Tidak",0,('TENAGA KERJA'!K179+'TENAGA KERJA'!L179))</f>
        <v>0</v>
      </c>
      <c r="D180" s="43">
        <f>IF(C180=0,0,IF(C180&lt;SETTING!$C$3,(SETTING!$C$3*SETTING!$C$5),IF(C180&gt;SETTING!$C$4,(SETTING!$C$4*SETTING!$C$5),(C180*SETTING!$C$5))))</f>
        <v>0</v>
      </c>
      <c r="E180" s="43">
        <f>IF(C180=0,0,IF(C180&lt;SETTING!$C$3,(SETTING!$C$3*SETTING!$C$6),IF(C180&gt;SETTING!$C$4,(SETTING!$C$4*SETTING!$C$6),(C180*SETTING!$C$6))))</f>
        <v>0</v>
      </c>
      <c r="F180" s="44">
        <f t="shared" si="4"/>
        <v>0</v>
      </c>
    </row>
    <row r="181" spans="1:8">
      <c r="A181" s="23" t="str">
        <f>IF('TENAGA KERJA'!A180=0,"",'TENAGA KERJA'!A180)</f>
        <v/>
      </c>
      <c r="B181" s="24" t="str">
        <f>IF('TENAGA KERJA'!B180=0,"",'TENAGA KERJA'!B180)</f>
        <v/>
      </c>
      <c r="C181" s="43">
        <f>IF('TENAGA KERJA'!J180="Tidak",0,('TENAGA KERJA'!K180+'TENAGA KERJA'!L180))</f>
        <v>0</v>
      </c>
      <c r="D181" s="43">
        <f>IF(C181=0,0,IF(C181&lt;SETTING!$C$3,(SETTING!$C$3*SETTING!$C$5),IF(C181&gt;SETTING!$C$4,(SETTING!$C$4*SETTING!$C$5),(C181*SETTING!$C$5))))</f>
        <v>0</v>
      </c>
      <c r="E181" s="43">
        <f>IF(C181=0,0,IF(C181&lt;SETTING!$C$3,(SETTING!$C$3*SETTING!$C$6),IF(C181&gt;SETTING!$C$4,(SETTING!$C$4*SETTING!$C$6),(C181*SETTING!$C$6))))</f>
        <v>0</v>
      </c>
      <c r="F181" s="44">
        <f t="shared" si="4"/>
        <v>0</v>
      </c>
    </row>
    <row r="182" spans="1:8">
      <c r="A182" s="23" t="str">
        <f>IF('TENAGA KERJA'!A181=0,"",'TENAGA KERJA'!A181)</f>
        <v/>
      </c>
      <c r="B182" s="24" t="str">
        <f>IF('TENAGA KERJA'!B181=0,"",'TENAGA KERJA'!B181)</f>
        <v/>
      </c>
      <c r="C182" s="43">
        <f>IF('TENAGA KERJA'!J181="Tidak",0,('TENAGA KERJA'!K181+'TENAGA KERJA'!L181))</f>
        <v>0</v>
      </c>
      <c r="D182" s="43">
        <f>IF(C182=0,0,IF(C182&lt;SETTING!$C$3,(SETTING!$C$3*SETTING!$C$5),IF(C182&gt;SETTING!$C$4,(SETTING!$C$4*SETTING!$C$5),(C182*SETTING!$C$5))))</f>
        <v>0</v>
      </c>
      <c r="E182" s="43">
        <f>IF(C182=0,0,IF(C182&lt;SETTING!$C$3,(SETTING!$C$3*SETTING!$C$6),IF(C182&gt;SETTING!$C$4,(SETTING!$C$4*SETTING!$C$6),(C182*SETTING!$C$6))))</f>
        <v>0</v>
      </c>
      <c r="F182" s="44">
        <f t="shared" si="4"/>
        <v>0</v>
      </c>
    </row>
    <row r="183" spans="1:8">
      <c r="A183" s="23" t="str">
        <f>IF('TENAGA KERJA'!A182=0,"",'TENAGA KERJA'!A182)</f>
        <v/>
      </c>
      <c r="B183" s="24" t="str">
        <f>IF('TENAGA KERJA'!B182=0,"",'TENAGA KERJA'!B182)</f>
        <v/>
      </c>
      <c r="C183" s="43">
        <f>IF('TENAGA KERJA'!J182="Tidak",0,('TENAGA KERJA'!K182+'TENAGA KERJA'!L182))</f>
        <v>0</v>
      </c>
      <c r="D183" s="43">
        <f>IF(C183=0,0,IF(C183&lt;SETTING!$C$3,(SETTING!$C$3*SETTING!$C$5),IF(C183&gt;SETTING!$C$4,(SETTING!$C$4*SETTING!$C$5),(C183*SETTING!$C$5))))</f>
        <v>0</v>
      </c>
      <c r="E183" s="43">
        <f>IF(C183=0,0,IF(C183&lt;SETTING!$C$3,(SETTING!$C$3*SETTING!$C$6),IF(C183&gt;SETTING!$C$4,(SETTING!$C$4*SETTING!$C$6),(C183*SETTING!$C$6))))</f>
        <v>0</v>
      </c>
      <c r="F183" s="44">
        <f t="shared" si="4"/>
        <v>0</v>
      </c>
    </row>
    <row r="184" spans="1:8">
      <c r="A184" s="23" t="str">
        <f>IF('TENAGA KERJA'!A183=0,"",'TENAGA KERJA'!A183)</f>
        <v/>
      </c>
      <c r="B184" s="24" t="str">
        <f>IF('TENAGA KERJA'!B183=0,"",'TENAGA KERJA'!B183)</f>
        <v/>
      </c>
      <c r="C184" s="43">
        <f>IF('TENAGA KERJA'!J183="Tidak",0,('TENAGA KERJA'!K183+'TENAGA KERJA'!L183))</f>
        <v>0</v>
      </c>
      <c r="D184" s="43">
        <f>IF(C184=0,0,IF(C184&lt;SETTING!$C$3,(SETTING!$C$3*SETTING!$C$5),IF(C184&gt;SETTING!$C$4,(SETTING!$C$4*SETTING!$C$5),(C184*SETTING!$C$5))))</f>
        <v>0</v>
      </c>
      <c r="E184" s="43">
        <f>IF(C184=0,0,IF(C184&lt;SETTING!$C$3,(SETTING!$C$3*SETTING!$C$6),IF(C184&gt;SETTING!$C$4,(SETTING!$C$4*SETTING!$C$6),(C184*SETTING!$C$6))))</f>
        <v>0</v>
      </c>
      <c r="F184" s="44">
        <f t="shared" si="4"/>
        <v>0</v>
      </c>
    </row>
    <row r="185" spans="1:8">
      <c r="A185" s="23" t="str">
        <f>IF('TENAGA KERJA'!A184=0,"",'TENAGA KERJA'!A184)</f>
        <v/>
      </c>
      <c r="B185" s="24" t="str">
        <f>IF('TENAGA KERJA'!B184=0,"",'TENAGA KERJA'!B184)</f>
        <v/>
      </c>
      <c r="C185" s="43">
        <f>IF('TENAGA KERJA'!J184="Tidak",0,('TENAGA KERJA'!K184+'TENAGA KERJA'!L184))</f>
        <v>0</v>
      </c>
      <c r="D185" s="43">
        <f>IF(C185=0,0,IF(C185&lt;SETTING!$C$3,(SETTING!$C$3*SETTING!$C$5),IF(C185&gt;SETTING!$C$4,(SETTING!$C$4*SETTING!$C$5),(C185*SETTING!$C$5))))</f>
        <v>0</v>
      </c>
      <c r="E185" s="43">
        <f>IF(C185=0,0,IF(C185&lt;SETTING!$C$3,(SETTING!$C$3*SETTING!$C$6),IF(C185&gt;SETTING!$C$4,(SETTING!$C$4*SETTING!$C$6),(C185*SETTING!$C$6))))</f>
        <v>0</v>
      </c>
      <c r="F185" s="44">
        <f t="shared" si="4"/>
        <v>0</v>
      </c>
    </row>
    <row r="186" spans="1:8">
      <c r="A186" s="23" t="str">
        <f>IF('TENAGA KERJA'!A185=0,"",'TENAGA KERJA'!A185)</f>
        <v/>
      </c>
      <c r="B186" s="24" t="str">
        <f>IF('TENAGA KERJA'!B185=0,"",'TENAGA KERJA'!B185)</f>
        <v/>
      </c>
      <c r="C186" s="43">
        <f>IF('TENAGA KERJA'!J185="Tidak",0,('TENAGA KERJA'!K185+'TENAGA KERJA'!L185))</f>
        <v>0</v>
      </c>
      <c r="D186" s="43">
        <f>IF(C186=0,0,IF(C186&lt;SETTING!$C$3,(SETTING!$C$3*SETTING!$C$5),IF(C186&gt;SETTING!$C$4,(SETTING!$C$4*SETTING!$C$5),(C186*SETTING!$C$5))))</f>
        <v>0</v>
      </c>
      <c r="E186" s="43">
        <f>IF(C186=0,0,IF(C186&lt;SETTING!$C$3,(SETTING!$C$3*SETTING!$C$6),IF(C186&gt;SETTING!$C$4,(SETTING!$C$4*SETTING!$C$6),(C186*SETTING!$C$6))))</f>
        <v>0</v>
      </c>
      <c r="F186" s="44">
        <f t="shared" si="4"/>
        <v>0</v>
      </c>
    </row>
    <row r="187" spans="1:8">
      <c r="A187" s="23" t="str">
        <f>IF('TENAGA KERJA'!A186=0,"",'TENAGA KERJA'!A186)</f>
        <v/>
      </c>
      <c r="B187" s="24" t="str">
        <f>IF('TENAGA KERJA'!B186=0,"",'TENAGA KERJA'!B186)</f>
        <v/>
      </c>
      <c r="C187" s="43">
        <f>IF('TENAGA KERJA'!J186="Tidak",0,('TENAGA KERJA'!K186+'TENAGA KERJA'!L186))</f>
        <v>0</v>
      </c>
      <c r="D187" s="43">
        <f>IF(C187=0,0,IF(C187&lt;SETTING!$C$3,(SETTING!$C$3*SETTING!$C$5),IF(C187&gt;SETTING!$C$4,(SETTING!$C$4*SETTING!$C$5),(C187*SETTING!$C$5))))</f>
        <v>0</v>
      </c>
      <c r="E187" s="43">
        <f>IF(C187=0,0,IF(C187&lt;SETTING!$C$3,(SETTING!$C$3*SETTING!$C$6),IF(C187&gt;SETTING!$C$4,(SETTING!$C$4*SETTING!$C$6),(C187*SETTING!$C$6))))</f>
        <v>0</v>
      </c>
      <c r="F187" s="44">
        <f t="shared" si="4"/>
        <v>0</v>
      </c>
    </row>
    <row r="188" spans="1:8">
      <c r="A188" s="23" t="str">
        <f>IF('TENAGA KERJA'!A187=0,"",'TENAGA KERJA'!A187)</f>
        <v/>
      </c>
      <c r="B188" s="24" t="str">
        <f>IF('TENAGA KERJA'!B187=0,"",'TENAGA KERJA'!B187)</f>
        <v/>
      </c>
      <c r="C188" s="43">
        <f>IF('TENAGA KERJA'!J187="Tidak",0,('TENAGA KERJA'!K187+'TENAGA KERJA'!L187))</f>
        <v>0</v>
      </c>
      <c r="D188" s="43">
        <f>IF(C188=0,0,IF(C188&lt;SETTING!$C$3,(SETTING!$C$3*SETTING!$C$5),IF(C188&gt;SETTING!$C$4,(SETTING!$C$4*SETTING!$C$5),(C188*SETTING!$C$5))))</f>
        <v>0</v>
      </c>
      <c r="E188" s="43">
        <f>IF(C188=0,0,IF(C188&lt;SETTING!$C$3,(SETTING!$C$3*SETTING!$C$6),IF(C188&gt;SETTING!$C$4,(SETTING!$C$4*SETTING!$C$6),(C188*SETTING!$C$6))))</f>
        <v>0</v>
      </c>
      <c r="F188" s="44">
        <f t="shared" si="4"/>
        <v>0</v>
      </c>
    </row>
    <row r="189" spans="1:8">
      <c r="A189" s="23" t="str">
        <f>IF('TENAGA KERJA'!A188=0,"",'TENAGA KERJA'!A188)</f>
        <v/>
      </c>
      <c r="B189" s="24" t="str">
        <f>IF('TENAGA KERJA'!B188=0,"",'TENAGA KERJA'!B188)</f>
        <v/>
      </c>
      <c r="C189" s="43">
        <f>IF('TENAGA KERJA'!J188="Tidak",0,('TENAGA KERJA'!K188+'TENAGA KERJA'!L188))</f>
        <v>0</v>
      </c>
      <c r="D189" s="43">
        <f>IF(C189=0,0,IF(C189&lt;SETTING!$C$3,(SETTING!$C$3*SETTING!$C$5),IF(C189&gt;SETTING!$C$4,(SETTING!$C$4*SETTING!$C$5),(C189*SETTING!$C$5))))</f>
        <v>0</v>
      </c>
      <c r="E189" s="43">
        <f>IF(C189=0,0,IF(C189&lt;SETTING!$C$3,(SETTING!$C$3*SETTING!$C$6),IF(C189&gt;SETTING!$C$4,(SETTING!$C$4*SETTING!$C$6),(C189*SETTING!$C$6))))</f>
        <v>0</v>
      </c>
      <c r="F189" s="44">
        <f t="shared" si="4"/>
        <v>0</v>
      </c>
    </row>
    <row r="190" spans="1:8">
      <c r="A190" s="23" t="str">
        <f>IF('TENAGA KERJA'!A189=0,"",'TENAGA KERJA'!A189)</f>
        <v/>
      </c>
      <c r="B190" s="24" t="str">
        <f>IF('TENAGA KERJA'!B189=0,"",'TENAGA KERJA'!B189)</f>
        <v/>
      </c>
      <c r="C190" s="43">
        <f>IF('TENAGA KERJA'!J189="Tidak",0,('TENAGA KERJA'!K189+'TENAGA KERJA'!L189))</f>
        <v>0</v>
      </c>
      <c r="D190" s="43">
        <f>IF(C190=0,0,IF(C190&lt;SETTING!$C$3,(SETTING!$C$3*SETTING!$C$5),IF(C190&gt;SETTING!$C$4,(SETTING!$C$4*SETTING!$C$5),(C190*SETTING!$C$5))))</f>
        <v>0</v>
      </c>
      <c r="E190" s="43">
        <f>IF(C190=0,0,IF(C190&lt;SETTING!$C$3,(SETTING!$C$3*SETTING!$C$6),IF(C190&gt;SETTING!$C$4,(SETTING!$C$4*SETTING!$C$6),(C190*SETTING!$C$6))))</f>
        <v>0</v>
      </c>
      <c r="F190" s="44">
        <f t="shared" si="4"/>
        <v>0</v>
      </c>
    </row>
    <row r="191" spans="1:8">
      <c r="A191" s="23" t="str">
        <f>IF('TENAGA KERJA'!A190=0,"",'TENAGA KERJA'!A190)</f>
        <v/>
      </c>
      <c r="B191" s="24" t="str">
        <f>IF('TENAGA KERJA'!B190=0,"",'TENAGA KERJA'!B190)</f>
        <v/>
      </c>
      <c r="C191" s="43">
        <f>IF('TENAGA KERJA'!J190="Tidak",0,('TENAGA KERJA'!K190+'TENAGA KERJA'!L190))</f>
        <v>0</v>
      </c>
      <c r="D191" s="43">
        <f>IF(C191=0,0,IF(C191&lt;SETTING!$C$3,(SETTING!$C$3*SETTING!$C$5),IF(C191&gt;SETTING!$C$4,(SETTING!$C$4*SETTING!$C$5),(C191*SETTING!$C$5))))</f>
        <v>0</v>
      </c>
      <c r="E191" s="43">
        <f>IF(C191=0,0,IF(C191&lt;SETTING!$C$3,(SETTING!$C$3*SETTING!$C$6),IF(C191&gt;SETTING!$C$4,(SETTING!$C$4*SETTING!$C$6),(C191*SETTING!$C$6))))</f>
        <v>0</v>
      </c>
      <c r="F191" s="44">
        <f t="shared" si="4"/>
        <v>0</v>
      </c>
    </row>
    <row r="192" spans="1:8">
      <c r="A192" s="23" t="str">
        <f>IF('TENAGA KERJA'!A191=0,"",'TENAGA KERJA'!A191)</f>
        <v/>
      </c>
      <c r="B192" s="24" t="str">
        <f>IF('TENAGA KERJA'!B191=0,"",'TENAGA KERJA'!B191)</f>
        <v/>
      </c>
      <c r="C192" s="43">
        <f>IF('TENAGA KERJA'!J191="Tidak",0,('TENAGA KERJA'!K191+'TENAGA KERJA'!L191))</f>
        <v>0</v>
      </c>
      <c r="D192" s="43">
        <f>IF(C192=0,0,IF(C192&lt;SETTING!$C$3,(SETTING!$C$3*SETTING!$C$5),IF(C192&gt;SETTING!$C$4,(SETTING!$C$4*SETTING!$C$5),(C192*SETTING!$C$5))))</f>
        <v>0</v>
      </c>
      <c r="E192" s="43">
        <f>IF(C192=0,0,IF(C192&lt;SETTING!$C$3,(SETTING!$C$3*SETTING!$C$6),IF(C192&gt;SETTING!$C$4,(SETTING!$C$4*SETTING!$C$6),(C192*SETTING!$C$6))))</f>
        <v>0</v>
      </c>
      <c r="F192" s="44">
        <f t="shared" si="4"/>
        <v>0</v>
      </c>
    </row>
    <row r="193" spans="1:6">
      <c r="A193" s="23" t="str">
        <f>IF('TENAGA KERJA'!A192=0,"",'TENAGA KERJA'!A192)</f>
        <v/>
      </c>
      <c r="B193" s="24" t="str">
        <f>IF('TENAGA KERJA'!B192=0,"",'TENAGA KERJA'!B192)</f>
        <v/>
      </c>
      <c r="C193" s="43">
        <f>IF('TENAGA KERJA'!J192="Tidak",0,('TENAGA KERJA'!K192+'TENAGA KERJA'!L192))</f>
        <v>0</v>
      </c>
      <c r="D193" s="43">
        <f>IF(C193=0,0,IF(C193&lt;SETTING!$C$3,(SETTING!$C$3*SETTING!$C$5),IF(C193&gt;SETTING!$C$4,(SETTING!$C$4*SETTING!$C$5),(C193*SETTING!$C$5))))</f>
        <v>0</v>
      </c>
      <c r="E193" s="43">
        <f>IF(C193=0,0,IF(C193&lt;SETTING!$C$3,(SETTING!$C$3*SETTING!$C$6),IF(C193&gt;SETTING!$C$4,(SETTING!$C$4*SETTING!$C$6),(C193*SETTING!$C$6))))</f>
        <v>0</v>
      </c>
      <c r="F193" s="44">
        <f t="shared" si="4"/>
        <v>0</v>
      </c>
    </row>
    <row r="194" spans="1:6">
      <c r="A194" s="23" t="str">
        <f>IF('TENAGA KERJA'!A193=0,"",'TENAGA KERJA'!A193)</f>
        <v/>
      </c>
      <c r="B194" s="24" t="str">
        <f>IF('TENAGA KERJA'!B193=0,"",'TENAGA KERJA'!B193)</f>
        <v/>
      </c>
      <c r="C194" s="43">
        <f>IF('TENAGA KERJA'!J193="Tidak",0,('TENAGA KERJA'!K193+'TENAGA KERJA'!L193))</f>
        <v>0</v>
      </c>
      <c r="D194" s="43">
        <f>IF(C194=0,0,IF(C194&lt;SETTING!$C$3,(SETTING!$C$3*SETTING!$C$5),IF(C194&gt;SETTING!$C$4,(SETTING!$C$4*SETTING!$C$5),(C194*SETTING!$C$5))))</f>
        <v>0</v>
      </c>
      <c r="E194" s="43">
        <f>IF(C194=0,0,IF(C194&lt;SETTING!$C$3,(SETTING!$C$3*SETTING!$C$6),IF(C194&gt;SETTING!$C$4,(SETTING!$C$4*SETTING!$C$6),(C194*SETTING!$C$6))))</f>
        <v>0</v>
      </c>
      <c r="F194" s="44">
        <f t="shared" si="4"/>
        <v>0</v>
      </c>
    </row>
    <row r="195" spans="1:6">
      <c r="A195" s="23" t="str">
        <f>IF('TENAGA KERJA'!A194=0,"",'TENAGA KERJA'!A194)</f>
        <v/>
      </c>
      <c r="B195" s="24" t="str">
        <f>IF('TENAGA KERJA'!B194=0,"",'TENAGA KERJA'!B194)</f>
        <v/>
      </c>
      <c r="C195" s="43">
        <f>IF('TENAGA KERJA'!J194="Tidak",0,('TENAGA KERJA'!K194+'TENAGA KERJA'!L194))</f>
        <v>0</v>
      </c>
      <c r="D195" s="43">
        <f>IF(C195=0,0,IF(C195&lt;SETTING!$C$3,(SETTING!$C$3*SETTING!$C$5),IF(C195&gt;SETTING!$C$4,(SETTING!$C$4*SETTING!$C$5),(C195*SETTING!$C$5))))</f>
        <v>0</v>
      </c>
      <c r="E195" s="43">
        <f>IF(C195=0,0,IF(C195&lt;SETTING!$C$3,(SETTING!$C$3*SETTING!$C$6),IF(C195&gt;SETTING!$C$4,(SETTING!$C$4*SETTING!$C$6),(C195*SETTING!$C$6))))</f>
        <v>0</v>
      </c>
      <c r="F195" s="44">
        <f t="shared" si="4"/>
        <v>0</v>
      </c>
    </row>
    <row r="196" spans="1:6">
      <c r="A196" s="23" t="str">
        <f>IF('TENAGA KERJA'!A195=0,"",'TENAGA KERJA'!A195)</f>
        <v/>
      </c>
      <c r="B196" s="24" t="str">
        <f>IF('TENAGA KERJA'!B195=0,"",'TENAGA KERJA'!B195)</f>
        <v/>
      </c>
      <c r="C196" s="43">
        <f>IF('TENAGA KERJA'!J195="Tidak",0,('TENAGA KERJA'!K195+'TENAGA KERJA'!L195))</f>
        <v>0</v>
      </c>
      <c r="D196" s="43">
        <f>IF(C196=0,0,IF(C196&lt;SETTING!$C$3,(SETTING!$C$3*SETTING!$C$5),IF(C196&gt;SETTING!$C$4,(SETTING!$C$4*SETTING!$C$5),(C196*SETTING!$C$5))))</f>
        <v>0</v>
      </c>
      <c r="E196" s="43">
        <f>IF(C196=0,0,IF(C196&lt;SETTING!$C$3,(SETTING!$C$3*SETTING!$C$6),IF(C196&gt;SETTING!$C$4,(SETTING!$C$4*SETTING!$C$6),(C196*SETTING!$C$6))))</f>
        <v>0</v>
      </c>
      <c r="F196" s="44">
        <f t="shared" ref="F196:F211" si="5">D196+E196</f>
        <v>0</v>
      </c>
    </row>
    <row r="197" spans="1:6">
      <c r="A197" s="23" t="str">
        <f>IF('TENAGA KERJA'!A196=0,"",'TENAGA KERJA'!A196)</f>
        <v/>
      </c>
      <c r="B197" s="24" t="str">
        <f>IF('TENAGA KERJA'!B196=0,"",'TENAGA KERJA'!B196)</f>
        <v/>
      </c>
      <c r="C197" s="43">
        <f>IF('TENAGA KERJA'!J196="Tidak",0,('TENAGA KERJA'!K196+'TENAGA KERJA'!L196))</f>
        <v>0</v>
      </c>
      <c r="D197" s="43">
        <f>IF(C197=0,0,IF(C197&lt;SETTING!$C$3,(SETTING!$C$3*SETTING!$C$5),IF(C197&gt;SETTING!$C$4,(SETTING!$C$4*SETTING!$C$5),(C197*SETTING!$C$5))))</f>
        <v>0</v>
      </c>
      <c r="E197" s="43">
        <f>IF(C197=0,0,IF(C197&lt;SETTING!$C$3,(SETTING!$C$3*SETTING!$C$6),IF(C197&gt;SETTING!$C$4,(SETTING!$C$4*SETTING!$C$6),(C197*SETTING!$C$6))))</f>
        <v>0</v>
      </c>
      <c r="F197" s="44">
        <f t="shared" si="5"/>
        <v>0</v>
      </c>
    </row>
    <row r="198" spans="1:6">
      <c r="A198" s="23" t="str">
        <f>IF('TENAGA KERJA'!A197=0,"",'TENAGA KERJA'!A197)</f>
        <v/>
      </c>
      <c r="B198" s="24" t="str">
        <f>IF('TENAGA KERJA'!B197=0,"",'TENAGA KERJA'!B197)</f>
        <v/>
      </c>
      <c r="C198" s="43">
        <f>IF('TENAGA KERJA'!J197="Tidak",0,('TENAGA KERJA'!K197+'TENAGA KERJA'!L197))</f>
        <v>0</v>
      </c>
      <c r="D198" s="43">
        <f>IF(C198=0,0,IF(C198&lt;SETTING!$C$3,(SETTING!$C$3*SETTING!$C$5),IF(C198&gt;SETTING!$C$4,(SETTING!$C$4*SETTING!$C$5),(C198*SETTING!$C$5))))</f>
        <v>0</v>
      </c>
      <c r="E198" s="43">
        <f>IF(C198=0,0,IF(C198&lt;SETTING!$C$3,(SETTING!$C$3*SETTING!$C$6),IF(C198&gt;SETTING!$C$4,(SETTING!$C$4*SETTING!$C$6),(C198*SETTING!$C$6))))</f>
        <v>0</v>
      </c>
      <c r="F198" s="44">
        <f t="shared" si="5"/>
        <v>0</v>
      </c>
    </row>
    <row r="199" spans="1:6">
      <c r="A199" s="23" t="str">
        <f>IF('TENAGA KERJA'!A198=0,"",'TENAGA KERJA'!A198)</f>
        <v/>
      </c>
      <c r="B199" s="24" t="str">
        <f>IF('TENAGA KERJA'!B198=0,"",'TENAGA KERJA'!B198)</f>
        <v/>
      </c>
      <c r="C199" s="43">
        <f>IF('TENAGA KERJA'!J198="Tidak",0,('TENAGA KERJA'!K198+'TENAGA KERJA'!L198))</f>
        <v>0</v>
      </c>
      <c r="D199" s="43">
        <f>IF(C199=0,0,IF(C199&lt;SETTING!$C$3,(SETTING!$C$3*SETTING!$C$5),IF(C199&gt;SETTING!$C$4,(SETTING!$C$4*SETTING!$C$5),(C199*SETTING!$C$5))))</f>
        <v>0</v>
      </c>
      <c r="E199" s="43">
        <f>IF(C199=0,0,IF(C199&lt;SETTING!$C$3,(SETTING!$C$3*SETTING!$C$6),IF(C199&gt;SETTING!$C$4,(SETTING!$C$4*SETTING!$C$6),(C199*SETTING!$C$6))))</f>
        <v>0</v>
      </c>
      <c r="F199" s="44">
        <f t="shared" si="5"/>
        <v>0</v>
      </c>
    </row>
    <row r="200" spans="1:6">
      <c r="A200" s="23" t="str">
        <f>IF('TENAGA KERJA'!A199=0,"",'TENAGA KERJA'!A199)</f>
        <v/>
      </c>
      <c r="B200" s="24" t="str">
        <f>IF('TENAGA KERJA'!B199=0,"",'TENAGA KERJA'!B199)</f>
        <v/>
      </c>
      <c r="C200" s="43">
        <f>IF('TENAGA KERJA'!J199="Tidak",0,('TENAGA KERJA'!K199+'TENAGA KERJA'!L199))</f>
        <v>0</v>
      </c>
      <c r="D200" s="43">
        <f>IF(C200=0,0,IF(C200&lt;SETTING!$C$3,(SETTING!$C$3*SETTING!$C$5),IF(C200&gt;SETTING!$C$4,(SETTING!$C$4*SETTING!$C$5),(C200*SETTING!$C$5))))</f>
        <v>0</v>
      </c>
      <c r="E200" s="43">
        <f>IF(C200=0,0,IF(C200&lt;SETTING!$C$3,(SETTING!$C$3*SETTING!$C$6),IF(C200&gt;SETTING!$C$4,(SETTING!$C$4*SETTING!$C$6),(C200*SETTING!$C$6))))</f>
        <v>0</v>
      </c>
      <c r="F200" s="44">
        <f t="shared" si="5"/>
        <v>0</v>
      </c>
    </row>
    <row r="201" spans="1:6">
      <c r="A201" s="23" t="str">
        <f>IF('TENAGA KERJA'!A200=0,"",'TENAGA KERJA'!A200)</f>
        <v/>
      </c>
      <c r="B201" s="24" t="str">
        <f>IF('TENAGA KERJA'!B200=0,"",'TENAGA KERJA'!B200)</f>
        <v/>
      </c>
      <c r="C201" s="43">
        <f>IF('TENAGA KERJA'!J200="Tidak",0,('TENAGA KERJA'!K200+'TENAGA KERJA'!L200))</f>
        <v>0</v>
      </c>
      <c r="D201" s="43">
        <f>IF(C201=0,0,IF(C201&lt;SETTING!$C$3,(SETTING!$C$3*SETTING!$C$5),IF(C201&gt;SETTING!$C$4,(SETTING!$C$4*SETTING!$C$5),(C201*SETTING!$C$5))))</f>
        <v>0</v>
      </c>
      <c r="E201" s="43">
        <f>IF(C201=0,0,IF(C201&lt;SETTING!$C$3,(SETTING!$C$3*SETTING!$C$6),IF(C201&gt;SETTING!$C$4,(SETTING!$C$4*SETTING!$C$6),(C201*SETTING!$C$6))))</f>
        <v>0</v>
      </c>
      <c r="F201" s="44">
        <f t="shared" si="5"/>
        <v>0</v>
      </c>
    </row>
    <row r="202" spans="1:6">
      <c r="A202" s="23" t="str">
        <f>IF('TENAGA KERJA'!A201=0,"",'TENAGA KERJA'!A201)</f>
        <v/>
      </c>
      <c r="B202" s="24" t="str">
        <f>IF('TENAGA KERJA'!B201=0,"",'TENAGA KERJA'!B201)</f>
        <v/>
      </c>
      <c r="C202" s="43">
        <f>IF('TENAGA KERJA'!J201="Tidak",0,('TENAGA KERJA'!K201+'TENAGA KERJA'!L201))</f>
        <v>0</v>
      </c>
      <c r="D202" s="43">
        <f>IF(C202=0,0,IF(C202&lt;SETTING!$C$3,(SETTING!$C$3*SETTING!$C$5),IF(C202&gt;SETTING!$C$4,(SETTING!$C$4*SETTING!$C$5),(C202*SETTING!$C$5))))</f>
        <v>0</v>
      </c>
      <c r="E202" s="43">
        <f>IF(C202=0,0,IF(C202&lt;SETTING!$C$3,(SETTING!$C$3*SETTING!$C$6),IF(C202&gt;SETTING!$C$4,(SETTING!$C$4*SETTING!$C$6),(C202*SETTING!$C$6))))</f>
        <v>0</v>
      </c>
      <c r="F202" s="44">
        <f t="shared" si="5"/>
        <v>0</v>
      </c>
    </row>
    <row r="203" spans="1:6">
      <c r="A203" s="23" t="str">
        <f>IF('TENAGA KERJA'!A202=0,"",'TENAGA KERJA'!A202)</f>
        <v/>
      </c>
      <c r="B203" s="24" t="str">
        <f>IF('TENAGA KERJA'!B202=0,"",'TENAGA KERJA'!B202)</f>
        <v/>
      </c>
      <c r="C203" s="43">
        <f>IF('TENAGA KERJA'!J202="Tidak",0,('TENAGA KERJA'!K202+'TENAGA KERJA'!L202))</f>
        <v>0</v>
      </c>
      <c r="D203" s="43">
        <f>IF(C203=0,0,IF(C203&lt;SETTING!$C$3,(SETTING!$C$3*SETTING!$C$5),IF(C203&gt;SETTING!$C$4,(SETTING!$C$4*SETTING!$C$5),(C203*SETTING!$C$5))))</f>
        <v>0</v>
      </c>
      <c r="E203" s="43">
        <f>IF(C203=0,0,IF(C203&lt;SETTING!$C$3,(SETTING!$C$3*SETTING!$C$6),IF(C203&gt;SETTING!$C$4,(SETTING!$C$4*SETTING!$C$6),(C203*SETTING!$C$6))))</f>
        <v>0</v>
      </c>
      <c r="F203" s="44">
        <f t="shared" si="5"/>
        <v>0</v>
      </c>
    </row>
    <row r="204" spans="1:6">
      <c r="A204" s="23" t="str">
        <f>IF('TENAGA KERJA'!A203=0,"",'TENAGA KERJA'!A203)</f>
        <v/>
      </c>
      <c r="B204" s="24" t="str">
        <f>IF('TENAGA KERJA'!B203=0,"",'TENAGA KERJA'!B203)</f>
        <v/>
      </c>
      <c r="C204" s="43">
        <f>IF('TENAGA KERJA'!J203="Tidak",0,('TENAGA KERJA'!K203+'TENAGA KERJA'!L203))</f>
        <v>0</v>
      </c>
      <c r="D204" s="43">
        <f>IF(C204=0,0,IF(C204&lt;SETTING!$C$3,(SETTING!$C$3*SETTING!$C$5),IF(C204&gt;SETTING!$C$4,(SETTING!$C$4*SETTING!$C$5),(C204*SETTING!$C$5))))</f>
        <v>0</v>
      </c>
      <c r="E204" s="43">
        <f>IF(C204=0,0,IF(C204&lt;SETTING!$C$3,(SETTING!$C$3*SETTING!$C$6),IF(C204&gt;SETTING!$C$4,(SETTING!$C$4*SETTING!$C$6),(C204*SETTING!$C$6))))</f>
        <v>0</v>
      </c>
      <c r="F204" s="44">
        <f t="shared" si="5"/>
        <v>0</v>
      </c>
    </row>
    <row r="205" spans="1:6">
      <c r="A205" s="23" t="str">
        <f>IF('TENAGA KERJA'!A204=0,"",'TENAGA KERJA'!A204)</f>
        <v/>
      </c>
      <c r="B205" s="24" t="str">
        <f>IF('TENAGA KERJA'!B204=0,"",'TENAGA KERJA'!B204)</f>
        <v/>
      </c>
      <c r="C205" s="43">
        <f>IF('TENAGA KERJA'!J204="Tidak",0,('TENAGA KERJA'!K204+'TENAGA KERJA'!L204))</f>
        <v>0</v>
      </c>
      <c r="D205" s="43">
        <f>IF(C205=0,0,IF(C205&lt;SETTING!$C$3,(SETTING!$C$3*SETTING!$C$5),IF(C205&gt;SETTING!$C$4,(SETTING!$C$4*SETTING!$C$5),(C205*SETTING!$C$5))))</f>
        <v>0</v>
      </c>
      <c r="E205" s="43">
        <f>IF(C205=0,0,IF(C205&lt;SETTING!$C$3,(SETTING!$C$3*SETTING!$C$6),IF(C205&gt;SETTING!$C$4,(SETTING!$C$4*SETTING!$C$6),(C205*SETTING!$C$6))))</f>
        <v>0</v>
      </c>
      <c r="F205" s="44">
        <f t="shared" si="5"/>
        <v>0</v>
      </c>
    </row>
    <row r="206" spans="1:6">
      <c r="A206" s="23" t="str">
        <f>IF('TENAGA KERJA'!A205=0,"",'TENAGA KERJA'!A205)</f>
        <v/>
      </c>
      <c r="B206" s="24" t="str">
        <f>IF('TENAGA KERJA'!B205=0,"",'TENAGA KERJA'!B205)</f>
        <v/>
      </c>
      <c r="C206" s="43">
        <f>IF('TENAGA KERJA'!J205="Tidak",0,('TENAGA KERJA'!K205+'TENAGA KERJA'!L205))</f>
        <v>0</v>
      </c>
      <c r="D206" s="43">
        <f>IF(C206=0,0,IF(C206&lt;SETTING!$C$3,(SETTING!$C$3*SETTING!$C$5),IF(C206&gt;SETTING!$C$4,(SETTING!$C$4*SETTING!$C$5),(C206*SETTING!$C$5))))</f>
        <v>0</v>
      </c>
      <c r="E206" s="43">
        <f>IF(C206=0,0,IF(C206&lt;SETTING!$C$3,(SETTING!$C$3*SETTING!$C$6),IF(C206&gt;SETTING!$C$4,(SETTING!$C$4*SETTING!$C$6),(C206*SETTING!$C$6))))</f>
        <v>0</v>
      </c>
      <c r="F206" s="44">
        <f t="shared" si="5"/>
        <v>0</v>
      </c>
    </row>
    <row r="207" spans="1:6">
      <c r="A207" s="23" t="str">
        <f>IF('TENAGA KERJA'!A206=0,"",'TENAGA KERJA'!A206)</f>
        <v/>
      </c>
      <c r="B207" s="24" t="str">
        <f>IF('TENAGA KERJA'!B206=0,"",'TENAGA KERJA'!B206)</f>
        <v/>
      </c>
      <c r="C207" s="43">
        <f>IF('TENAGA KERJA'!J206="Tidak",0,('TENAGA KERJA'!K206+'TENAGA KERJA'!L206))</f>
        <v>0</v>
      </c>
      <c r="D207" s="43">
        <f>IF(C207=0,0,IF(C207&lt;SETTING!$C$3,(SETTING!$C$3*SETTING!$C$5),IF(C207&gt;SETTING!$C$4,(SETTING!$C$4*SETTING!$C$5),(C207*SETTING!$C$5))))</f>
        <v>0</v>
      </c>
      <c r="E207" s="43">
        <f>IF(C207=0,0,IF(C207&lt;SETTING!$C$3,(SETTING!$C$3*SETTING!$C$6),IF(C207&gt;SETTING!$C$4,(SETTING!$C$4*SETTING!$C$6),(C207*SETTING!$C$6))))</f>
        <v>0</v>
      </c>
      <c r="F207" s="44">
        <f t="shared" si="5"/>
        <v>0</v>
      </c>
    </row>
    <row r="208" spans="1:6">
      <c r="A208" s="23" t="str">
        <f>IF('TENAGA KERJA'!A207=0,"",'TENAGA KERJA'!A207)</f>
        <v/>
      </c>
      <c r="B208" s="24" t="str">
        <f>IF('TENAGA KERJA'!B207=0,"",'TENAGA KERJA'!B207)</f>
        <v/>
      </c>
      <c r="C208" s="43">
        <f>IF('TENAGA KERJA'!J207="Tidak",0,('TENAGA KERJA'!K207+'TENAGA KERJA'!L207))</f>
        <v>0</v>
      </c>
      <c r="D208" s="43">
        <f>IF(C208=0,0,IF(C208&lt;SETTING!$C$3,(SETTING!$C$3*SETTING!$C$5),IF(C208&gt;SETTING!$C$4,(SETTING!$C$4*SETTING!$C$5),(C208*SETTING!$C$5))))</f>
        <v>0</v>
      </c>
      <c r="E208" s="43">
        <f>IF(C208=0,0,IF(C208&lt;SETTING!$C$3,(SETTING!$C$3*SETTING!$C$6),IF(C208&gt;SETTING!$C$4,(SETTING!$C$4*SETTING!$C$6),(C208*SETTING!$C$6))))</f>
        <v>0</v>
      </c>
      <c r="F208" s="44">
        <f t="shared" si="5"/>
        <v>0</v>
      </c>
    </row>
    <row r="209" spans="1:6">
      <c r="A209" s="23" t="str">
        <f>IF('TENAGA KERJA'!A208=0,"",'TENAGA KERJA'!A208)</f>
        <v/>
      </c>
      <c r="B209" s="24" t="str">
        <f>IF('TENAGA KERJA'!B208=0,"",'TENAGA KERJA'!B208)</f>
        <v/>
      </c>
      <c r="C209" s="43">
        <f>IF('TENAGA KERJA'!J208="Tidak",0,('TENAGA KERJA'!K208+'TENAGA KERJA'!L208))</f>
        <v>0</v>
      </c>
      <c r="D209" s="43">
        <f>IF(C209=0,0,IF(C209&lt;SETTING!$C$3,(SETTING!$C$3*SETTING!$C$5),IF(C209&gt;SETTING!$C$4,(SETTING!$C$4*SETTING!$C$5),(C209*SETTING!$C$5))))</f>
        <v>0</v>
      </c>
      <c r="E209" s="43">
        <f>IF(C209=0,0,IF(C209&lt;SETTING!$C$3,(SETTING!$C$3*SETTING!$C$6),IF(C209&gt;SETTING!$C$4,(SETTING!$C$4*SETTING!$C$6),(C209*SETTING!$C$6))))</f>
        <v>0</v>
      </c>
      <c r="F209" s="44">
        <f t="shared" si="5"/>
        <v>0</v>
      </c>
    </row>
    <row r="210" spans="1:6">
      <c r="A210" s="23" t="str">
        <f>IF('TENAGA KERJA'!A209=0,"",'TENAGA KERJA'!A209)</f>
        <v/>
      </c>
      <c r="B210" s="24" t="str">
        <f>IF('TENAGA KERJA'!B209=0,"",'TENAGA KERJA'!B209)</f>
        <v/>
      </c>
      <c r="C210" s="43">
        <f>IF('TENAGA KERJA'!J209="Tidak",0,('TENAGA KERJA'!K209+'TENAGA KERJA'!L209))</f>
        <v>0</v>
      </c>
      <c r="D210" s="43">
        <f>IF(C210=0,0,IF(C210&lt;SETTING!$C$3,(SETTING!$C$3*SETTING!$C$5),IF(C210&gt;SETTING!$C$4,(SETTING!$C$4*SETTING!$C$5),(C210*SETTING!$C$5))))</f>
        <v>0</v>
      </c>
      <c r="E210" s="43">
        <f>IF(C210=0,0,IF(C210&lt;SETTING!$C$3,(SETTING!$C$3*SETTING!$C$6),IF(C210&gt;SETTING!$C$4,(SETTING!$C$4*SETTING!$C$6),(C210*SETTING!$C$6))))</f>
        <v>0</v>
      </c>
      <c r="F210" s="44">
        <f t="shared" si="5"/>
        <v>0</v>
      </c>
    </row>
    <row r="211" spans="1:6">
      <c r="A211" s="23" t="str">
        <f>IF('TENAGA KERJA'!A210=0,"",'TENAGA KERJA'!A210)</f>
        <v/>
      </c>
      <c r="B211" s="24" t="str">
        <f>IF('TENAGA KERJA'!B221=0,"",'TENAGA KERJA'!B221)</f>
        <v/>
      </c>
      <c r="C211" s="43">
        <f>IF('TENAGA KERJA'!J221="Tidak",0,('TENAGA KERJA'!K221+'TENAGA KERJA'!L221))</f>
        <v>0</v>
      </c>
      <c r="D211" s="43">
        <f>IF(C211=0,0,IF(C211&lt;SETTING!$C$3,(SETTING!$C$3*SETTING!$C$5),IF(C211&gt;SETTING!$C$4,(SETTING!$C$4*SETTING!$C$5),(C211*SETTING!$C$5))))</f>
        <v>0</v>
      </c>
      <c r="E211" s="43">
        <f>IF(C211=0,0,IF(C211&lt;SETTING!$C$3,(SETTING!$C$3*SETTING!$C$6),IF(C211&gt;SETTING!$C$4,(SETTING!$C$4*SETTING!$C$6),(C211*SETTING!$C$6))))</f>
        <v>0</v>
      </c>
      <c r="F211" s="44">
        <f t="shared" si="5"/>
        <v>0</v>
      </c>
    </row>
    <row r="212" spans="1:6">
      <c r="A212" s="29" t="str">
        <f>IF('TENAGA KERJA'!A210=0,"",'TENAGA KERJA'!A210)</f>
        <v/>
      </c>
      <c r="B212" s="136" t="str">
        <f>IF('TENAGA KERJA'!B210=0,"",'TENAGA KERJA'!B210)</f>
        <v/>
      </c>
      <c r="C212" s="165">
        <f>SUM(C3:C211)</f>
        <v>110897495</v>
      </c>
      <c r="D212" s="165">
        <f t="shared" ref="D212:F212" si="6">SUM(D3:D211)</f>
        <v>4918297.4400000023</v>
      </c>
      <c r="E212" s="165">
        <f t="shared" si="6"/>
        <v>1229574.3600000006</v>
      </c>
      <c r="F212" s="165">
        <f t="shared" si="6"/>
        <v>6147871.799999998</v>
      </c>
    </row>
    <row r="213" spans="1:6">
      <c r="A213" s="25"/>
      <c r="C213" s="26"/>
      <c r="D213" s="26"/>
      <c r="E213" s="26"/>
      <c r="F213" s="26"/>
    </row>
    <row r="214" spans="1:6">
      <c r="A214" s="25"/>
      <c r="C214" s="26"/>
      <c r="D214" s="26">
        <f>SUM(D188:D210)</f>
        <v>0</v>
      </c>
      <c r="E214" s="26">
        <f>SUM(E188:E210)</f>
        <v>0</v>
      </c>
      <c r="F214" s="26"/>
    </row>
    <row r="215" spans="1:6">
      <c r="A215" s="25"/>
      <c r="C215" s="26"/>
      <c r="D215" s="152"/>
      <c r="E215" s="152"/>
      <c r="F215" s="152"/>
    </row>
    <row r="216" spans="1:6">
      <c r="A216" s="25"/>
      <c r="C216" s="26"/>
      <c r="D216" s="26"/>
      <c r="E216" s="26"/>
      <c r="F216" s="26"/>
    </row>
    <row r="217" spans="1:6">
      <c r="A217" s="25"/>
      <c r="C217" s="26"/>
      <c r="D217" s="26"/>
      <c r="E217" s="26"/>
      <c r="F217" s="26"/>
    </row>
    <row r="218" spans="1:6">
      <c r="A218" s="25"/>
      <c r="C218" s="26"/>
      <c r="D218" s="26"/>
      <c r="E218" s="26"/>
      <c r="F218" s="26"/>
    </row>
    <row r="219" spans="1:6">
      <c r="A219" s="25"/>
      <c r="C219" s="26"/>
      <c r="D219" s="26"/>
      <c r="E219" s="26"/>
      <c r="F219" s="26"/>
    </row>
    <row r="220" spans="1:6">
      <c r="A220" s="25"/>
      <c r="C220" s="26"/>
      <c r="D220" s="26"/>
      <c r="E220" s="26"/>
      <c r="F220" s="26"/>
    </row>
    <row r="221" spans="1:6">
      <c r="A221" s="25"/>
      <c r="C221" s="26"/>
      <c r="D221" s="26"/>
      <c r="E221" s="26"/>
      <c r="F221" s="26"/>
    </row>
    <row r="222" spans="1:6">
      <c r="A222" s="25"/>
      <c r="C222" s="26"/>
      <c r="D222" s="26"/>
      <c r="E222" s="26"/>
      <c r="F222" s="26"/>
    </row>
    <row r="223" spans="1:6">
      <c r="A223" s="25"/>
      <c r="C223" s="26"/>
      <c r="D223" s="26"/>
      <c r="E223" s="26"/>
      <c r="F223" s="26"/>
    </row>
    <row r="224" spans="1:6">
      <c r="A224" s="25"/>
      <c r="C224" s="26"/>
      <c r="D224" s="26"/>
      <c r="E224" s="26"/>
      <c r="F224" s="26"/>
    </row>
    <row r="225" spans="1:6">
      <c r="A225" s="25"/>
      <c r="C225" s="26"/>
      <c r="D225" s="26"/>
      <c r="E225" s="26"/>
      <c r="F225" s="26"/>
    </row>
    <row r="226" spans="1:6">
      <c r="A226" s="25"/>
      <c r="C226" s="26"/>
      <c r="D226" s="26"/>
      <c r="E226" s="26"/>
      <c r="F226" s="26"/>
    </row>
    <row r="227" spans="1:6">
      <c r="A227" s="25"/>
      <c r="C227" s="26"/>
      <c r="D227" s="26"/>
      <c r="E227" s="26"/>
      <c r="F227" s="26"/>
    </row>
    <row r="228" spans="1:6">
      <c r="A228" s="25"/>
      <c r="C228" s="26"/>
      <c r="D228" s="26"/>
      <c r="E228" s="26"/>
      <c r="F228" s="26"/>
    </row>
    <row r="229" spans="1:6">
      <c r="A229" s="25"/>
      <c r="C229" s="26"/>
      <c r="D229" s="26"/>
      <c r="E229" s="26"/>
      <c r="F229" s="26"/>
    </row>
    <row r="230" spans="1:6">
      <c r="A230" s="25"/>
      <c r="C230" s="26"/>
      <c r="D230" s="26"/>
      <c r="E230" s="26"/>
      <c r="F230" s="26"/>
    </row>
    <row r="231" spans="1:6">
      <c r="A231" s="25"/>
      <c r="C231" s="26"/>
      <c r="D231" s="26"/>
      <c r="E231" s="26"/>
      <c r="F231" s="26"/>
    </row>
    <row r="232" spans="1:6">
      <c r="A232" s="25"/>
      <c r="C232" s="26"/>
      <c r="D232" s="26"/>
      <c r="E232" s="26"/>
      <c r="F232" s="26"/>
    </row>
    <row r="233" spans="1:6">
      <c r="A233" s="25"/>
      <c r="C233" s="26"/>
      <c r="D233" s="26"/>
      <c r="E233" s="26"/>
      <c r="F233" s="26"/>
    </row>
    <row r="234" spans="1:6">
      <c r="A234" s="25"/>
      <c r="C234" s="26"/>
      <c r="D234" s="26"/>
      <c r="E234" s="26"/>
      <c r="F234" s="26"/>
    </row>
    <row r="235" spans="1:6">
      <c r="A235" s="25"/>
      <c r="C235" s="26"/>
      <c r="D235" s="26"/>
      <c r="E235" s="26"/>
      <c r="F235" s="26"/>
    </row>
    <row r="236" spans="1:6">
      <c r="A236" s="25"/>
      <c r="C236" s="26"/>
      <c r="D236" s="26"/>
      <c r="E236" s="26"/>
      <c r="F236" s="26"/>
    </row>
    <row r="237" spans="1:6">
      <c r="A237" s="25"/>
      <c r="C237" s="26"/>
      <c r="D237" s="26"/>
      <c r="E237" s="26"/>
      <c r="F237" s="26"/>
    </row>
    <row r="238" spans="1:6">
      <c r="A238" s="25"/>
      <c r="C238" s="26"/>
      <c r="D238" s="26"/>
      <c r="E238" s="26"/>
      <c r="F238" s="26"/>
    </row>
    <row r="239" spans="1:6">
      <c r="A239" s="25"/>
      <c r="C239" s="26"/>
      <c r="D239" s="26"/>
      <c r="E239" s="26"/>
      <c r="F239" s="26"/>
    </row>
    <row r="240" spans="1:6">
      <c r="A240" s="25"/>
      <c r="C240" s="26"/>
      <c r="D240" s="26"/>
      <c r="E240" s="26"/>
      <c r="F240" s="26"/>
    </row>
    <row r="241" spans="1:6">
      <c r="A241" s="25"/>
      <c r="C241" s="26"/>
      <c r="D241" s="26"/>
      <c r="E241" s="26"/>
      <c r="F241" s="26"/>
    </row>
    <row r="242" spans="1:6">
      <c r="A242" s="25"/>
      <c r="C242" s="26"/>
      <c r="D242" s="26"/>
      <c r="E242" s="26"/>
      <c r="F242" s="26"/>
    </row>
    <row r="243" spans="1:6">
      <c r="A243" s="25"/>
      <c r="C243" s="26"/>
      <c r="D243" s="26"/>
      <c r="E243" s="26"/>
      <c r="F243" s="26"/>
    </row>
    <row r="244" spans="1:6">
      <c r="A244" s="25"/>
      <c r="C244" s="26"/>
      <c r="D244" s="26"/>
      <c r="E244" s="26"/>
      <c r="F244" s="26"/>
    </row>
    <row r="245" spans="1:6">
      <c r="A245" s="25"/>
      <c r="C245" s="26"/>
      <c r="D245" s="26"/>
      <c r="E245" s="26"/>
      <c r="F245" s="26"/>
    </row>
    <row r="246" spans="1:6">
      <c r="A246" s="25"/>
      <c r="C246" s="26"/>
      <c r="D246" s="26"/>
      <c r="E246" s="26"/>
      <c r="F246" s="26"/>
    </row>
    <row r="247" spans="1:6">
      <c r="A247" s="25"/>
      <c r="C247" s="26"/>
      <c r="D247" s="26"/>
      <c r="E247" s="26"/>
      <c r="F247" s="26"/>
    </row>
    <row r="248" spans="1:6">
      <c r="A248" s="25"/>
      <c r="C248" s="26"/>
      <c r="D248" s="26"/>
      <c r="E248" s="26"/>
      <c r="F248" s="26"/>
    </row>
    <row r="249" spans="1:6">
      <c r="A249" s="25"/>
      <c r="C249" s="26"/>
      <c r="D249" s="26"/>
      <c r="E249" s="26"/>
      <c r="F249" s="26"/>
    </row>
    <row r="250" spans="1:6">
      <c r="A250" s="25"/>
      <c r="C250" s="26"/>
      <c r="D250" s="26"/>
      <c r="E250" s="26"/>
      <c r="F250" s="26"/>
    </row>
    <row r="251" spans="1:6">
      <c r="A251" s="25"/>
      <c r="C251" s="26"/>
      <c r="D251" s="26"/>
      <c r="E251" s="26"/>
      <c r="F251" s="26"/>
    </row>
    <row r="252" spans="1:6">
      <c r="A252" s="25"/>
      <c r="C252" s="26"/>
      <c r="D252" s="26"/>
      <c r="E252" s="26"/>
      <c r="F252" s="26"/>
    </row>
    <row r="253" spans="1:6">
      <c r="A253" s="25"/>
      <c r="C253" s="26"/>
      <c r="D253" s="26"/>
      <c r="E253" s="26"/>
      <c r="F253" s="26"/>
    </row>
    <row r="254" spans="1:6">
      <c r="A254" s="25"/>
      <c r="C254" s="26"/>
      <c r="D254" s="26"/>
      <c r="E254" s="26"/>
      <c r="F254" s="26"/>
    </row>
    <row r="255" spans="1:6">
      <c r="A255" s="25"/>
      <c r="C255" s="26"/>
      <c r="D255" s="26"/>
      <c r="E255" s="26"/>
      <c r="F255" s="26"/>
    </row>
    <row r="256" spans="1:6">
      <c r="A256" s="25"/>
      <c r="C256" s="26"/>
      <c r="D256" s="26"/>
      <c r="E256" s="26"/>
      <c r="F256" s="26"/>
    </row>
    <row r="257" spans="1:6">
      <c r="A257" s="25"/>
      <c r="C257" s="26"/>
      <c r="D257" s="26"/>
      <c r="E257" s="26"/>
      <c r="F257" s="26"/>
    </row>
    <row r="258" spans="1:6">
      <c r="A258" s="25"/>
      <c r="C258" s="26"/>
      <c r="D258" s="26"/>
      <c r="E258" s="26"/>
      <c r="F258" s="26"/>
    </row>
    <row r="259" spans="1:6">
      <c r="A259" s="25"/>
      <c r="C259" s="26"/>
      <c r="D259" s="26"/>
      <c r="E259" s="26"/>
      <c r="F259" s="26"/>
    </row>
    <row r="260" spans="1:6">
      <c r="A260" s="25"/>
      <c r="C260" s="26"/>
      <c r="D260" s="26"/>
      <c r="E260" s="26"/>
      <c r="F260" s="26"/>
    </row>
    <row r="261" spans="1:6">
      <c r="A261" s="25"/>
      <c r="C261" s="26"/>
      <c r="D261" s="26"/>
      <c r="E261" s="26"/>
      <c r="F261" s="26"/>
    </row>
    <row r="262" spans="1:6">
      <c r="A262" s="25"/>
      <c r="C262" s="26"/>
      <c r="D262" s="26"/>
      <c r="E262" s="26"/>
      <c r="F262" s="26"/>
    </row>
    <row r="263" spans="1:6">
      <c r="A263" s="25"/>
      <c r="C263" s="26"/>
      <c r="D263" s="26"/>
      <c r="E263" s="26"/>
      <c r="F263" s="26"/>
    </row>
    <row r="264" spans="1:6">
      <c r="A264" s="25"/>
      <c r="C264" s="26"/>
      <c r="D264" s="26"/>
      <c r="E264" s="26"/>
      <c r="F264" s="26"/>
    </row>
    <row r="265" spans="1:6">
      <c r="A265" s="25"/>
      <c r="C265" s="26"/>
      <c r="D265" s="26"/>
      <c r="E265" s="26"/>
      <c r="F265" s="26"/>
    </row>
    <row r="266" spans="1:6">
      <c r="A266" s="25"/>
      <c r="C266" s="26"/>
      <c r="D266" s="26"/>
      <c r="E266" s="26"/>
      <c r="F266" s="26"/>
    </row>
    <row r="267" spans="1:6">
      <c r="A267" s="25"/>
      <c r="C267" s="26"/>
      <c r="D267" s="26"/>
      <c r="E267" s="26"/>
      <c r="F267" s="26"/>
    </row>
    <row r="268" spans="1:6">
      <c r="A268" s="25"/>
      <c r="C268" s="26"/>
      <c r="D268" s="26"/>
      <c r="E268" s="26"/>
      <c r="F268" s="26"/>
    </row>
    <row r="269" spans="1:6">
      <c r="A269" s="25"/>
      <c r="C269" s="26"/>
      <c r="D269" s="26"/>
      <c r="E269" s="26"/>
      <c r="F269" s="26"/>
    </row>
    <row r="270" spans="1:6">
      <c r="A270" s="25"/>
      <c r="C270" s="26"/>
      <c r="D270" s="26"/>
      <c r="E270" s="26"/>
      <c r="F270" s="26"/>
    </row>
    <row r="271" spans="1:6">
      <c r="A271" s="25"/>
      <c r="C271" s="26"/>
      <c r="D271" s="26"/>
      <c r="E271" s="26"/>
      <c r="F271" s="26"/>
    </row>
    <row r="272" spans="1:6">
      <c r="A272" s="25"/>
      <c r="C272" s="26"/>
      <c r="D272" s="26"/>
      <c r="E272" s="26"/>
      <c r="F272" s="26"/>
    </row>
    <row r="273" spans="1:6">
      <c r="A273" s="25"/>
      <c r="C273" s="26"/>
      <c r="D273" s="26"/>
      <c r="E273" s="26"/>
      <c r="F273" s="26"/>
    </row>
    <row r="274" spans="1:6">
      <c r="A274" s="25"/>
      <c r="C274" s="26"/>
      <c r="D274" s="26"/>
      <c r="E274" s="26"/>
      <c r="F274" s="26"/>
    </row>
    <row r="275" spans="1:6">
      <c r="A275" s="25"/>
      <c r="C275" s="26"/>
      <c r="D275" s="26"/>
      <c r="E275" s="26"/>
      <c r="F275" s="26"/>
    </row>
    <row r="276" spans="1:6">
      <c r="A276" s="25"/>
      <c r="C276" s="26"/>
      <c r="D276" s="26"/>
      <c r="E276" s="26"/>
      <c r="F276" s="26"/>
    </row>
    <row r="277" spans="1:6">
      <c r="A277" s="25"/>
      <c r="C277" s="26"/>
      <c r="D277" s="26"/>
      <c r="E277" s="26"/>
      <c r="F277" s="26"/>
    </row>
    <row r="278" spans="1:6">
      <c r="A278" s="25"/>
      <c r="C278" s="26"/>
      <c r="D278" s="26"/>
      <c r="E278" s="26"/>
      <c r="F278" s="26"/>
    </row>
    <row r="279" spans="1:6">
      <c r="A279" s="25"/>
      <c r="C279" s="26"/>
      <c r="D279" s="26"/>
      <c r="E279" s="26"/>
      <c r="F279" s="26"/>
    </row>
    <row r="280" spans="1:6">
      <c r="A280" s="25"/>
      <c r="C280" s="26"/>
      <c r="D280" s="26"/>
      <c r="E280" s="26"/>
      <c r="F280" s="26"/>
    </row>
    <row r="281" spans="1:6">
      <c r="A281" s="25"/>
      <c r="C281" s="26"/>
      <c r="D281" s="26"/>
      <c r="E281" s="26"/>
      <c r="F281" s="26"/>
    </row>
    <row r="282" spans="1:6">
      <c r="A282" s="25"/>
      <c r="C282" s="26"/>
      <c r="D282" s="26"/>
      <c r="E282" s="26"/>
      <c r="F282" s="26"/>
    </row>
    <row r="283" spans="1:6">
      <c r="A283" s="25"/>
      <c r="C283" s="26"/>
      <c r="D283" s="26"/>
      <c r="E283" s="26"/>
      <c r="F283" s="26"/>
    </row>
    <row r="284" spans="1:6">
      <c r="A284" s="25"/>
      <c r="C284" s="26"/>
      <c r="D284" s="26"/>
      <c r="E284" s="26"/>
      <c r="F284" s="26"/>
    </row>
    <row r="285" spans="1:6">
      <c r="A285" s="25"/>
      <c r="C285" s="26"/>
      <c r="D285" s="26"/>
      <c r="E285" s="26"/>
      <c r="F285" s="26"/>
    </row>
    <row r="286" spans="1:6">
      <c r="A286" s="25"/>
      <c r="C286" s="26"/>
      <c r="D286" s="26"/>
      <c r="E286" s="26"/>
      <c r="F286" s="26"/>
    </row>
    <row r="287" spans="1:6">
      <c r="A287" s="25"/>
      <c r="C287" s="26"/>
      <c r="D287" s="26"/>
      <c r="E287" s="26"/>
      <c r="F287" s="26"/>
    </row>
    <row r="288" spans="1:6">
      <c r="A288" s="25"/>
      <c r="C288" s="26"/>
      <c r="D288" s="26"/>
      <c r="E288" s="26"/>
      <c r="F288" s="26"/>
    </row>
    <row r="289" spans="1:6">
      <c r="A289" s="25"/>
      <c r="C289" s="26"/>
      <c r="D289" s="26"/>
      <c r="E289" s="26"/>
      <c r="F289" s="26"/>
    </row>
    <row r="290" spans="1:6">
      <c r="A290" s="25"/>
      <c r="C290" s="26"/>
      <c r="D290" s="26"/>
      <c r="E290" s="26"/>
      <c r="F290" s="26"/>
    </row>
    <row r="291" spans="1:6">
      <c r="A291" s="25"/>
      <c r="C291" s="26"/>
      <c r="D291" s="26"/>
      <c r="E291" s="26"/>
      <c r="F291" s="26"/>
    </row>
    <row r="292" spans="1:6">
      <c r="A292" s="25"/>
      <c r="C292" s="26"/>
      <c r="D292" s="26"/>
      <c r="E292" s="26"/>
      <c r="F292" s="26"/>
    </row>
    <row r="293" spans="1:6">
      <c r="A293" s="25"/>
      <c r="C293" s="26"/>
      <c r="D293" s="26"/>
      <c r="E293" s="26"/>
      <c r="F293" s="26"/>
    </row>
    <row r="294" spans="1:6">
      <c r="A294" s="25"/>
      <c r="C294" s="26"/>
      <c r="D294" s="26"/>
      <c r="E294" s="26"/>
      <c r="F294" s="26"/>
    </row>
    <row r="295" spans="1:6">
      <c r="A295" s="25"/>
      <c r="C295" s="26"/>
      <c r="D295" s="26"/>
      <c r="E295" s="26"/>
      <c r="F295" s="26"/>
    </row>
    <row r="296" spans="1:6">
      <c r="A296" s="25"/>
      <c r="C296" s="26"/>
      <c r="D296" s="26"/>
      <c r="E296" s="26"/>
      <c r="F296" s="26"/>
    </row>
    <row r="297" spans="1:6">
      <c r="A297" s="25"/>
      <c r="C297" s="26"/>
      <c r="D297" s="26"/>
      <c r="E297" s="26"/>
      <c r="F297" s="26"/>
    </row>
    <row r="298" spans="1:6">
      <c r="A298" s="25"/>
      <c r="C298" s="26"/>
      <c r="D298" s="26"/>
      <c r="E298" s="26"/>
      <c r="F298" s="26"/>
    </row>
    <row r="299" spans="1:6">
      <c r="A299" s="25"/>
      <c r="C299" s="26"/>
      <c r="D299" s="26"/>
      <c r="E299" s="26"/>
      <c r="F299" s="26"/>
    </row>
    <row r="300" spans="1:6">
      <c r="A300" s="25"/>
      <c r="C300" s="26"/>
      <c r="D300" s="26"/>
      <c r="E300" s="26"/>
      <c r="F300" s="26"/>
    </row>
    <row r="301" spans="1:6">
      <c r="A301" s="25"/>
      <c r="C301" s="26"/>
      <c r="D301" s="26"/>
      <c r="E301" s="26"/>
      <c r="F301" s="26"/>
    </row>
    <row r="302" spans="1:6">
      <c r="A302" s="25"/>
      <c r="C302" s="26"/>
      <c r="D302" s="26"/>
      <c r="E302" s="26"/>
      <c r="F302" s="26"/>
    </row>
    <row r="303" spans="1:6">
      <c r="A303" s="25"/>
      <c r="C303" s="26"/>
      <c r="D303" s="26"/>
      <c r="E303" s="26"/>
      <c r="F303" s="26"/>
    </row>
    <row r="304" spans="1:6">
      <c r="A304" s="25"/>
      <c r="C304" s="26"/>
      <c r="D304" s="26"/>
      <c r="E304" s="26"/>
      <c r="F304" s="26"/>
    </row>
    <row r="305" spans="1:6">
      <c r="A305" s="25"/>
      <c r="C305" s="26"/>
      <c r="D305" s="26"/>
      <c r="E305" s="26"/>
      <c r="F305" s="26"/>
    </row>
    <row r="306" spans="1:6">
      <c r="A306" s="25"/>
      <c r="C306" s="26"/>
      <c r="D306" s="26"/>
      <c r="E306" s="26"/>
      <c r="F306" s="26"/>
    </row>
    <row r="307" spans="1:6">
      <c r="A307" s="25"/>
      <c r="C307" s="26"/>
      <c r="D307" s="26"/>
      <c r="E307" s="26"/>
      <c r="F307" s="26"/>
    </row>
    <row r="308" spans="1:6">
      <c r="A308" s="25"/>
      <c r="C308" s="26"/>
      <c r="D308" s="26"/>
      <c r="E308" s="26"/>
      <c r="F308" s="26"/>
    </row>
    <row r="309" spans="1:6">
      <c r="A309" s="25"/>
      <c r="C309" s="26"/>
      <c r="D309" s="26"/>
      <c r="E309" s="26"/>
      <c r="F309" s="26"/>
    </row>
    <row r="310" spans="1:6">
      <c r="A310" s="25"/>
      <c r="C310" s="26"/>
      <c r="D310" s="26"/>
      <c r="E310" s="26"/>
      <c r="F310" s="26"/>
    </row>
    <row r="311" spans="1:6">
      <c r="A311" s="25"/>
      <c r="C311" s="26"/>
      <c r="D311" s="26"/>
      <c r="E311" s="26"/>
      <c r="F311" s="26"/>
    </row>
    <row r="312" spans="1:6">
      <c r="A312" s="25"/>
      <c r="C312" s="26"/>
      <c r="D312" s="26"/>
      <c r="E312" s="26"/>
      <c r="F312" s="26"/>
    </row>
    <row r="313" spans="1:6">
      <c r="A313" s="25"/>
      <c r="C313" s="26"/>
      <c r="D313" s="26"/>
      <c r="E313" s="26"/>
      <c r="F313" s="26"/>
    </row>
    <row r="314" spans="1:6">
      <c r="A314" s="25"/>
      <c r="C314" s="26"/>
      <c r="D314" s="26"/>
      <c r="E314" s="26"/>
      <c r="F314" s="26"/>
    </row>
    <row r="315" spans="1:6">
      <c r="A315" s="25"/>
      <c r="C315" s="26"/>
      <c r="D315" s="26"/>
      <c r="E315" s="26"/>
      <c r="F315" s="26"/>
    </row>
    <row r="316" spans="1:6">
      <c r="A316" s="25"/>
      <c r="C316" s="26"/>
      <c r="D316" s="26"/>
      <c r="E316" s="26"/>
      <c r="F316" s="26"/>
    </row>
    <row r="317" spans="1:6">
      <c r="A317" s="25"/>
      <c r="C317" s="26"/>
      <c r="D317" s="26"/>
      <c r="E317" s="26"/>
      <c r="F317" s="26"/>
    </row>
    <row r="318" spans="1:6">
      <c r="A318" s="25"/>
      <c r="C318" s="26"/>
      <c r="D318" s="26"/>
      <c r="E318" s="26"/>
      <c r="F318" s="26"/>
    </row>
    <row r="319" spans="1:6">
      <c r="A319" s="25"/>
      <c r="C319" s="26"/>
      <c r="D319" s="26"/>
      <c r="E319" s="26"/>
      <c r="F319" s="26"/>
    </row>
    <row r="320" spans="1:6">
      <c r="A320" s="25"/>
      <c r="C320" s="26"/>
      <c r="D320" s="26"/>
      <c r="E320" s="26"/>
      <c r="F320" s="26"/>
    </row>
    <row r="321" spans="1:6">
      <c r="A321" s="25"/>
      <c r="C321" s="26"/>
      <c r="D321" s="26"/>
      <c r="E321" s="26"/>
      <c r="F321" s="26"/>
    </row>
    <row r="322" spans="1:6">
      <c r="A322" s="25"/>
      <c r="C322" s="26"/>
      <c r="D322" s="26"/>
      <c r="E322" s="26"/>
      <c r="F322" s="26"/>
    </row>
    <row r="323" spans="1:6">
      <c r="A323" s="25"/>
      <c r="C323" s="26"/>
      <c r="D323" s="26"/>
      <c r="E323" s="26"/>
      <c r="F323" s="26"/>
    </row>
    <row r="324" spans="1:6">
      <c r="A324" s="25"/>
      <c r="C324" s="26"/>
      <c r="D324" s="26"/>
      <c r="E324" s="26"/>
      <c r="F324" s="26"/>
    </row>
    <row r="325" spans="1:6">
      <c r="A325" s="25"/>
      <c r="C325" s="26"/>
      <c r="D325" s="26"/>
      <c r="E325" s="26"/>
      <c r="F325" s="26"/>
    </row>
    <row r="326" spans="1:6">
      <c r="A326" s="25"/>
      <c r="C326" s="26"/>
      <c r="D326" s="26"/>
      <c r="E326" s="26"/>
      <c r="F326" s="26"/>
    </row>
    <row r="327" spans="1:6">
      <c r="A327" s="25"/>
      <c r="C327" s="26"/>
      <c r="D327" s="26"/>
      <c r="E327" s="26"/>
      <c r="F327" s="26"/>
    </row>
    <row r="328" spans="1:6">
      <c r="A328" s="25"/>
      <c r="C328" s="26"/>
      <c r="D328" s="26"/>
      <c r="E328" s="26"/>
      <c r="F328" s="26"/>
    </row>
    <row r="329" spans="1:6">
      <c r="A329" s="25"/>
      <c r="C329" s="26"/>
      <c r="D329" s="26"/>
      <c r="E329" s="26"/>
      <c r="F329" s="26"/>
    </row>
    <row r="330" spans="1:6">
      <c r="A330" s="25"/>
      <c r="C330" s="26"/>
      <c r="D330" s="26"/>
      <c r="E330" s="26"/>
      <c r="F330" s="26"/>
    </row>
    <row r="331" spans="1:6">
      <c r="A331" s="25"/>
      <c r="C331" s="26"/>
      <c r="D331" s="26"/>
      <c r="E331" s="26"/>
      <c r="F331" s="26"/>
    </row>
    <row r="332" spans="1:6">
      <c r="A332" s="25"/>
      <c r="C332" s="26"/>
      <c r="D332" s="26"/>
      <c r="E332" s="26"/>
      <c r="F332" s="26"/>
    </row>
    <row r="333" spans="1:6">
      <c r="A333" s="25"/>
      <c r="C333" s="26"/>
      <c r="D333" s="26"/>
      <c r="E333" s="26"/>
      <c r="F333" s="26"/>
    </row>
    <row r="334" spans="1:6">
      <c r="A334" s="25"/>
      <c r="C334" s="26"/>
      <c r="D334" s="26"/>
      <c r="E334" s="26"/>
      <c r="F334" s="26"/>
    </row>
    <row r="335" spans="1:6">
      <c r="A335" s="25"/>
      <c r="C335" s="26"/>
      <c r="D335" s="26"/>
      <c r="E335" s="26"/>
      <c r="F335" s="26"/>
    </row>
    <row r="336" spans="1:6">
      <c r="A336" s="25"/>
      <c r="C336" s="26"/>
      <c r="D336" s="26"/>
      <c r="E336" s="26"/>
      <c r="F336" s="26"/>
    </row>
    <row r="337" spans="1:6">
      <c r="A337" s="25"/>
      <c r="C337" s="26"/>
      <c r="D337" s="26"/>
      <c r="E337" s="26"/>
      <c r="F337" s="26"/>
    </row>
    <row r="338" spans="1:6">
      <c r="A338" s="25"/>
      <c r="C338" s="26"/>
      <c r="D338" s="26"/>
      <c r="E338" s="26"/>
      <c r="F338" s="26"/>
    </row>
    <row r="339" spans="1:6">
      <c r="A339" s="25"/>
      <c r="C339" s="26"/>
      <c r="D339" s="26"/>
      <c r="E339" s="26"/>
      <c r="F339" s="26"/>
    </row>
    <row r="340" spans="1:6">
      <c r="A340" s="25"/>
      <c r="C340" s="26"/>
      <c r="D340" s="26"/>
      <c r="E340" s="26"/>
      <c r="F340" s="26"/>
    </row>
    <row r="341" spans="1:6">
      <c r="A341" s="25"/>
      <c r="C341" s="26"/>
      <c r="D341" s="26"/>
      <c r="E341" s="26"/>
      <c r="F341" s="26"/>
    </row>
    <row r="342" spans="1:6">
      <c r="A342" s="25"/>
      <c r="C342" s="26"/>
      <c r="D342" s="26"/>
      <c r="E342" s="26"/>
      <c r="F342" s="26"/>
    </row>
    <row r="343" spans="1:6">
      <c r="A343" s="25"/>
      <c r="C343" s="26"/>
      <c r="D343" s="26"/>
      <c r="E343" s="26"/>
      <c r="F343" s="26"/>
    </row>
    <row r="344" spans="1:6">
      <c r="A344" s="25"/>
      <c r="C344" s="26"/>
      <c r="D344" s="26"/>
      <c r="E344" s="26"/>
      <c r="F344" s="26"/>
    </row>
    <row r="345" spans="1:6">
      <c r="A345" s="25"/>
      <c r="C345" s="26"/>
      <c r="D345" s="26"/>
      <c r="E345" s="26"/>
      <c r="F345" s="26"/>
    </row>
    <row r="346" spans="1:6">
      <c r="A346" s="25"/>
      <c r="C346" s="26"/>
      <c r="D346" s="26"/>
      <c r="E346" s="26"/>
      <c r="F346" s="26"/>
    </row>
    <row r="347" spans="1:6">
      <c r="A347" s="25"/>
      <c r="C347" s="26"/>
      <c r="D347" s="26"/>
      <c r="E347" s="26"/>
      <c r="F347" s="26"/>
    </row>
    <row r="348" spans="1:6">
      <c r="A348" s="25"/>
      <c r="C348" s="26"/>
      <c r="D348" s="26"/>
      <c r="E348" s="26"/>
      <c r="F348" s="26"/>
    </row>
    <row r="349" spans="1:6">
      <c r="A349" s="25"/>
      <c r="C349" s="26"/>
      <c r="D349" s="26"/>
      <c r="E349" s="26"/>
      <c r="F349" s="26"/>
    </row>
    <row r="350" spans="1:6">
      <c r="A350" s="25"/>
      <c r="C350" s="26"/>
      <c r="D350" s="26"/>
      <c r="E350" s="26"/>
      <c r="F350" s="26"/>
    </row>
    <row r="351" spans="1:6">
      <c r="A351" s="25"/>
      <c r="C351" s="26"/>
      <c r="D351" s="26"/>
      <c r="E351" s="26"/>
      <c r="F351" s="26"/>
    </row>
    <row r="352" spans="1:6">
      <c r="A352" s="25"/>
      <c r="C352" s="26"/>
      <c r="D352" s="26"/>
      <c r="E352" s="26"/>
      <c r="F352" s="26"/>
    </row>
    <row r="353" spans="1:6">
      <c r="A353" s="25"/>
      <c r="C353" s="26"/>
      <c r="D353" s="26"/>
      <c r="E353" s="26"/>
      <c r="F353" s="26"/>
    </row>
    <row r="354" spans="1:6">
      <c r="A354" s="25"/>
      <c r="C354" s="26"/>
      <c r="D354" s="26"/>
      <c r="E354" s="26"/>
      <c r="F354" s="26"/>
    </row>
    <row r="355" spans="1:6">
      <c r="A355" s="25"/>
      <c r="C355" s="26"/>
      <c r="D355" s="26"/>
      <c r="E355" s="26"/>
      <c r="F355" s="26"/>
    </row>
    <row r="356" spans="1:6">
      <c r="A356" s="25"/>
      <c r="C356" s="26"/>
      <c r="D356" s="26"/>
      <c r="E356" s="26"/>
      <c r="F356" s="26"/>
    </row>
    <row r="357" spans="1:6">
      <c r="A357" s="25"/>
      <c r="C357" s="26"/>
      <c r="D357" s="26"/>
      <c r="E357" s="26"/>
      <c r="F357" s="26"/>
    </row>
    <row r="358" spans="1:6">
      <c r="A358" s="25"/>
      <c r="C358" s="26"/>
      <c r="D358" s="26"/>
      <c r="E358" s="26"/>
      <c r="F358" s="26"/>
    </row>
    <row r="359" spans="1:6">
      <c r="A359" s="25"/>
      <c r="C359" s="26"/>
      <c r="D359" s="26"/>
      <c r="E359" s="26"/>
      <c r="F359" s="26"/>
    </row>
    <row r="360" spans="1:6">
      <c r="A360" s="25"/>
      <c r="C360" s="26"/>
      <c r="D360" s="26"/>
      <c r="E360" s="26"/>
      <c r="F360" s="26"/>
    </row>
    <row r="361" spans="1:6">
      <c r="A361" s="25"/>
      <c r="C361" s="26"/>
      <c r="D361" s="26"/>
      <c r="E361" s="26"/>
      <c r="F361" s="26"/>
    </row>
    <row r="362" spans="1:6">
      <c r="A362" s="25"/>
      <c r="C362" s="26"/>
      <c r="D362" s="26"/>
      <c r="E362" s="26"/>
      <c r="F362" s="26"/>
    </row>
    <row r="363" spans="1:6">
      <c r="A363" s="25"/>
      <c r="C363" s="26"/>
      <c r="D363" s="26"/>
      <c r="E363" s="26"/>
      <c r="F363" s="26"/>
    </row>
    <row r="364" spans="1:6">
      <c r="A364" s="25"/>
      <c r="C364" s="26"/>
      <c r="D364" s="26"/>
      <c r="E364" s="26"/>
      <c r="F364" s="26"/>
    </row>
    <row r="365" spans="1:6">
      <c r="A365" s="25"/>
      <c r="C365" s="26"/>
      <c r="D365" s="26"/>
      <c r="E365" s="26"/>
      <c r="F365" s="26"/>
    </row>
    <row r="366" spans="1:6">
      <c r="A366" s="25"/>
      <c r="C366" s="26"/>
      <c r="D366" s="26"/>
      <c r="E366" s="26"/>
      <c r="F366" s="26"/>
    </row>
    <row r="367" spans="1:6">
      <c r="A367" s="25"/>
      <c r="C367" s="26"/>
      <c r="D367" s="26"/>
      <c r="E367" s="26"/>
      <c r="F367" s="26"/>
    </row>
    <row r="368" spans="1:6">
      <c r="A368" s="25"/>
      <c r="C368" s="26"/>
      <c r="D368" s="26"/>
      <c r="E368" s="26"/>
      <c r="F368" s="26"/>
    </row>
    <row r="369" spans="1:6">
      <c r="A369" s="25"/>
      <c r="C369" s="26"/>
      <c r="D369" s="26"/>
      <c r="E369" s="26"/>
      <c r="F369" s="26"/>
    </row>
    <row r="370" spans="1:6">
      <c r="A370" s="25"/>
      <c r="C370" s="26"/>
      <c r="D370" s="26"/>
      <c r="E370" s="26"/>
      <c r="F370" s="26"/>
    </row>
    <row r="371" spans="1:6">
      <c r="A371" s="25"/>
      <c r="C371" s="26"/>
      <c r="D371" s="26"/>
      <c r="E371" s="26"/>
      <c r="F371" s="26"/>
    </row>
    <row r="372" spans="1:6">
      <c r="A372" s="25"/>
      <c r="C372" s="26"/>
      <c r="D372" s="26"/>
      <c r="E372" s="26"/>
      <c r="F372" s="26"/>
    </row>
    <row r="373" spans="1:6">
      <c r="A373" s="25"/>
      <c r="C373" s="26"/>
      <c r="D373" s="26"/>
      <c r="E373" s="26"/>
      <c r="F373" s="26"/>
    </row>
    <row r="374" spans="1:6">
      <c r="A374" s="25"/>
      <c r="C374" s="26"/>
      <c r="D374" s="26"/>
      <c r="E374" s="26"/>
      <c r="F374" s="26"/>
    </row>
    <row r="375" spans="1:6">
      <c r="A375" s="25"/>
      <c r="C375" s="26"/>
      <c r="D375" s="26"/>
      <c r="E375" s="26"/>
      <c r="F375" s="26"/>
    </row>
    <row r="376" spans="1:6">
      <c r="A376" s="25"/>
      <c r="C376" s="26"/>
      <c r="D376" s="26"/>
      <c r="E376" s="26"/>
      <c r="F376" s="26"/>
    </row>
    <row r="377" spans="1:6">
      <c r="A377" s="25"/>
      <c r="C377" s="26"/>
      <c r="D377" s="26"/>
      <c r="E377" s="26"/>
      <c r="F377" s="26"/>
    </row>
    <row r="378" spans="1:6">
      <c r="A378" s="25"/>
      <c r="C378" s="26"/>
      <c r="D378" s="26"/>
      <c r="E378" s="26"/>
      <c r="F378" s="26"/>
    </row>
    <row r="379" spans="1:6">
      <c r="A379" s="25"/>
      <c r="C379" s="26"/>
      <c r="D379" s="26"/>
      <c r="E379" s="26"/>
      <c r="F379" s="26"/>
    </row>
    <row r="380" spans="1:6">
      <c r="A380" s="25"/>
      <c r="C380" s="26"/>
      <c r="D380" s="26"/>
      <c r="E380" s="26"/>
      <c r="F380" s="26"/>
    </row>
    <row r="381" spans="1:6">
      <c r="A381" s="25"/>
      <c r="C381" s="26"/>
      <c r="D381" s="26"/>
      <c r="E381" s="26"/>
      <c r="F381" s="26"/>
    </row>
    <row r="382" spans="1:6">
      <c r="A382" s="25"/>
      <c r="C382" s="26"/>
      <c r="D382" s="26"/>
      <c r="E382" s="26"/>
      <c r="F382" s="26"/>
    </row>
    <row r="383" spans="1:6">
      <c r="A383" s="25"/>
      <c r="C383" s="26"/>
      <c r="D383" s="26"/>
      <c r="E383" s="26"/>
      <c r="F383" s="26"/>
    </row>
    <row r="384" spans="1:6">
      <c r="A384" s="25"/>
      <c r="C384" s="26"/>
      <c r="D384" s="26"/>
      <c r="E384" s="26"/>
      <c r="F384" s="26"/>
    </row>
    <row r="385" spans="1:6">
      <c r="A385" s="25"/>
      <c r="C385" s="26"/>
      <c r="D385" s="26"/>
      <c r="E385" s="26"/>
      <c r="F385" s="26"/>
    </row>
    <row r="386" spans="1:6">
      <c r="A386" s="25"/>
      <c r="C386" s="26"/>
      <c r="D386" s="26"/>
      <c r="E386" s="26"/>
      <c r="F386" s="26"/>
    </row>
    <row r="387" spans="1:6">
      <c r="A387" s="25"/>
      <c r="C387" s="26"/>
      <c r="D387" s="26"/>
      <c r="E387" s="26"/>
      <c r="F387" s="26"/>
    </row>
    <row r="388" spans="1:6">
      <c r="A388" s="25"/>
      <c r="C388" s="26"/>
      <c r="D388" s="26"/>
      <c r="E388" s="26"/>
      <c r="F388" s="26"/>
    </row>
    <row r="389" spans="1:6">
      <c r="A389" s="25"/>
      <c r="C389" s="26"/>
      <c r="D389" s="26"/>
      <c r="E389" s="26"/>
      <c r="F389" s="26"/>
    </row>
    <row r="390" spans="1:6">
      <c r="A390" s="25"/>
      <c r="C390" s="26"/>
      <c r="D390" s="26"/>
      <c r="E390" s="26"/>
      <c r="F390" s="26"/>
    </row>
    <row r="391" spans="1:6">
      <c r="A391" s="25"/>
      <c r="C391" s="26"/>
      <c r="D391" s="26"/>
      <c r="E391" s="26"/>
      <c r="F391" s="26"/>
    </row>
    <row r="392" spans="1:6">
      <c r="A392" s="25"/>
      <c r="C392" s="26"/>
      <c r="D392" s="26"/>
      <c r="E392" s="26"/>
      <c r="F392" s="26"/>
    </row>
    <row r="393" spans="1:6">
      <c r="A393" s="25"/>
      <c r="C393" s="26"/>
      <c r="D393" s="26"/>
      <c r="E393" s="26"/>
      <c r="F393" s="26"/>
    </row>
    <row r="394" spans="1:6">
      <c r="A394" s="25"/>
      <c r="C394" s="26"/>
      <c r="D394" s="26"/>
      <c r="E394" s="26"/>
      <c r="F394" s="26"/>
    </row>
    <row r="395" spans="1:6">
      <c r="A395" s="25"/>
      <c r="C395" s="26"/>
      <c r="D395" s="26"/>
      <c r="E395" s="26"/>
      <c r="F395" s="26"/>
    </row>
    <row r="396" spans="1:6">
      <c r="A396" s="25"/>
      <c r="C396" s="26"/>
      <c r="D396" s="26"/>
      <c r="E396" s="26"/>
      <c r="F396" s="26"/>
    </row>
    <row r="397" spans="1:6">
      <c r="A397" s="25"/>
      <c r="C397" s="26"/>
      <c r="D397" s="26"/>
      <c r="E397" s="26"/>
      <c r="F397" s="26"/>
    </row>
    <row r="398" spans="1:6">
      <c r="A398" s="25"/>
      <c r="C398" s="26"/>
      <c r="D398" s="26"/>
      <c r="E398" s="26"/>
      <c r="F398" s="26"/>
    </row>
    <row r="399" spans="1:6">
      <c r="A399" s="25"/>
      <c r="C399" s="26"/>
      <c r="D399" s="26"/>
      <c r="E399" s="26"/>
      <c r="F399" s="26"/>
    </row>
    <row r="400" spans="1:6">
      <c r="A400" s="25"/>
      <c r="C400" s="26"/>
      <c r="D400" s="26"/>
      <c r="E400" s="26"/>
      <c r="F400" s="26"/>
    </row>
    <row r="401" spans="1:6">
      <c r="A401" s="25"/>
      <c r="C401" s="26"/>
      <c r="D401" s="26"/>
      <c r="E401" s="26"/>
      <c r="F401" s="26"/>
    </row>
    <row r="402" spans="1:6">
      <c r="A402" s="25"/>
      <c r="C402" s="26"/>
      <c r="D402" s="26"/>
      <c r="E402" s="26"/>
      <c r="F402" s="26"/>
    </row>
    <row r="403" spans="1:6">
      <c r="A403" s="25"/>
      <c r="C403" s="26"/>
      <c r="D403" s="26"/>
      <c r="E403" s="26"/>
      <c r="F403" s="26"/>
    </row>
    <row r="404" spans="1:6">
      <c r="A404" s="25"/>
      <c r="C404" s="26"/>
      <c r="D404" s="26"/>
      <c r="E404" s="26"/>
      <c r="F404" s="26"/>
    </row>
    <row r="405" spans="1:6">
      <c r="A405" s="25"/>
      <c r="C405" s="26"/>
      <c r="D405" s="26"/>
      <c r="E405" s="26"/>
      <c r="F405" s="26"/>
    </row>
    <row r="406" spans="1:6">
      <c r="A406" s="25"/>
      <c r="C406" s="26"/>
      <c r="D406" s="26"/>
      <c r="E406" s="26"/>
      <c r="F406" s="26"/>
    </row>
    <row r="407" spans="1:6">
      <c r="A407" s="25"/>
      <c r="C407" s="26"/>
      <c r="D407" s="26"/>
      <c r="E407" s="26"/>
      <c r="F407" s="26"/>
    </row>
    <row r="408" spans="1:6">
      <c r="A408" s="25"/>
      <c r="C408" s="26"/>
      <c r="D408" s="26"/>
      <c r="E408" s="26"/>
      <c r="F408" s="26"/>
    </row>
  </sheetData>
  <mergeCells count="5">
    <mergeCell ref="A1:A2"/>
    <mergeCell ref="B1:B2"/>
    <mergeCell ref="C1:C2"/>
    <mergeCell ref="D1:E1"/>
    <mergeCell ref="F1:F2"/>
  </mergeCells>
  <printOptions horizontalCentered="1"/>
  <pageMargins left="0" right="0" top="0" bottom="0" header="0" footer="0"/>
  <pageSetup scale="82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outlinePr summaryBelow="0" summaryRight="0"/>
  </sheetPr>
  <dimension ref="A1:JQ239"/>
  <sheetViews>
    <sheetView showGridLines="0" zoomScaleNormal="100" workbookViewId="0">
      <pane xSplit="2" ySplit="2" topLeftCell="F168" activePane="bottomRight" state="frozen"/>
      <selection pane="topRight" activeCell="C1" sqref="C1"/>
      <selection pane="bottomLeft" activeCell="A3" sqref="A3"/>
      <selection pane="bottomRight" activeCell="L158" sqref="L158"/>
    </sheetView>
  </sheetViews>
  <sheetFormatPr defaultColWidth="12.69921875" defaultRowHeight="18"/>
  <cols>
    <col min="1" max="1" width="5.796875" style="22" customWidth="1"/>
    <col min="2" max="2" width="34.296875" style="22" bestFit="1" customWidth="1"/>
    <col min="3" max="3" width="12.59765625" style="22" customWidth="1"/>
    <col min="4" max="4" width="12.59765625" style="32" customWidth="1"/>
    <col min="5" max="5" width="17.09765625" style="32" customWidth="1"/>
    <col min="6" max="6" width="14" style="22" customWidth="1"/>
    <col min="7" max="7" width="20" style="22" customWidth="1"/>
    <col min="8" max="8" width="12.59765625" style="22" customWidth="1"/>
    <col min="9" max="9" width="18.59765625" style="32" customWidth="1"/>
    <col min="10" max="10" width="15.796875" style="22" customWidth="1"/>
    <col min="11" max="11" width="12.59765625" style="25" customWidth="1"/>
    <col min="12" max="12" width="13.69921875" style="22" customWidth="1"/>
    <col min="13" max="13" width="15.69921875" style="22" customWidth="1"/>
    <col min="14" max="16384" width="12.69921875" style="22"/>
  </cols>
  <sheetData>
    <row r="1" spans="1:277" ht="28.95" customHeight="1">
      <c r="A1" s="231" t="s">
        <v>22</v>
      </c>
      <c r="B1" s="231" t="s">
        <v>42</v>
      </c>
      <c r="C1" s="235" t="s">
        <v>43</v>
      </c>
      <c r="D1" s="236" t="s">
        <v>84</v>
      </c>
      <c r="E1" s="236" t="s">
        <v>85</v>
      </c>
      <c r="F1" s="243" t="s">
        <v>61</v>
      </c>
      <c r="G1" s="240" t="s">
        <v>6</v>
      </c>
      <c r="H1" s="241"/>
      <c r="I1" s="226"/>
      <c r="J1" s="242" t="s">
        <v>63</v>
      </c>
      <c r="K1" s="242" t="s">
        <v>62</v>
      </c>
      <c r="L1" s="238" t="s">
        <v>69</v>
      </c>
    </row>
    <row r="2" spans="1:277">
      <c r="A2" s="228"/>
      <c r="B2" s="228"/>
      <c r="C2" s="228"/>
      <c r="D2" s="237"/>
      <c r="E2" s="237"/>
      <c r="F2" s="228"/>
      <c r="G2" s="30" t="s">
        <v>46</v>
      </c>
      <c r="H2" s="30" t="s">
        <v>47</v>
      </c>
      <c r="I2" s="31" t="s">
        <v>48</v>
      </c>
      <c r="J2" s="228"/>
      <c r="K2" s="244"/>
      <c r="L2" s="239"/>
    </row>
    <row r="3" spans="1:277">
      <c r="A3" s="45">
        <f>IF('TENAGA KERJA'!A2=0,"",'TENAGA KERJA'!A2)</f>
        <v>1</v>
      </c>
      <c r="B3" s="24" t="str">
        <f>IF('TENAGA KERJA'!B2=0,"",'TENAGA KERJA'!B2)</f>
        <v>ABDUL HALIM</v>
      </c>
      <c r="C3" s="43">
        <f>'TENAGA KERJA'!K2</f>
        <v>2961337</v>
      </c>
      <c r="D3" s="46">
        <f>'TENAGA KERJA'!L2</f>
        <v>1430000</v>
      </c>
      <c r="E3" s="46">
        <f>'TENAGA KERJA'!M2</f>
        <v>1154947.0144508672</v>
      </c>
      <c r="F3" s="43">
        <f>'TENAGA KERJA'!N2</f>
        <v>1550000</v>
      </c>
      <c r="G3" s="43">
        <f>'BPJS TK'!D3</f>
        <v>39082.899299999997</v>
      </c>
      <c r="H3" s="43">
        <f>'BPJS TK'!E3</f>
        <v>13174.011</v>
      </c>
      <c r="I3" s="46">
        <f>'BPJS KES'!D3</f>
        <v>175653.48</v>
      </c>
      <c r="J3" s="43">
        <f t="shared" ref="J3" si="0">SUM(C3:I3)</f>
        <v>7324194.4047508668</v>
      </c>
      <c r="K3" s="47">
        <f>IF('TENAGA KERJA'!H2="KATEGORI A",VLOOKUP(J3,'TER 2024'!$B$2:$E$45,4),IF('TENAGA KERJA'!H2="KATEGORI B",VLOOKUP(J3,'TER 2024'!$B$46:$E$85,4),IF('TENAGA KERJA'!H2="KATEGORI C",VLOOKUP(J3,'TER 2024'!$B$86:$E$126,4),0)))</f>
        <v>5.0000000000000001E-3</v>
      </c>
      <c r="L3" s="48">
        <f>IF('TENAGA KERJA'!F2="NPWP",'PPH PSL 21 - GROSS (MULAI 2024)'!J3*K3,IF('TENAGA KERJA'!F2="NON-NPWP",'PPH PSL 21 - GROSS (MULAI 2024)'!J3*K3*120%,0))</f>
        <v>36620.972023754337</v>
      </c>
    </row>
    <row r="4" spans="1:277">
      <c r="A4" s="45">
        <f>IF('TENAGA KERJA'!A3=0,"",'TENAGA KERJA'!A3)</f>
        <v>2</v>
      </c>
      <c r="B4" s="24" t="str">
        <f>IF('TENAGA KERJA'!B3=0,"",'TENAGA KERJA'!B3)</f>
        <v>SRI ASLINDA</v>
      </c>
      <c r="C4" s="43">
        <f>'TENAGA KERJA'!K3</f>
        <v>2961337</v>
      </c>
      <c r="D4" s="46">
        <f>'TENAGA KERJA'!L3</f>
        <v>1430000</v>
      </c>
      <c r="E4" s="46">
        <f>'TENAGA KERJA'!M3</f>
        <v>300000</v>
      </c>
      <c r="F4" s="43">
        <f>'TENAGA KERJA'!N3</f>
        <v>1550000</v>
      </c>
      <c r="G4" s="43">
        <f>'BPJS TK'!D4</f>
        <v>39082.899299999997</v>
      </c>
      <c r="H4" s="43">
        <f>'BPJS TK'!E4</f>
        <v>13174.011</v>
      </c>
      <c r="I4" s="46">
        <f>'BPJS KES'!D4</f>
        <v>175653.48</v>
      </c>
      <c r="J4" s="43">
        <f t="shared" ref="J4" si="1">SUM(C4:I4)</f>
        <v>6469247.3903000001</v>
      </c>
      <c r="K4" s="47">
        <f>IF('TENAGA KERJA'!H3="KATEGORI A",VLOOKUP(J4,'TER 2024'!$B$2:$E$45,4),IF('TENAGA KERJA'!H3="KATEGORI B",VLOOKUP(J4,'TER 2024'!$B$46:$E$85,4),IF('TENAGA KERJA'!H3="KATEGORI C",VLOOKUP(J4,'TER 2024'!$B$86:$E$126,4),0)))</f>
        <v>0.01</v>
      </c>
      <c r="L4" s="48">
        <f>IF('TENAGA KERJA'!F3="NPWP",'PPH PSL 21 - GROSS (MULAI 2024)'!J4*K4,IF('TENAGA KERJA'!F3="NON-NPWP",'PPH PSL 21 - GROSS (MULAI 2024)'!J4*K4*120%,0))</f>
        <v>64692.473903000006</v>
      </c>
      <c r="JQ4" s="22" t="s">
        <v>90</v>
      </c>
    </row>
    <row r="5" spans="1:277">
      <c r="A5" s="45">
        <f>IF('TENAGA KERJA'!A4=0,"",'TENAGA KERJA'!A4)</f>
        <v>3</v>
      </c>
      <c r="B5" s="24" t="str">
        <f>IF('TENAGA KERJA'!B4=0,"",'TENAGA KERJA'!B4)</f>
        <v>RAFLY RAHMADAN GOBEL</v>
      </c>
      <c r="C5" s="43">
        <f>'TENAGA KERJA'!K4</f>
        <v>2961337</v>
      </c>
      <c r="D5" s="46">
        <f>'TENAGA KERJA'!L4</f>
        <v>1430000</v>
      </c>
      <c r="E5" s="46">
        <f>'TENAGA KERJA'!M4</f>
        <v>1231097.3670520231</v>
      </c>
      <c r="F5" s="43">
        <f>'TENAGA KERJA'!N4</f>
        <v>1550000</v>
      </c>
      <c r="G5" s="43">
        <f>'BPJS TK'!D5</f>
        <v>39082.899299999997</v>
      </c>
      <c r="H5" s="43">
        <f>'BPJS TK'!E5</f>
        <v>13174.011</v>
      </c>
      <c r="I5" s="46">
        <f>'BPJS KES'!D5</f>
        <v>175653.48</v>
      </c>
      <c r="J5" s="43">
        <f t="shared" ref="J5:J68" si="2">SUM(C5:I5)</f>
        <v>7400344.7573520234</v>
      </c>
      <c r="K5" s="47">
        <f>IF('TENAGA KERJA'!H4="KATEGORI A",VLOOKUP(J5,'TER 2024'!$B$2:$E$45,4),IF('TENAGA KERJA'!H4="KATEGORI B",VLOOKUP(J5,'TER 2024'!$B$46:$E$85,4),IF('TENAGA KERJA'!H4="KATEGORI C",VLOOKUP(J5,'TER 2024'!$B$86:$E$126,4),0)))</f>
        <v>1.2500000000000001E-2</v>
      </c>
      <c r="L5" s="48">
        <f>IF('TENAGA KERJA'!F4="NPWP",'PPH PSL 21 - GROSS (MULAI 2024)'!J5*K5,IF('TENAGA KERJA'!F4="NON-NPWP",'PPH PSL 21 - GROSS (MULAI 2024)'!J5*K5*120%,0))</f>
        <v>92504.309466900304</v>
      </c>
    </row>
    <row r="6" spans="1:277">
      <c r="A6" s="45">
        <f>IF('TENAGA KERJA'!A5=0,"",'TENAGA KERJA'!A5)</f>
        <v>4</v>
      </c>
      <c r="B6" s="24" t="str">
        <f>IF('TENAGA KERJA'!B5=0,"",'TENAGA KERJA'!B5)</f>
        <v>RAHMAT HIDAYAT</v>
      </c>
      <c r="C6" s="43">
        <f>'TENAGA KERJA'!K5</f>
        <v>2961337</v>
      </c>
      <c r="D6" s="46">
        <f>'TENAGA KERJA'!L5</f>
        <v>1430000</v>
      </c>
      <c r="E6" s="46">
        <f>'TENAGA KERJA'!M5</f>
        <v>1637232.5809248555</v>
      </c>
      <c r="F6" s="43">
        <f>'TENAGA KERJA'!N5</f>
        <v>1550000</v>
      </c>
      <c r="G6" s="43">
        <f>'BPJS TK'!D6</f>
        <v>39082.899299999997</v>
      </c>
      <c r="H6" s="43">
        <f>'BPJS TK'!E6</f>
        <v>13174.011</v>
      </c>
      <c r="I6" s="46">
        <f>'BPJS KES'!D6</f>
        <v>175653.48</v>
      </c>
      <c r="J6" s="43">
        <f t="shared" si="2"/>
        <v>7806479.9712248556</v>
      </c>
      <c r="K6" s="47">
        <f>IF('TENAGA KERJA'!H5="KATEGORI A",VLOOKUP(J6,'TER 2024'!$B$2:$E$45,4),IF('TENAGA KERJA'!H5="KATEGORI B",VLOOKUP(J6,'TER 2024'!$B$46:$E$85,4),IF('TENAGA KERJA'!H5="KATEGORI C",VLOOKUP(J6,'TER 2024'!$B$86:$E$126,4),0)))</f>
        <v>1.4999999999999999E-2</v>
      </c>
      <c r="L6" s="48">
        <f>IF('TENAGA KERJA'!F5="NPWP",'PPH PSL 21 - GROSS (MULAI 2024)'!J6*K6,IF('TENAGA KERJA'!F5="NON-NPWP",'PPH PSL 21 - GROSS (MULAI 2024)'!J6*K6*120%,0))</f>
        <v>117097.19956837283</v>
      </c>
    </row>
    <row r="7" spans="1:277">
      <c r="A7" s="45">
        <f>IF('TENAGA KERJA'!A6=0,"",'TENAGA KERJA'!A6)</f>
        <v>5</v>
      </c>
      <c r="B7" s="24" t="str">
        <f>IF('TENAGA KERJA'!B6=0,"",'TENAGA KERJA'!B6)</f>
        <v>ARYABAYA SRIPATI</v>
      </c>
      <c r="C7" s="43">
        <f>'TENAGA KERJA'!K6</f>
        <v>2961337</v>
      </c>
      <c r="D7" s="46">
        <f>'TENAGA KERJA'!L6</f>
        <v>1430000</v>
      </c>
      <c r="E7" s="46">
        <f>'TENAGA KERJA'!M6</f>
        <v>342676.58670520229</v>
      </c>
      <c r="F7" s="43">
        <f>'TENAGA KERJA'!N6</f>
        <v>1550000</v>
      </c>
      <c r="G7" s="43">
        <f>'BPJS TK'!D7</f>
        <v>39082.899299999997</v>
      </c>
      <c r="H7" s="43">
        <f>'BPJS TK'!E7</f>
        <v>13174.011</v>
      </c>
      <c r="I7" s="46">
        <f>'BPJS KES'!D7</f>
        <v>175653.48</v>
      </c>
      <c r="J7" s="43">
        <f t="shared" si="2"/>
        <v>6511923.9770052023</v>
      </c>
      <c r="K7" s="47">
        <f>IF('TENAGA KERJA'!H6="KATEGORI A",VLOOKUP(J7,'TER 2024'!$B$2:$E$45,4),IF('TENAGA KERJA'!H6="KATEGORI B",VLOOKUP(J7,'TER 2024'!$B$46:$E$85,4),IF('TENAGA KERJA'!H6="KATEGORI C",VLOOKUP(J7,'TER 2024'!$B$86:$E$126,4),0)))</f>
        <v>0.01</v>
      </c>
      <c r="L7" s="48">
        <f>IF('TENAGA KERJA'!F6="NPWP",'PPH PSL 21 - GROSS (MULAI 2024)'!J7*K7,IF('TENAGA KERJA'!F6="NON-NPWP",'PPH PSL 21 - GROSS (MULAI 2024)'!J7*K7*120%,0))</f>
        <v>65119.239770052023</v>
      </c>
    </row>
    <row r="8" spans="1:277">
      <c r="A8" s="45">
        <f>IF('TENAGA KERJA'!A7=0,"",'TENAGA KERJA'!A7)</f>
        <v>6</v>
      </c>
      <c r="B8" s="24" t="str">
        <f>IF('TENAGA KERJA'!B7=0,"",'TENAGA KERJA'!B7)</f>
        <v>REZA NURHIDAYAT</v>
      </c>
      <c r="C8" s="43">
        <f>'TENAGA KERJA'!K7</f>
        <v>2961337</v>
      </c>
      <c r="D8" s="46">
        <f>'TENAGA KERJA'!L7</f>
        <v>1430000</v>
      </c>
      <c r="E8" s="46">
        <f>'TENAGA KERJA'!M7</f>
        <v>850345.60404624278</v>
      </c>
      <c r="F8" s="43">
        <f>'TENAGA KERJA'!N7</f>
        <v>1550000</v>
      </c>
      <c r="G8" s="43">
        <f>'BPJS TK'!D8</f>
        <v>39082.899299999997</v>
      </c>
      <c r="H8" s="43">
        <f>'BPJS TK'!E8</f>
        <v>13174.011</v>
      </c>
      <c r="I8" s="46">
        <f>'BPJS KES'!D8</f>
        <v>175653.48</v>
      </c>
      <c r="J8" s="43">
        <f t="shared" si="2"/>
        <v>7019592.9943462424</v>
      </c>
      <c r="K8" s="47">
        <f>IF('TENAGA KERJA'!H7="KATEGORI A",VLOOKUP(J8,'TER 2024'!$B$2:$E$45,4),IF('TENAGA KERJA'!H7="KATEGORI B",VLOOKUP(J8,'TER 2024'!$B$46:$E$85,4),IF('TENAGA KERJA'!H7="KATEGORI C",VLOOKUP(J8,'TER 2024'!$B$86:$E$126,4),0)))</f>
        <v>1.2500000000000001E-2</v>
      </c>
      <c r="L8" s="48">
        <f>IF('TENAGA KERJA'!F7="NPWP",'PPH PSL 21 - GROSS (MULAI 2024)'!J8*K8,IF('TENAGA KERJA'!F7="NON-NPWP",'PPH PSL 21 - GROSS (MULAI 2024)'!J8*K8*120%,0))</f>
        <v>87744.912429328033</v>
      </c>
    </row>
    <row r="9" spans="1:277">
      <c r="A9" s="45">
        <f>IF('TENAGA KERJA'!A8=0,"",'TENAGA KERJA'!A8)</f>
        <v>7</v>
      </c>
      <c r="B9" s="24" t="str">
        <f>IF('TENAGA KERJA'!B8=0,"",'TENAGA KERJA'!B8)</f>
        <v>MUHAMMAD ANSHAR A</v>
      </c>
      <c r="C9" s="43">
        <f>'TENAGA KERJA'!K8</f>
        <v>2961337</v>
      </c>
      <c r="D9" s="46">
        <f>'TENAGA KERJA'!L8</f>
        <v>1430000</v>
      </c>
      <c r="E9" s="46">
        <f>'TENAGA KERJA'!M8</f>
        <v>1091488.387283237</v>
      </c>
      <c r="F9" s="43">
        <f>'TENAGA KERJA'!N8</f>
        <v>1550000</v>
      </c>
      <c r="G9" s="43">
        <f>'BPJS TK'!D9</f>
        <v>39082.899299999997</v>
      </c>
      <c r="H9" s="43">
        <f>'BPJS TK'!E9</f>
        <v>13174.011</v>
      </c>
      <c r="I9" s="46">
        <f>'BPJS KES'!D9</f>
        <v>175653.48</v>
      </c>
      <c r="J9" s="43">
        <f t="shared" si="2"/>
        <v>7260735.7775832368</v>
      </c>
      <c r="K9" s="47">
        <f>IF('TENAGA KERJA'!H8="KATEGORI A",VLOOKUP(J9,'TER 2024'!$B$2:$E$45,4),IF('TENAGA KERJA'!H8="KATEGORI B",VLOOKUP(J9,'TER 2024'!$B$46:$E$85,4),IF('TENAGA KERJA'!H8="KATEGORI C",VLOOKUP(J9,'TER 2024'!$B$86:$E$126,4),0)))</f>
        <v>7.4999999999999997E-3</v>
      </c>
      <c r="L9" s="48">
        <f>IF('TENAGA KERJA'!F8="NPWP",'PPH PSL 21 - GROSS (MULAI 2024)'!J9*K9,IF('TENAGA KERJA'!F8="NON-NPWP",'PPH PSL 21 - GROSS (MULAI 2024)'!J9*K9*120%,0))</f>
        <v>54455.518331874271</v>
      </c>
    </row>
    <row r="10" spans="1:277">
      <c r="A10" s="45">
        <f>IF('TENAGA KERJA'!A9=0,"",'TENAGA KERJA'!A9)</f>
        <v>8</v>
      </c>
      <c r="B10" s="24" t="str">
        <f>IF('TENAGA KERJA'!B9=0,"",'TENAGA KERJA'!B9)</f>
        <v>IKA JULITA</v>
      </c>
      <c r="C10" s="43">
        <f>'TENAGA KERJA'!K9</f>
        <v>2961337</v>
      </c>
      <c r="D10" s="46">
        <f>'TENAGA KERJA'!L9</f>
        <v>1430000</v>
      </c>
      <c r="E10" s="46">
        <f>'TENAGA KERJA'!M9</f>
        <v>300000</v>
      </c>
      <c r="F10" s="43">
        <f>'TENAGA KERJA'!N9</f>
        <v>1550000</v>
      </c>
      <c r="G10" s="43">
        <f>'BPJS TK'!D10</f>
        <v>39082.899299999997</v>
      </c>
      <c r="H10" s="43">
        <f>'BPJS TK'!E10</f>
        <v>13174.011</v>
      </c>
      <c r="I10" s="46">
        <f>'BPJS KES'!D10</f>
        <v>175653.48</v>
      </c>
      <c r="J10" s="43">
        <f t="shared" si="2"/>
        <v>6469247.3903000001</v>
      </c>
      <c r="K10" s="47">
        <f>IF('TENAGA KERJA'!H9="KATEGORI A",VLOOKUP(J10,'TER 2024'!$B$2:$E$45,4),IF('TENAGA KERJA'!H9="KATEGORI B",VLOOKUP(J10,'TER 2024'!$B$46:$E$85,4),IF('TENAGA KERJA'!H9="KATEGORI C",VLOOKUP(J10,'TER 2024'!$B$86:$E$126,4),0)))</f>
        <v>0.01</v>
      </c>
      <c r="L10" s="48">
        <f>IF('TENAGA KERJA'!F9="NPWP",'PPH PSL 21 - GROSS (MULAI 2024)'!J10*K10,IF('TENAGA KERJA'!F9="NON-NPWP",'PPH PSL 21 - GROSS (MULAI 2024)'!J10*K10*120%,0))</f>
        <v>64692.473903000006</v>
      </c>
    </row>
    <row r="11" spans="1:277">
      <c r="A11" s="45">
        <f>IF('TENAGA KERJA'!A10=0,"",'TENAGA KERJA'!A10)</f>
        <v>9</v>
      </c>
      <c r="B11" s="24" t="str">
        <f>IF('TENAGA KERJA'!B10=0,"",'TENAGA KERJA'!B10)</f>
        <v>FAJAR SHADIQ HERNANDA</v>
      </c>
      <c r="C11" s="43">
        <f>'TENAGA KERJA'!K10</f>
        <v>2961337</v>
      </c>
      <c r="D11" s="46">
        <f>'TENAGA KERJA'!L10</f>
        <v>1430000</v>
      </c>
      <c r="E11" s="46">
        <f>'TENAGA KERJA'!M10</f>
        <v>342676.58670520229</v>
      </c>
      <c r="F11" s="43">
        <f>'TENAGA KERJA'!N10</f>
        <v>1550000</v>
      </c>
      <c r="G11" s="43">
        <f>'BPJS TK'!D11</f>
        <v>39082.899299999997</v>
      </c>
      <c r="H11" s="43">
        <f>'BPJS TK'!E11</f>
        <v>13174.011</v>
      </c>
      <c r="I11" s="46">
        <f>'BPJS KES'!D11</f>
        <v>175653.48</v>
      </c>
      <c r="J11" s="43">
        <f t="shared" si="2"/>
        <v>6511923.9770052023</v>
      </c>
      <c r="K11" s="47">
        <f>IF('TENAGA KERJA'!H10="KATEGORI A",VLOOKUP(J11,'TER 2024'!$B$2:$E$45,4),IF('TENAGA KERJA'!H10="KATEGORI B",VLOOKUP(J11,'TER 2024'!$B$46:$E$85,4),IF('TENAGA KERJA'!H10="KATEGORI C",VLOOKUP(J11,'TER 2024'!$B$86:$E$126,4),0)))</f>
        <v>0.01</v>
      </c>
      <c r="L11" s="48">
        <f>IF('TENAGA KERJA'!F10="NPWP",'PPH PSL 21 - GROSS (MULAI 2024)'!J11*K11,IF('TENAGA KERJA'!F10="NON-NPWP",'PPH PSL 21 - GROSS (MULAI 2024)'!J11*K11*120%,0))</f>
        <v>65119.239770052023</v>
      </c>
    </row>
    <row r="12" spans="1:277">
      <c r="A12" s="45">
        <f>IF('TENAGA KERJA'!A11=0,"",'TENAGA KERJA'!A11)</f>
        <v>10</v>
      </c>
      <c r="B12" s="24" t="str">
        <f>IF('TENAGA KERJA'!B11=0,"",'TENAGA KERJA'!B11)</f>
        <v>BAGUS DWI ARISTA</v>
      </c>
      <c r="C12" s="43">
        <f>'TENAGA KERJA'!K11</f>
        <v>2961337</v>
      </c>
      <c r="D12" s="46">
        <f>'TENAGA KERJA'!L11</f>
        <v>1430000</v>
      </c>
      <c r="E12" s="46">
        <f>'TENAGA KERJA'!M11</f>
        <v>1472240.1502890172</v>
      </c>
      <c r="F12" s="43">
        <f>'TENAGA KERJA'!N11</f>
        <v>1550000</v>
      </c>
      <c r="G12" s="43">
        <f>'BPJS TK'!D12</f>
        <v>39082.899299999997</v>
      </c>
      <c r="H12" s="43">
        <f>'BPJS TK'!E12</f>
        <v>13174.011</v>
      </c>
      <c r="I12" s="46">
        <f>'BPJS KES'!D12</f>
        <v>175653.48</v>
      </c>
      <c r="J12" s="43">
        <f t="shared" si="2"/>
        <v>7641487.5405890178</v>
      </c>
      <c r="K12" s="47">
        <f>IF('TENAGA KERJA'!H11="KATEGORI A",VLOOKUP(J12,'TER 2024'!$B$2:$E$45,4),IF('TENAGA KERJA'!H11="KATEGORI B",VLOOKUP(J12,'TER 2024'!$B$46:$E$85,4),IF('TENAGA KERJA'!H11="KATEGORI C",VLOOKUP(J12,'TER 2024'!$B$86:$E$126,4),0)))</f>
        <v>1.4999999999999999E-2</v>
      </c>
      <c r="L12" s="48">
        <f>IF('TENAGA KERJA'!F11="NPWP",'PPH PSL 21 - GROSS (MULAI 2024)'!J12*K12,IF('TENAGA KERJA'!F11="NON-NPWP",'PPH PSL 21 - GROSS (MULAI 2024)'!J12*K12*120%,0))</f>
        <v>114622.31310883527</v>
      </c>
    </row>
    <row r="13" spans="1:277">
      <c r="A13" s="45">
        <f>IF('TENAGA KERJA'!A12=0,"",'TENAGA KERJA'!A12)</f>
        <v>11</v>
      </c>
      <c r="B13" s="24" t="str">
        <f>IF('TENAGA KERJA'!B12=0,"",'TENAGA KERJA'!B12)</f>
        <v>SITI AISYAH</v>
      </c>
      <c r="C13" s="43">
        <f>'TENAGA KERJA'!K12</f>
        <v>2961337</v>
      </c>
      <c r="D13" s="46">
        <f>'TENAGA KERJA'!L12</f>
        <v>1430000</v>
      </c>
      <c r="E13" s="46">
        <f>'TENAGA KERJA'!M12</f>
        <v>76150.352601156061</v>
      </c>
      <c r="F13" s="43">
        <f>'TENAGA KERJA'!N12</f>
        <v>1550000</v>
      </c>
      <c r="G13" s="43">
        <f>'BPJS TK'!D13</f>
        <v>39082.899299999997</v>
      </c>
      <c r="H13" s="43">
        <f>'BPJS TK'!E13</f>
        <v>13174.011</v>
      </c>
      <c r="I13" s="46">
        <f>'BPJS KES'!D13</f>
        <v>175653.48</v>
      </c>
      <c r="J13" s="43">
        <f t="shared" si="2"/>
        <v>6245397.7429011557</v>
      </c>
      <c r="K13" s="47">
        <f>IF('TENAGA KERJA'!H12="KATEGORI A",VLOOKUP(J13,'TER 2024'!$B$2:$E$45,4),IF('TENAGA KERJA'!H12="KATEGORI B",VLOOKUP(J13,'TER 2024'!$B$46:$E$85,4),IF('TENAGA KERJA'!H12="KATEGORI C",VLOOKUP(J13,'TER 2024'!$B$86:$E$126,4),0)))</f>
        <v>7.4999999999999997E-3</v>
      </c>
      <c r="L13" s="48">
        <f>IF('TENAGA KERJA'!F12="NPWP",'PPH PSL 21 - GROSS (MULAI 2024)'!J13*K13,IF('TENAGA KERJA'!F12="NON-NPWP",'PPH PSL 21 - GROSS (MULAI 2024)'!J13*K13*120%,0))</f>
        <v>46840.483071758666</v>
      </c>
    </row>
    <row r="14" spans="1:277">
      <c r="A14" s="45">
        <f>IF('TENAGA KERJA'!A13=0,"",'TENAGA KERJA'!A13)</f>
        <v>12</v>
      </c>
      <c r="B14" s="24" t="str">
        <f>IF('TENAGA KERJA'!B13=0,"",'TENAGA KERJA'!B13)</f>
        <v>YUDI BISMANTAKA</v>
      </c>
      <c r="C14" s="43">
        <f>'TENAGA KERJA'!K13</f>
        <v>2961337</v>
      </c>
      <c r="D14" s="46">
        <f>'TENAGA KERJA'!L13</f>
        <v>1430000</v>
      </c>
      <c r="E14" s="46">
        <f>'TENAGA KERJA'!M13</f>
        <v>101533.80346820809</v>
      </c>
      <c r="F14" s="43">
        <f>'TENAGA KERJA'!N13</f>
        <v>1550000</v>
      </c>
      <c r="G14" s="43">
        <f>'BPJS TK'!D14</f>
        <v>39082.899299999997</v>
      </c>
      <c r="H14" s="43">
        <f>'BPJS TK'!E14</f>
        <v>13174.011</v>
      </c>
      <c r="I14" s="46">
        <f>'BPJS KES'!D14</f>
        <v>175653.48</v>
      </c>
      <c r="J14" s="43">
        <f t="shared" si="2"/>
        <v>6270781.1937682079</v>
      </c>
      <c r="K14" s="47">
        <f>IF('TENAGA KERJA'!H13="KATEGORI A",VLOOKUP(J14,'TER 2024'!$B$2:$E$45,4),IF('TENAGA KERJA'!H13="KATEGORI B",VLOOKUP(J14,'TER 2024'!$B$46:$E$85,4),IF('TENAGA KERJA'!H13="KATEGORI C",VLOOKUP(J14,'TER 2024'!$B$86:$E$126,4),0)))</f>
        <v>7.4999999999999997E-3</v>
      </c>
      <c r="L14" s="48">
        <f>IF('TENAGA KERJA'!F13="NPWP",'PPH PSL 21 - GROSS (MULAI 2024)'!J14*K14,IF('TENAGA KERJA'!F13="NON-NPWP",'PPH PSL 21 - GROSS (MULAI 2024)'!J14*K14*120%,0))</f>
        <v>47030.858953261559</v>
      </c>
    </row>
    <row r="15" spans="1:277">
      <c r="A15" s="45">
        <f>IF('TENAGA KERJA'!A14=0,"",'TENAGA KERJA'!A14)</f>
        <v>13</v>
      </c>
      <c r="B15" s="24" t="str">
        <f>IF('TENAGA KERJA'!B14=0,"",'TENAGA KERJA'!B14)</f>
        <v>WARDY</v>
      </c>
      <c r="C15" s="43">
        <f>'TENAGA KERJA'!K14</f>
        <v>2961337</v>
      </c>
      <c r="D15" s="46">
        <f>'TENAGA KERJA'!L14</f>
        <v>1430000</v>
      </c>
      <c r="E15" s="46">
        <f>'TENAGA KERJA'!M14</f>
        <v>698044.89884393057</v>
      </c>
      <c r="F15" s="43">
        <f>'TENAGA KERJA'!N14</f>
        <v>1550000</v>
      </c>
      <c r="G15" s="43">
        <f>'BPJS TK'!D15</f>
        <v>39082.899299999997</v>
      </c>
      <c r="H15" s="43">
        <f>'BPJS TK'!E15</f>
        <v>13174.011</v>
      </c>
      <c r="I15" s="46">
        <f>'BPJS KES'!D15</f>
        <v>175653.48</v>
      </c>
      <c r="J15" s="43">
        <f t="shared" si="2"/>
        <v>6867292.2891439311</v>
      </c>
      <c r="K15" s="47">
        <f>IF('TENAGA KERJA'!H14="KATEGORI A",VLOOKUP(J15,'TER 2024'!$B$2:$E$45,4),IF('TENAGA KERJA'!H14="KATEGORI B",VLOOKUP(J15,'TER 2024'!$B$46:$E$85,4),IF('TENAGA KERJA'!H14="KATEGORI C",VLOOKUP(J15,'TER 2024'!$B$86:$E$126,4),0)))</f>
        <v>1.2500000000000001E-2</v>
      </c>
      <c r="L15" s="48">
        <f>IF('TENAGA KERJA'!F14="NPWP",'PPH PSL 21 - GROSS (MULAI 2024)'!J15*K15,IF('TENAGA KERJA'!F14="NON-NPWP",'PPH PSL 21 - GROSS (MULAI 2024)'!J15*K15*120%,0))</f>
        <v>85841.153614299139</v>
      </c>
    </row>
    <row r="16" spans="1:277">
      <c r="A16" s="45">
        <f>IF('TENAGA KERJA'!A15=0,"",'TENAGA KERJA'!A15)</f>
        <v>14</v>
      </c>
      <c r="B16" s="24" t="str">
        <f>IF('TENAGA KERJA'!B15=0,"",'TENAGA KERJA'!B15)</f>
        <v>HANDRI PANGESTU</v>
      </c>
      <c r="C16" s="43">
        <f>'TENAGA KERJA'!K15</f>
        <v>2961337</v>
      </c>
      <c r="D16" s="46">
        <f>'TENAGA KERJA'!L15</f>
        <v>1430000</v>
      </c>
      <c r="E16" s="46">
        <f>'TENAGA KERJA'!M15</f>
        <v>418826.93930635834</v>
      </c>
      <c r="F16" s="43">
        <f>'TENAGA KERJA'!N15</f>
        <v>1550000</v>
      </c>
      <c r="G16" s="43">
        <f>'BPJS TK'!D16</f>
        <v>39082.899299999997</v>
      </c>
      <c r="H16" s="43">
        <f>'BPJS TK'!E16</f>
        <v>13174.011</v>
      </c>
      <c r="I16" s="46">
        <f>'BPJS KES'!D16</f>
        <v>175653.48</v>
      </c>
      <c r="J16" s="43">
        <f t="shared" si="2"/>
        <v>6588074.329606358</v>
      </c>
      <c r="K16" s="47">
        <f>IF('TENAGA KERJA'!H15="KATEGORI A",VLOOKUP(J16,'TER 2024'!$B$2:$E$45,4),IF('TENAGA KERJA'!H15="KATEGORI B",VLOOKUP(J16,'TER 2024'!$B$46:$E$85,4),IF('TENAGA KERJA'!H15="KATEGORI C",VLOOKUP(J16,'TER 2024'!$B$86:$E$126,4),0)))</f>
        <v>0.01</v>
      </c>
      <c r="L16" s="48">
        <f>IF('TENAGA KERJA'!F15="NPWP",'PPH PSL 21 - GROSS (MULAI 2024)'!J16*K16,IF('TENAGA KERJA'!F15="NON-NPWP",'PPH PSL 21 - GROSS (MULAI 2024)'!J16*K16*120%,0))</f>
        <v>65880.743296063578</v>
      </c>
    </row>
    <row r="17" spans="1:12">
      <c r="A17" s="45">
        <f>IF('TENAGA KERJA'!A16=0,"",'TENAGA KERJA'!A16)</f>
        <v>15</v>
      </c>
      <c r="B17" s="24" t="str">
        <f>IF('TENAGA KERJA'!B16=0,"",'TENAGA KERJA'!B16)</f>
        <v>MUHAMMAD BAYU ARDIANTO</v>
      </c>
      <c r="C17" s="43">
        <f>'TENAGA KERJA'!K16</f>
        <v>2961337</v>
      </c>
      <c r="D17" s="46">
        <f>'TENAGA KERJA'!L16</f>
        <v>1430000</v>
      </c>
      <c r="E17" s="46">
        <f>'TENAGA KERJA'!M16</f>
        <v>101533.80346820809</v>
      </c>
      <c r="F17" s="43">
        <f>'TENAGA KERJA'!N16</f>
        <v>1550000</v>
      </c>
      <c r="G17" s="43">
        <f>'BPJS TK'!D17</f>
        <v>39082.899299999997</v>
      </c>
      <c r="H17" s="43">
        <f>'BPJS TK'!E17</f>
        <v>13174.011</v>
      </c>
      <c r="I17" s="46">
        <f>'BPJS KES'!D17</f>
        <v>175653.48</v>
      </c>
      <c r="J17" s="43">
        <f t="shared" si="2"/>
        <v>6270781.1937682079</v>
      </c>
      <c r="K17" s="47">
        <f>IF('TENAGA KERJA'!H16="KATEGORI A",VLOOKUP(J17,'TER 2024'!$B$2:$E$45,4),IF('TENAGA KERJA'!H16="KATEGORI B",VLOOKUP(J17,'TER 2024'!$B$46:$E$85,4),IF('TENAGA KERJA'!H16="KATEGORI C",VLOOKUP(J17,'TER 2024'!$B$86:$E$126,4),0)))</f>
        <v>7.4999999999999997E-3</v>
      </c>
      <c r="L17" s="48">
        <f>IF('TENAGA KERJA'!F16="NPWP",'PPH PSL 21 - GROSS (MULAI 2024)'!J17*K17,IF('TENAGA KERJA'!F16="NON-NPWP",'PPH PSL 21 - GROSS (MULAI 2024)'!J17*K17*120%,0))</f>
        <v>47030.858953261559</v>
      </c>
    </row>
    <row r="18" spans="1:12">
      <c r="A18" s="45">
        <f>IF('TENAGA KERJA'!A17=0,"",'TENAGA KERJA'!A17)</f>
        <v>16</v>
      </c>
      <c r="B18" s="24" t="str">
        <f>IF('TENAGA KERJA'!B17=0,"",'TENAGA KERJA'!B17)</f>
        <v>MUHAMMAD ZETYO D.H</v>
      </c>
      <c r="C18" s="43">
        <f>'TENAGA KERJA'!K17</f>
        <v>2961337</v>
      </c>
      <c r="D18" s="46">
        <f>'TENAGA KERJA'!L17</f>
        <v>1430000</v>
      </c>
      <c r="E18" s="46">
        <f>'TENAGA KERJA'!M17</f>
        <v>266526.23410404625</v>
      </c>
      <c r="F18" s="43">
        <f>'TENAGA KERJA'!N17</f>
        <v>1550000</v>
      </c>
      <c r="G18" s="43">
        <f>'BPJS TK'!D18</f>
        <v>39082.899299999997</v>
      </c>
      <c r="H18" s="43">
        <f>'BPJS TK'!E18</f>
        <v>13174.011</v>
      </c>
      <c r="I18" s="46">
        <f>'BPJS KES'!D18</f>
        <v>175653.48</v>
      </c>
      <c r="J18" s="43">
        <f t="shared" si="2"/>
        <v>6435773.6244040467</v>
      </c>
      <c r="K18" s="47">
        <f>IF('TENAGA KERJA'!H17="KATEGORI A",VLOOKUP(J18,'TER 2024'!$B$2:$E$45,4),IF('TENAGA KERJA'!H17="KATEGORI B",VLOOKUP(J18,'TER 2024'!$B$46:$E$85,4),IF('TENAGA KERJA'!H17="KATEGORI C",VLOOKUP(J18,'TER 2024'!$B$86:$E$126,4),0)))</f>
        <v>0.01</v>
      </c>
      <c r="L18" s="48">
        <f>IF('TENAGA KERJA'!F17="NPWP",'PPH PSL 21 - GROSS (MULAI 2024)'!J18*K18,IF('TENAGA KERJA'!F17="NON-NPWP",'PPH PSL 21 - GROSS (MULAI 2024)'!J18*K18*120%,0))</f>
        <v>64357.736244040469</v>
      </c>
    </row>
    <row r="19" spans="1:12">
      <c r="A19" s="45">
        <f>IF('TENAGA KERJA'!A18=0,"",'TENAGA KERJA'!A18)</f>
        <v>17</v>
      </c>
      <c r="B19" s="24" t="str">
        <f>IF('TENAGA KERJA'!B18=0,"",'TENAGA KERJA'!B18)</f>
        <v>MUHAMMAD HIDAYATULLAH</v>
      </c>
      <c r="C19" s="43">
        <f>'TENAGA KERJA'!K18</f>
        <v>2961337</v>
      </c>
      <c r="D19" s="46">
        <f>'TENAGA KERJA'!L18</f>
        <v>1430000</v>
      </c>
      <c r="E19" s="46">
        <f>'TENAGA KERJA'!M18</f>
        <v>38075.17630057803</v>
      </c>
      <c r="F19" s="43">
        <f>'TENAGA KERJA'!N18</f>
        <v>1550000</v>
      </c>
      <c r="G19" s="43">
        <f>'BPJS TK'!D19</f>
        <v>39082.899299999997</v>
      </c>
      <c r="H19" s="43">
        <f>'BPJS TK'!E19</f>
        <v>13174.011</v>
      </c>
      <c r="I19" s="46">
        <f>'BPJS KES'!D19</f>
        <v>175653.48</v>
      </c>
      <c r="J19" s="43">
        <f t="shared" si="2"/>
        <v>6207322.5666005779</v>
      </c>
      <c r="K19" s="47">
        <f>IF('TENAGA KERJA'!H18="KATEGORI A",VLOOKUP(J19,'TER 2024'!$B$2:$E$45,4),IF('TENAGA KERJA'!H18="KATEGORI B",VLOOKUP(J19,'TER 2024'!$B$46:$E$85,4),IF('TENAGA KERJA'!H18="KATEGORI C",VLOOKUP(J19,'TER 2024'!$B$86:$E$126,4),0)))</f>
        <v>7.4999999999999997E-3</v>
      </c>
      <c r="L19" s="48">
        <f>IF('TENAGA KERJA'!F18="NPWP",'PPH PSL 21 - GROSS (MULAI 2024)'!J19*K19,IF('TENAGA KERJA'!F18="NON-NPWP",'PPH PSL 21 - GROSS (MULAI 2024)'!J19*K19*120%,0))</f>
        <v>46554.919249504332</v>
      </c>
    </row>
    <row r="20" spans="1:12">
      <c r="A20" s="45">
        <f>IF('TENAGA KERJA'!A19=0,"",'TENAGA KERJA'!A19)</f>
        <v>18</v>
      </c>
      <c r="B20" s="24" t="str">
        <f>IF('TENAGA KERJA'!B19=0,"",'TENAGA KERJA'!B19)</f>
        <v>ALYA JUNIANTI PRATIWI</v>
      </c>
      <c r="C20" s="43">
        <f>'TENAGA KERJA'!K19</f>
        <v>2961337</v>
      </c>
      <c r="D20" s="46">
        <f>'TENAGA KERJA'!L19</f>
        <v>1430000</v>
      </c>
      <c r="E20" s="46">
        <f>'TENAGA KERJA'!M19</f>
        <v>63458.627167630053</v>
      </c>
      <c r="F20" s="43">
        <f>'TENAGA KERJA'!N19</f>
        <v>1550000</v>
      </c>
      <c r="G20" s="43">
        <f>'BPJS TK'!D20</f>
        <v>39082.899299999997</v>
      </c>
      <c r="H20" s="43">
        <f>'BPJS TK'!E20</f>
        <v>13174.011</v>
      </c>
      <c r="I20" s="46">
        <f>'BPJS KES'!D20</f>
        <v>175653.48</v>
      </c>
      <c r="J20" s="43">
        <f t="shared" si="2"/>
        <v>6232706.0174676301</v>
      </c>
      <c r="K20" s="47">
        <f>IF('TENAGA KERJA'!H19="KATEGORI A",VLOOKUP(J20,'TER 2024'!$B$2:$E$45,4),IF('TENAGA KERJA'!H19="KATEGORI B",VLOOKUP(J20,'TER 2024'!$B$46:$E$85,4),IF('TENAGA KERJA'!H19="KATEGORI C",VLOOKUP(J20,'TER 2024'!$B$86:$E$126,4),0)))</f>
        <v>7.4999999999999997E-3</v>
      </c>
      <c r="L20" s="48">
        <f>IF('TENAGA KERJA'!F19="NPWP",'PPH PSL 21 - GROSS (MULAI 2024)'!J20*K20,IF('TENAGA KERJA'!F19="NON-NPWP",'PPH PSL 21 - GROSS (MULAI 2024)'!J20*K20*120%,0))</f>
        <v>46745.295131007224</v>
      </c>
    </row>
    <row r="21" spans="1:12">
      <c r="A21" s="45">
        <f>IF('TENAGA KERJA'!A20=0,"",'TENAGA KERJA'!A20)</f>
        <v>19</v>
      </c>
      <c r="B21" s="24" t="str">
        <f>IF('TENAGA KERJA'!B20=0,"",'TENAGA KERJA'!B20)</f>
        <v>MUAMMAR AKRAM</v>
      </c>
      <c r="C21" s="43">
        <f>'TENAGA KERJA'!K20</f>
        <v>2961337</v>
      </c>
      <c r="D21" s="46">
        <f>'TENAGA KERJA'!L20</f>
        <v>1430000</v>
      </c>
      <c r="E21" s="46">
        <f>'TENAGA KERJA'!M20</f>
        <v>1053413.2109826589</v>
      </c>
      <c r="F21" s="43">
        <f>'TENAGA KERJA'!N20</f>
        <v>1550000</v>
      </c>
      <c r="G21" s="43">
        <f>'BPJS TK'!D21</f>
        <v>39082.899299999997</v>
      </c>
      <c r="H21" s="43">
        <f>'BPJS TK'!E21</f>
        <v>13174.011</v>
      </c>
      <c r="I21" s="46">
        <f>'BPJS KES'!D21</f>
        <v>175653.48</v>
      </c>
      <c r="J21" s="43">
        <f t="shared" si="2"/>
        <v>7222660.601282659</v>
      </c>
      <c r="K21" s="47">
        <f>IF('TENAGA KERJA'!H20="KATEGORI A",VLOOKUP(J21,'TER 2024'!$B$2:$E$45,4),IF('TENAGA KERJA'!H20="KATEGORI B",VLOOKUP(J21,'TER 2024'!$B$46:$E$85,4),IF('TENAGA KERJA'!H20="KATEGORI C",VLOOKUP(J21,'TER 2024'!$B$86:$E$126,4),0)))</f>
        <v>1.2500000000000001E-2</v>
      </c>
      <c r="L21" s="48">
        <f>IF('TENAGA KERJA'!F20="NPWP",'PPH PSL 21 - GROSS (MULAI 2024)'!J21*K21,IF('TENAGA KERJA'!F20="NON-NPWP",'PPH PSL 21 - GROSS (MULAI 2024)'!J21*K21*120%,0))</f>
        <v>90283.257516033249</v>
      </c>
    </row>
    <row r="22" spans="1:12">
      <c r="A22" s="45">
        <f>IF('TENAGA KERJA'!A21=0,"",'TENAGA KERJA'!A21)</f>
        <v>20</v>
      </c>
      <c r="B22" s="24" t="str">
        <f>IF('TENAGA KERJA'!B21=0,"",'TENAGA KERJA'!B21)</f>
        <v>DARMAWAN SYAH</v>
      </c>
      <c r="C22" s="43">
        <f>'TENAGA KERJA'!K21</f>
        <v>2500000</v>
      </c>
      <c r="D22" s="46">
        <f>'TENAGA KERJA'!L21</f>
        <v>0</v>
      </c>
      <c r="E22" s="46">
        <f>'TENAGA KERJA'!M21</f>
        <v>4701000</v>
      </c>
      <c r="F22" s="43">
        <f>'TENAGA KERJA'!N21</f>
        <v>600000</v>
      </c>
      <c r="G22" s="43">
        <f>'BPJS TK'!D22</f>
        <v>39082.899299999997</v>
      </c>
      <c r="H22" s="43">
        <f>'BPJS TK'!E22</f>
        <v>13174.011</v>
      </c>
      <c r="I22" s="46">
        <f>'BPJS KES'!D22</f>
        <v>175653.48</v>
      </c>
      <c r="J22" s="43">
        <f t="shared" si="2"/>
        <v>8028910.3903000001</v>
      </c>
      <c r="K22" s="47">
        <f>IF('TENAGA KERJA'!H21="KATEGORI A",VLOOKUP(J22,'TER 2024'!$B$2:$E$45,4),IF('TENAGA KERJA'!H21="KATEGORI B",VLOOKUP(J22,'TER 2024'!$B$46:$E$85,4),IF('TENAGA KERJA'!H21="KATEGORI C",VLOOKUP(J22,'TER 2024'!$B$86:$E$126,4),0)))</f>
        <v>0.01</v>
      </c>
      <c r="L22" s="48">
        <f>IF('TENAGA KERJA'!F21="NPWP",'PPH PSL 21 - GROSS (MULAI 2024)'!J22*K22,IF('TENAGA KERJA'!F21="NON-NPWP",'PPH PSL 21 - GROSS (MULAI 2024)'!J22*K22*120%,0))</f>
        <v>80289.103902999996</v>
      </c>
    </row>
    <row r="23" spans="1:12">
      <c r="A23" s="45">
        <f>IF('TENAGA KERJA'!A22=0,"",'TENAGA KERJA'!A22)</f>
        <v>21</v>
      </c>
      <c r="B23" s="24" t="str">
        <f>IF('TENAGA KERJA'!B22=0,"",'TENAGA KERJA'!B22)</f>
        <v>MARIYAM</v>
      </c>
      <c r="C23" s="43">
        <f>'TENAGA KERJA'!K22</f>
        <v>2961337</v>
      </c>
      <c r="D23" s="46">
        <f>'TENAGA KERJA'!L22</f>
        <v>1430000</v>
      </c>
      <c r="E23" s="46">
        <f>'TENAGA KERJA'!M22</f>
        <v>300000</v>
      </c>
      <c r="F23" s="43">
        <f>'TENAGA KERJA'!N22</f>
        <v>1200000</v>
      </c>
      <c r="G23" s="43">
        <f>'BPJS TK'!D23</f>
        <v>39082.899299999997</v>
      </c>
      <c r="H23" s="43">
        <f>'BPJS TK'!E23</f>
        <v>13174.011</v>
      </c>
      <c r="I23" s="46">
        <f>'BPJS KES'!D23</f>
        <v>175653.48</v>
      </c>
      <c r="J23" s="43">
        <f t="shared" si="2"/>
        <v>6119247.3903000001</v>
      </c>
      <c r="K23" s="47">
        <f>IF('TENAGA KERJA'!H22="KATEGORI A",VLOOKUP(J23,'TER 2024'!$B$2:$E$45,4),IF('TENAGA KERJA'!H22="KATEGORI B",VLOOKUP(J23,'TER 2024'!$B$46:$E$85,4),IF('TENAGA KERJA'!H22="KATEGORI C",VLOOKUP(J23,'TER 2024'!$B$86:$E$126,4),0)))</f>
        <v>7.4999999999999997E-3</v>
      </c>
      <c r="L23" s="48">
        <f>IF('TENAGA KERJA'!F22="NPWP",'PPH PSL 21 - GROSS (MULAI 2024)'!J23*K23,IF('TENAGA KERJA'!F22="NON-NPWP",'PPH PSL 21 - GROSS (MULAI 2024)'!J23*K23*120%,0))</f>
        <v>45894.355427249997</v>
      </c>
    </row>
    <row r="24" spans="1:12">
      <c r="A24" s="45">
        <f>IF('TENAGA KERJA'!A23=0,"",'TENAGA KERJA'!A23)</f>
        <v>22</v>
      </c>
      <c r="B24" s="24" t="str">
        <f>IF('TENAGA KERJA'!B23=0,"",'TENAGA KERJA'!B23)</f>
        <v>ACHMAD RENALDI</v>
      </c>
      <c r="C24" s="43">
        <f>'TENAGA KERJA'!K23</f>
        <v>2961337</v>
      </c>
      <c r="D24" s="46">
        <f>'TENAGA KERJA'!L23</f>
        <v>1430000</v>
      </c>
      <c r="E24" s="46">
        <f>'TENAGA KERJA'!M23</f>
        <v>2614495.4393063583</v>
      </c>
      <c r="F24" s="43">
        <f>'TENAGA KERJA'!N23</f>
        <v>900000</v>
      </c>
      <c r="G24" s="43">
        <f>'BPJS TK'!D24</f>
        <v>39082.899299999997</v>
      </c>
      <c r="H24" s="43">
        <f>'BPJS TK'!E24</f>
        <v>13174.011</v>
      </c>
      <c r="I24" s="46">
        <f>'BPJS KES'!D24</f>
        <v>175653.48</v>
      </c>
      <c r="J24" s="43">
        <f t="shared" si="2"/>
        <v>8133742.829606358</v>
      </c>
      <c r="K24" s="47">
        <f>IF('TENAGA KERJA'!H23="KATEGORI A",VLOOKUP(J24,'TER 2024'!$B$2:$E$45,4),IF('TENAGA KERJA'!H23="KATEGORI B",VLOOKUP(J24,'TER 2024'!$B$46:$E$85,4),IF('TENAGA KERJA'!H23="KATEGORI C",VLOOKUP(J24,'TER 2024'!$B$86:$E$126,4),0)))</f>
        <v>1.4999999999999999E-2</v>
      </c>
      <c r="L24" s="48">
        <f>IF('TENAGA KERJA'!F23="NPWP",'PPH PSL 21 - GROSS (MULAI 2024)'!J24*K24,IF('TENAGA KERJA'!F23="NON-NPWP",'PPH PSL 21 - GROSS (MULAI 2024)'!J24*K24*120%,0))</f>
        <v>122006.14244409537</v>
      </c>
    </row>
    <row r="25" spans="1:12">
      <c r="A25" s="45">
        <f>IF('TENAGA KERJA'!A24=0,"",'TENAGA KERJA'!A24)</f>
        <v>23</v>
      </c>
      <c r="B25" s="24" t="str">
        <f>IF('TENAGA KERJA'!B24=0,"",'TENAGA KERJA'!B24)</f>
        <v>ARIF GUNAWAN</v>
      </c>
      <c r="C25" s="43">
        <f>'TENAGA KERJA'!K24</f>
        <v>2961337</v>
      </c>
      <c r="D25" s="46">
        <f>'TENAGA KERJA'!L24</f>
        <v>1430000</v>
      </c>
      <c r="E25" s="46">
        <f>'TENAGA KERJA'!M24</f>
        <v>126917.25433526011</v>
      </c>
      <c r="F25" s="43">
        <f>'TENAGA KERJA'!N24</f>
        <v>800000</v>
      </c>
      <c r="G25" s="43">
        <f>'BPJS TK'!D25</f>
        <v>39082.899299999997</v>
      </c>
      <c r="H25" s="43">
        <f>'BPJS TK'!E25</f>
        <v>13174.011</v>
      </c>
      <c r="I25" s="46">
        <f>'BPJS KES'!D25</f>
        <v>175653.48</v>
      </c>
      <c r="J25" s="43">
        <f t="shared" si="2"/>
        <v>5546164.6446352601</v>
      </c>
      <c r="K25" s="47">
        <f>IF('TENAGA KERJA'!H24="KATEGORI A",VLOOKUP(J25,'TER 2024'!$B$2:$E$45,4),IF('TENAGA KERJA'!H24="KATEGORI B",VLOOKUP(J25,'TER 2024'!$B$46:$E$85,4),IF('TENAGA KERJA'!H24="KATEGORI C",VLOOKUP(J25,'TER 2024'!$B$86:$E$126,4),0)))</f>
        <v>0</v>
      </c>
      <c r="L25" s="48">
        <f>IF('TENAGA KERJA'!F24="NPWP",'PPH PSL 21 - GROSS (MULAI 2024)'!J25*K25,IF('TENAGA KERJA'!F24="NON-NPWP",'PPH PSL 21 - GROSS (MULAI 2024)'!J25*K25*120%,0))</f>
        <v>0</v>
      </c>
    </row>
    <row r="26" spans="1:12">
      <c r="A26" s="45" t="str">
        <f>IF('TENAGA KERJA'!A25=0,"",'TENAGA KERJA'!A25)</f>
        <v/>
      </c>
      <c r="B26" s="24" t="str">
        <f>IF('TENAGA KERJA'!B25=0,"",'TENAGA KERJA'!B25)</f>
        <v/>
      </c>
      <c r="C26" s="43">
        <f>'TENAGA KERJA'!K25</f>
        <v>0</v>
      </c>
      <c r="D26" s="46">
        <f>'TENAGA KERJA'!L25</f>
        <v>0</v>
      </c>
      <c r="E26" s="46">
        <f>'TENAGA KERJA'!M25</f>
        <v>0</v>
      </c>
      <c r="F26" s="43">
        <f>'TENAGA KERJA'!N25</f>
        <v>0</v>
      </c>
      <c r="G26" s="43">
        <f>'BPJS TK'!D26</f>
        <v>0</v>
      </c>
      <c r="H26" s="43">
        <f>'BPJS TK'!E26</f>
        <v>0</v>
      </c>
      <c r="I26" s="46">
        <f>'BPJS KES'!D26</f>
        <v>0</v>
      </c>
      <c r="J26" s="43">
        <f t="shared" si="2"/>
        <v>0</v>
      </c>
      <c r="K26" s="47">
        <f>IF('TENAGA KERJA'!H25="KATEGORI A",VLOOKUP(J26,'TER 2024'!$B$2:$E$45,4),IF('TENAGA KERJA'!H25="KATEGORI B",VLOOKUP(J26,'TER 2024'!$B$46:$E$85,4),IF('TENAGA KERJA'!H25="KATEGORI C",VLOOKUP(J26,'TER 2024'!$B$86:$E$126,4),0)))</f>
        <v>0</v>
      </c>
      <c r="L26" s="48">
        <f>IF('TENAGA KERJA'!F25="NPWP",'PPH PSL 21 - GROSS (MULAI 2024)'!J26*K26,IF('TENAGA KERJA'!F25="NON-NPWP",'PPH PSL 21 - GROSS (MULAI 2024)'!J26*K26*120%,0))</f>
        <v>0</v>
      </c>
    </row>
    <row r="27" spans="1:12">
      <c r="A27" s="45" t="str">
        <f>IF('TENAGA KERJA'!A26=0,"",'TENAGA KERJA'!A26)</f>
        <v/>
      </c>
      <c r="B27" s="24" t="str">
        <f>IF('TENAGA KERJA'!B26=0,"",'TENAGA KERJA'!B26)</f>
        <v/>
      </c>
      <c r="C27" s="43">
        <f>'TENAGA KERJA'!K26</f>
        <v>0</v>
      </c>
      <c r="D27" s="46">
        <f>'TENAGA KERJA'!L26</f>
        <v>0</v>
      </c>
      <c r="E27" s="46">
        <f>'TENAGA KERJA'!M26</f>
        <v>0</v>
      </c>
      <c r="F27" s="43">
        <f>'TENAGA KERJA'!N26</f>
        <v>0</v>
      </c>
      <c r="G27" s="43">
        <f>'BPJS TK'!D27</f>
        <v>0</v>
      </c>
      <c r="H27" s="43">
        <f>'BPJS TK'!E27</f>
        <v>0</v>
      </c>
      <c r="I27" s="46">
        <f>'BPJS KES'!D27</f>
        <v>0</v>
      </c>
      <c r="J27" s="43">
        <f t="shared" si="2"/>
        <v>0</v>
      </c>
      <c r="K27" s="47">
        <f>IF('TENAGA KERJA'!H26="KATEGORI A",VLOOKUP(J27,'TER 2024'!$B$2:$E$45,4),IF('TENAGA KERJA'!H26="KATEGORI B",VLOOKUP(J27,'TER 2024'!$B$46:$E$85,4),IF('TENAGA KERJA'!H26="KATEGORI C",VLOOKUP(J27,'TER 2024'!$B$86:$E$126,4),0)))</f>
        <v>0</v>
      </c>
      <c r="L27" s="48">
        <f>IF('TENAGA KERJA'!F26="NPWP",'PPH PSL 21 - GROSS (MULAI 2024)'!J27*K27,IF('TENAGA KERJA'!F26="NON-NPWP",'PPH PSL 21 - GROSS (MULAI 2024)'!J27*K27*120%,0))</f>
        <v>0</v>
      </c>
    </row>
    <row r="28" spans="1:12">
      <c r="A28" s="45" t="str">
        <f>IF('TENAGA KERJA'!A27=0,"",'TENAGA KERJA'!A27)</f>
        <v/>
      </c>
      <c r="B28" s="24" t="str">
        <f>IF('TENAGA KERJA'!B27=0,"",'TENAGA KERJA'!B27)</f>
        <v/>
      </c>
      <c r="C28" s="43">
        <f>'TENAGA KERJA'!K27</f>
        <v>0</v>
      </c>
      <c r="D28" s="46">
        <f>'TENAGA KERJA'!L27</f>
        <v>0</v>
      </c>
      <c r="E28" s="46">
        <f>'TENAGA KERJA'!M27</f>
        <v>0</v>
      </c>
      <c r="F28" s="43">
        <f>'TENAGA KERJA'!N27</f>
        <v>0</v>
      </c>
      <c r="G28" s="43">
        <f>'BPJS TK'!D28</f>
        <v>0</v>
      </c>
      <c r="H28" s="43">
        <f>'BPJS TK'!E28</f>
        <v>0</v>
      </c>
      <c r="I28" s="46">
        <f>'BPJS KES'!D28</f>
        <v>0</v>
      </c>
      <c r="J28" s="43">
        <f t="shared" si="2"/>
        <v>0</v>
      </c>
      <c r="K28" s="47">
        <f>IF('TENAGA KERJA'!H27="KATEGORI A",VLOOKUP(J28,'TER 2024'!$B$2:$E$45,4),IF('TENAGA KERJA'!H27="KATEGORI B",VLOOKUP(J28,'TER 2024'!$B$46:$E$85,4),IF('TENAGA KERJA'!H27="KATEGORI C",VLOOKUP(J28,'TER 2024'!$B$86:$E$126,4),0)))</f>
        <v>0</v>
      </c>
      <c r="L28" s="48">
        <f>IF('TENAGA KERJA'!F27="NPWP",'PPH PSL 21 - GROSS (MULAI 2024)'!J28*K28,IF('TENAGA KERJA'!F27="NON-NPWP",'PPH PSL 21 - GROSS (MULAI 2024)'!J28*K28*120%,0))</f>
        <v>0</v>
      </c>
    </row>
    <row r="29" spans="1:12">
      <c r="A29" s="45" t="str">
        <f>IF('TENAGA KERJA'!A28=0,"",'TENAGA KERJA'!A28)</f>
        <v/>
      </c>
      <c r="B29" s="24" t="str">
        <f>IF('TENAGA KERJA'!B28=0,"",'TENAGA KERJA'!B28)</f>
        <v/>
      </c>
      <c r="C29" s="43">
        <f>'TENAGA KERJA'!K28</f>
        <v>0</v>
      </c>
      <c r="D29" s="46">
        <f>'TENAGA KERJA'!L28</f>
        <v>0</v>
      </c>
      <c r="E29" s="46">
        <f>'TENAGA KERJA'!M28</f>
        <v>0</v>
      </c>
      <c r="F29" s="43">
        <f>'TENAGA KERJA'!N28</f>
        <v>0</v>
      </c>
      <c r="G29" s="43">
        <f>'BPJS TK'!D29</f>
        <v>0</v>
      </c>
      <c r="H29" s="43">
        <f>'BPJS TK'!E29</f>
        <v>0</v>
      </c>
      <c r="I29" s="46">
        <f>'BPJS KES'!D29</f>
        <v>0</v>
      </c>
      <c r="J29" s="43">
        <f t="shared" si="2"/>
        <v>0</v>
      </c>
      <c r="K29" s="47">
        <f>IF('TENAGA KERJA'!H28="KATEGORI A",VLOOKUP(J29,'TER 2024'!$B$2:$E$45,4),IF('TENAGA KERJA'!H28="KATEGORI B",VLOOKUP(J29,'TER 2024'!$B$46:$E$85,4),IF('TENAGA KERJA'!H28="KATEGORI C",VLOOKUP(J29,'TER 2024'!$B$86:$E$126,4),0)))</f>
        <v>0</v>
      </c>
      <c r="L29" s="48">
        <f>IF('TENAGA KERJA'!F28="NPWP",'PPH PSL 21 - GROSS (MULAI 2024)'!J29*K29,IF('TENAGA KERJA'!F28="NON-NPWP",'PPH PSL 21 - GROSS (MULAI 2024)'!J29*K29*120%,0))</f>
        <v>0</v>
      </c>
    </row>
    <row r="30" spans="1:12">
      <c r="A30" s="45" t="str">
        <f>IF('TENAGA KERJA'!A29=0,"",'TENAGA KERJA'!A29)</f>
        <v/>
      </c>
      <c r="B30" s="24" t="str">
        <f>IF('TENAGA KERJA'!B29=0,"",'TENAGA KERJA'!B29)</f>
        <v/>
      </c>
      <c r="C30" s="43">
        <f>'TENAGA KERJA'!K29</f>
        <v>0</v>
      </c>
      <c r="D30" s="46">
        <f>'TENAGA KERJA'!L29</f>
        <v>0</v>
      </c>
      <c r="E30" s="46">
        <f>'TENAGA KERJA'!M29</f>
        <v>0</v>
      </c>
      <c r="F30" s="43">
        <f>'TENAGA KERJA'!N29</f>
        <v>0</v>
      </c>
      <c r="G30" s="43">
        <f>'BPJS TK'!D30</f>
        <v>0</v>
      </c>
      <c r="H30" s="43">
        <f>'BPJS TK'!E30</f>
        <v>0</v>
      </c>
      <c r="I30" s="46">
        <f>'BPJS KES'!D30</f>
        <v>0</v>
      </c>
      <c r="J30" s="43">
        <f t="shared" si="2"/>
        <v>0</v>
      </c>
      <c r="K30" s="47">
        <f>IF('TENAGA KERJA'!H29="KATEGORI A",VLOOKUP(J30,'TER 2024'!$B$2:$E$45,4),IF('TENAGA KERJA'!H29="KATEGORI B",VLOOKUP(J30,'TER 2024'!$B$46:$E$85,4),IF('TENAGA KERJA'!H29="KATEGORI C",VLOOKUP(J30,'TER 2024'!$B$86:$E$126,4),0)))</f>
        <v>0</v>
      </c>
      <c r="L30" s="48">
        <f>IF('TENAGA KERJA'!F29="NPWP",'PPH PSL 21 - GROSS (MULAI 2024)'!J30*K30,IF('TENAGA KERJA'!F29="NON-NPWP",'PPH PSL 21 - GROSS (MULAI 2024)'!J30*K30*120%,0))</f>
        <v>0</v>
      </c>
    </row>
    <row r="31" spans="1:12">
      <c r="A31" s="45" t="str">
        <f>IF('TENAGA KERJA'!A30=0,"",'TENAGA KERJA'!A30)</f>
        <v/>
      </c>
      <c r="B31" s="24" t="str">
        <f>IF('TENAGA KERJA'!B30=0,"",'TENAGA KERJA'!B30)</f>
        <v/>
      </c>
      <c r="C31" s="43">
        <f>'TENAGA KERJA'!K30</f>
        <v>0</v>
      </c>
      <c r="D31" s="46">
        <f>'TENAGA KERJA'!L30</f>
        <v>0</v>
      </c>
      <c r="E31" s="46">
        <f>'TENAGA KERJA'!M30</f>
        <v>0</v>
      </c>
      <c r="F31" s="43">
        <f>'TENAGA KERJA'!N30</f>
        <v>0</v>
      </c>
      <c r="G31" s="43">
        <f>'BPJS TK'!D31</f>
        <v>0</v>
      </c>
      <c r="H31" s="43">
        <f>'BPJS TK'!E31</f>
        <v>0</v>
      </c>
      <c r="I31" s="46">
        <f>'BPJS KES'!D31</f>
        <v>0</v>
      </c>
      <c r="J31" s="43">
        <f t="shared" si="2"/>
        <v>0</v>
      </c>
      <c r="K31" s="47">
        <f>IF('TENAGA KERJA'!H30="KATEGORI A",VLOOKUP(J31,'TER 2024'!$B$2:$E$45,4),IF('TENAGA KERJA'!H30="KATEGORI B",VLOOKUP(J31,'TER 2024'!$B$46:$E$85,4),IF('TENAGA KERJA'!H30="KATEGORI C",VLOOKUP(J31,'TER 2024'!$B$86:$E$126,4),0)))</f>
        <v>0</v>
      </c>
      <c r="L31" s="48">
        <f>IF('TENAGA KERJA'!F30="NPWP",'PPH PSL 21 - GROSS (MULAI 2024)'!J31*K31,IF('TENAGA KERJA'!F30="NON-NPWP",'PPH PSL 21 - GROSS (MULAI 2024)'!J31*K31*120%,0))</f>
        <v>0</v>
      </c>
    </row>
    <row r="32" spans="1:12">
      <c r="A32" s="45" t="str">
        <f>IF('TENAGA KERJA'!A31=0,"",'TENAGA KERJA'!A31)</f>
        <v/>
      </c>
      <c r="B32" s="24" t="str">
        <f>IF('TENAGA KERJA'!B31=0,"",'TENAGA KERJA'!B31)</f>
        <v/>
      </c>
      <c r="C32" s="43">
        <f>'TENAGA KERJA'!K31</f>
        <v>0</v>
      </c>
      <c r="D32" s="46">
        <f>'TENAGA KERJA'!L31</f>
        <v>0</v>
      </c>
      <c r="E32" s="46">
        <f>'TENAGA KERJA'!M31</f>
        <v>0</v>
      </c>
      <c r="F32" s="43">
        <f>'TENAGA KERJA'!N31</f>
        <v>0</v>
      </c>
      <c r="G32" s="43">
        <f>'BPJS TK'!D32</f>
        <v>0</v>
      </c>
      <c r="H32" s="43">
        <f>'BPJS TK'!E32</f>
        <v>0</v>
      </c>
      <c r="I32" s="46">
        <f>'BPJS KES'!D32</f>
        <v>0</v>
      </c>
      <c r="J32" s="43">
        <f t="shared" si="2"/>
        <v>0</v>
      </c>
      <c r="K32" s="47">
        <f>IF('TENAGA KERJA'!H31="KATEGORI A",VLOOKUP(J32,'TER 2024'!$B$2:$E$45,4),IF('TENAGA KERJA'!H31="KATEGORI B",VLOOKUP(J32,'TER 2024'!$B$46:$E$85,4),IF('TENAGA KERJA'!H31="KATEGORI C",VLOOKUP(J32,'TER 2024'!$B$86:$E$126,4),0)))</f>
        <v>0</v>
      </c>
      <c r="L32" s="48">
        <f>IF('TENAGA KERJA'!F31="NPWP",'PPH PSL 21 - GROSS (MULAI 2024)'!J32*K32,IF('TENAGA KERJA'!F31="NON-NPWP",'PPH PSL 21 - GROSS (MULAI 2024)'!J32*K32*120%,0))</f>
        <v>0</v>
      </c>
    </row>
    <row r="33" spans="1:12">
      <c r="A33" s="45" t="str">
        <f>IF('TENAGA KERJA'!A32=0,"",'TENAGA KERJA'!A32)</f>
        <v/>
      </c>
      <c r="B33" s="24" t="str">
        <f>IF('TENAGA KERJA'!B32=0,"",'TENAGA KERJA'!B32)</f>
        <v/>
      </c>
      <c r="C33" s="43">
        <f>'TENAGA KERJA'!K32</f>
        <v>0</v>
      </c>
      <c r="D33" s="46">
        <f>'TENAGA KERJA'!L32</f>
        <v>0</v>
      </c>
      <c r="E33" s="46">
        <f>'TENAGA KERJA'!M32</f>
        <v>0</v>
      </c>
      <c r="F33" s="43">
        <f>'TENAGA KERJA'!N32</f>
        <v>0</v>
      </c>
      <c r="G33" s="43">
        <f>'BPJS TK'!D33</f>
        <v>0</v>
      </c>
      <c r="H33" s="43">
        <f>'BPJS TK'!E33</f>
        <v>0</v>
      </c>
      <c r="I33" s="46">
        <f>'BPJS KES'!D33</f>
        <v>0</v>
      </c>
      <c r="J33" s="43">
        <f t="shared" si="2"/>
        <v>0</v>
      </c>
      <c r="K33" s="47">
        <f>IF('TENAGA KERJA'!H32="KATEGORI A",VLOOKUP(J33,'TER 2024'!$B$2:$E$45,4),IF('TENAGA KERJA'!H32="KATEGORI B",VLOOKUP(J33,'TER 2024'!$B$46:$E$85,4),IF('TENAGA KERJA'!H32="KATEGORI C",VLOOKUP(J33,'TER 2024'!$B$86:$E$126,4),0)))</f>
        <v>0</v>
      </c>
      <c r="L33" s="48">
        <f>IF('TENAGA KERJA'!F32="NPWP",'PPH PSL 21 - GROSS (MULAI 2024)'!J33*K33,IF('TENAGA KERJA'!F32="NON-NPWP",'PPH PSL 21 - GROSS (MULAI 2024)'!J33*K33*120%,0))</f>
        <v>0</v>
      </c>
    </row>
    <row r="34" spans="1:12">
      <c r="A34" s="45" t="str">
        <f>IF('TENAGA KERJA'!A33=0,"",'TENAGA KERJA'!A33)</f>
        <v/>
      </c>
      <c r="B34" s="24" t="str">
        <f>IF('TENAGA KERJA'!B33=0,"",'TENAGA KERJA'!B33)</f>
        <v/>
      </c>
      <c r="C34" s="43">
        <f>'TENAGA KERJA'!K33</f>
        <v>0</v>
      </c>
      <c r="D34" s="46">
        <f>'TENAGA KERJA'!L33</f>
        <v>0</v>
      </c>
      <c r="E34" s="46">
        <f>'TENAGA KERJA'!M33</f>
        <v>0</v>
      </c>
      <c r="F34" s="43">
        <f>'TENAGA KERJA'!N33</f>
        <v>0</v>
      </c>
      <c r="G34" s="43">
        <f>'BPJS TK'!D34</f>
        <v>0</v>
      </c>
      <c r="H34" s="43">
        <f>'BPJS TK'!E34</f>
        <v>0</v>
      </c>
      <c r="I34" s="46">
        <f>'BPJS KES'!D34</f>
        <v>0</v>
      </c>
      <c r="J34" s="43">
        <f t="shared" si="2"/>
        <v>0</v>
      </c>
      <c r="K34" s="47">
        <f>IF('TENAGA KERJA'!H33="KATEGORI A",VLOOKUP(J34,'TER 2024'!$B$2:$E$45,4),IF('TENAGA KERJA'!H33="KATEGORI B",VLOOKUP(J34,'TER 2024'!$B$46:$E$85,4),IF('TENAGA KERJA'!H33="KATEGORI C",VLOOKUP(J34,'TER 2024'!$B$86:$E$126,4),0)))</f>
        <v>0</v>
      </c>
      <c r="L34" s="48">
        <f>IF('TENAGA KERJA'!F33="NPWP",'PPH PSL 21 - GROSS (MULAI 2024)'!J34*K34,IF('TENAGA KERJA'!F33="NON-NPWP",'PPH PSL 21 - GROSS (MULAI 2024)'!J34*K34*120%,0))</f>
        <v>0</v>
      </c>
    </row>
    <row r="35" spans="1:12">
      <c r="A35" s="45" t="str">
        <f>IF('TENAGA KERJA'!A34=0,"",'TENAGA KERJA'!A34)</f>
        <v/>
      </c>
      <c r="B35" s="24" t="str">
        <f>IF('TENAGA KERJA'!B34=0,"",'TENAGA KERJA'!B34)</f>
        <v/>
      </c>
      <c r="C35" s="43">
        <f>'TENAGA KERJA'!K34</f>
        <v>0</v>
      </c>
      <c r="D35" s="46">
        <f>'TENAGA KERJA'!L34</f>
        <v>0</v>
      </c>
      <c r="E35" s="46">
        <f>'TENAGA KERJA'!M34</f>
        <v>0</v>
      </c>
      <c r="F35" s="43">
        <f>'TENAGA KERJA'!N34</f>
        <v>0</v>
      </c>
      <c r="G35" s="43">
        <f>'BPJS TK'!D35</f>
        <v>0</v>
      </c>
      <c r="H35" s="43">
        <f>'BPJS TK'!E35</f>
        <v>0</v>
      </c>
      <c r="I35" s="46">
        <f>'BPJS KES'!D35</f>
        <v>0</v>
      </c>
      <c r="J35" s="43">
        <f t="shared" si="2"/>
        <v>0</v>
      </c>
      <c r="K35" s="47">
        <f>IF('TENAGA KERJA'!H34="KATEGORI A",VLOOKUP(J35,'TER 2024'!$B$2:$E$45,4),IF('TENAGA KERJA'!H34="KATEGORI B",VLOOKUP(J35,'TER 2024'!$B$46:$E$85,4),IF('TENAGA KERJA'!H34="KATEGORI C",VLOOKUP(J35,'TER 2024'!$B$86:$E$126,4),0)))</f>
        <v>0</v>
      </c>
      <c r="L35" s="48">
        <f>IF('TENAGA KERJA'!F34="NPWP",'PPH PSL 21 - GROSS (MULAI 2024)'!J35*K35,IF('TENAGA KERJA'!F34="NON-NPWP",'PPH PSL 21 - GROSS (MULAI 2024)'!J35*K35*120%,0))</f>
        <v>0</v>
      </c>
    </row>
    <row r="36" spans="1:12">
      <c r="A36" s="45" t="str">
        <f>IF('TENAGA KERJA'!A35=0,"",'TENAGA KERJA'!A35)</f>
        <v/>
      </c>
      <c r="B36" s="24" t="str">
        <f>IF('TENAGA KERJA'!B35=0,"",'TENAGA KERJA'!B35)</f>
        <v/>
      </c>
      <c r="C36" s="43">
        <f>'TENAGA KERJA'!K35</f>
        <v>0</v>
      </c>
      <c r="D36" s="46">
        <f>'TENAGA KERJA'!L35</f>
        <v>0</v>
      </c>
      <c r="E36" s="46">
        <f>'TENAGA KERJA'!M35</f>
        <v>0</v>
      </c>
      <c r="F36" s="43">
        <f>'TENAGA KERJA'!N35</f>
        <v>0</v>
      </c>
      <c r="G36" s="43">
        <f>'BPJS TK'!D36</f>
        <v>0</v>
      </c>
      <c r="H36" s="43">
        <f>'BPJS TK'!E36</f>
        <v>0</v>
      </c>
      <c r="I36" s="46">
        <f>'BPJS KES'!D36</f>
        <v>0</v>
      </c>
      <c r="J36" s="43">
        <f t="shared" si="2"/>
        <v>0</v>
      </c>
      <c r="K36" s="47">
        <f>IF('TENAGA KERJA'!H35="KATEGORI A",VLOOKUP(J36,'TER 2024'!$B$2:$E$45,4),IF('TENAGA KERJA'!H35="KATEGORI B",VLOOKUP(J36,'TER 2024'!$B$46:$E$85,4),IF('TENAGA KERJA'!H35="KATEGORI C",VLOOKUP(J36,'TER 2024'!$B$86:$E$126,4),0)))</f>
        <v>0</v>
      </c>
      <c r="L36" s="48">
        <f>IF('TENAGA KERJA'!F35="NPWP",'PPH PSL 21 - GROSS (MULAI 2024)'!J36*K36,IF('TENAGA KERJA'!F35="NON-NPWP",'PPH PSL 21 - GROSS (MULAI 2024)'!J36*K36*120%,0))</f>
        <v>0</v>
      </c>
    </row>
    <row r="37" spans="1:12">
      <c r="A37" s="45" t="str">
        <f>IF('TENAGA KERJA'!A36=0,"",'TENAGA KERJA'!A36)</f>
        <v/>
      </c>
      <c r="B37" s="24" t="str">
        <f>IF('TENAGA KERJA'!B36=0,"",'TENAGA KERJA'!B36)</f>
        <v/>
      </c>
      <c r="C37" s="43">
        <f>'TENAGA KERJA'!K36</f>
        <v>0</v>
      </c>
      <c r="D37" s="46">
        <f>'TENAGA KERJA'!L36</f>
        <v>0</v>
      </c>
      <c r="E37" s="46">
        <f>'TENAGA KERJA'!M36</f>
        <v>0</v>
      </c>
      <c r="F37" s="43">
        <f>'TENAGA KERJA'!N36</f>
        <v>0</v>
      </c>
      <c r="G37" s="43">
        <f>'BPJS TK'!D37</f>
        <v>0</v>
      </c>
      <c r="H37" s="43">
        <f>'BPJS TK'!E37</f>
        <v>0</v>
      </c>
      <c r="I37" s="46">
        <f>'BPJS KES'!D37</f>
        <v>0</v>
      </c>
      <c r="J37" s="43">
        <f t="shared" si="2"/>
        <v>0</v>
      </c>
      <c r="K37" s="47">
        <f>IF('TENAGA KERJA'!H36="KATEGORI A",VLOOKUP(J37,'TER 2024'!$B$2:$E$45,4),IF('TENAGA KERJA'!H36="KATEGORI B",VLOOKUP(J37,'TER 2024'!$B$46:$E$85,4),IF('TENAGA KERJA'!H36="KATEGORI C",VLOOKUP(J37,'TER 2024'!$B$86:$E$126,4),0)))</f>
        <v>0</v>
      </c>
      <c r="L37" s="48">
        <f>IF('TENAGA KERJA'!F36="NPWP",'PPH PSL 21 - GROSS (MULAI 2024)'!J37*K37,IF('TENAGA KERJA'!F36="NON-NPWP",'PPH PSL 21 - GROSS (MULAI 2024)'!J37*K37*120%,0))</f>
        <v>0</v>
      </c>
    </row>
    <row r="38" spans="1:12">
      <c r="A38" s="45" t="str">
        <f>IF('TENAGA KERJA'!A37=0,"",'TENAGA KERJA'!A37)</f>
        <v/>
      </c>
      <c r="B38" s="24" t="str">
        <f>IF('TENAGA KERJA'!B37=0,"",'TENAGA KERJA'!B37)</f>
        <v/>
      </c>
      <c r="C38" s="43">
        <f>'TENAGA KERJA'!K37</f>
        <v>0</v>
      </c>
      <c r="D38" s="46">
        <f>'TENAGA KERJA'!L37</f>
        <v>0</v>
      </c>
      <c r="E38" s="46">
        <f>'TENAGA KERJA'!M37</f>
        <v>0</v>
      </c>
      <c r="F38" s="43">
        <f>'TENAGA KERJA'!N37</f>
        <v>0</v>
      </c>
      <c r="G38" s="43">
        <f>'BPJS TK'!D38</f>
        <v>0</v>
      </c>
      <c r="H38" s="43">
        <f>'BPJS TK'!E38</f>
        <v>0</v>
      </c>
      <c r="I38" s="46">
        <f>'BPJS KES'!D38</f>
        <v>0</v>
      </c>
      <c r="J38" s="43">
        <f t="shared" si="2"/>
        <v>0</v>
      </c>
      <c r="K38" s="47">
        <f>IF('TENAGA KERJA'!H37="KATEGORI A",VLOOKUP(J38,'TER 2024'!$B$2:$E$45,4),IF('TENAGA KERJA'!H37="KATEGORI B",VLOOKUP(J38,'TER 2024'!$B$46:$E$85,4),IF('TENAGA KERJA'!H37="KATEGORI C",VLOOKUP(J38,'TER 2024'!$B$86:$E$126,4),0)))</f>
        <v>0</v>
      </c>
      <c r="L38" s="48">
        <f>IF('TENAGA KERJA'!F37="NPWP",'PPH PSL 21 - GROSS (MULAI 2024)'!J38*K38,IF('TENAGA KERJA'!F37="NON-NPWP",'PPH PSL 21 - GROSS (MULAI 2024)'!J38*K38*120%,0))</f>
        <v>0</v>
      </c>
    </row>
    <row r="39" spans="1:12">
      <c r="A39" s="45" t="str">
        <f>IF('TENAGA KERJA'!A38=0,"",'TENAGA KERJA'!A38)</f>
        <v/>
      </c>
      <c r="B39" s="24" t="str">
        <f>IF('TENAGA KERJA'!B38=0,"",'TENAGA KERJA'!B38)</f>
        <v/>
      </c>
      <c r="C39" s="43">
        <f>'TENAGA KERJA'!K38</f>
        <v>0</v>
      </c>
      <c r="D39" s="46">
        <f>'TENAGA KERJA'!L38</f>
        <v>0</v>
      </c>
      <c r="E39" s="46">
        <f>'TENAGA KERJA'!M38</f>
        <v>0</v>
      </c>
      <c r="F39" s="43">
        <f>'TENAGA KERJA'!N38</f>
        <v>0</v>
      </c>
      <c r="G39" s="43">
        <f>'BPJS TK'!D39</f>
        <v>0</v>
      </c>
      <c r="H39" s="43">
        <f>'BPJS TK'!E39</f>
        <v>0</v>
      </c>
      <c r="I39" s="46">
        <f>'BPJS KES'!D39</f>
        <v>0</v>
      </c>
      <c r="J39" s="43">
        <f t="shared" si="2"/>
        <v>0</v>
      </c>
      <c r="K39" s="47">
        <f>IF('TENAGA KERJA'!H38="KATEGORI A",VLOOKUP(J39,'TER 2024'!$B$2:$E$45,4),IF('TENAGA KERJA'!H38="KATEGORI B",VLOOKUP(J39,'TER 2024'!$B$46:$E$85,4),IF('TENAGA KERJA'!H38="KATEGORI C",VLOOKUP(J39,'TER 2024'!$B$86:$E$126,4),0)))</f>
        <v>0</v>
      </c>
      <c r="L39" s="48">
        <f>IF('TENAGA KERJA'!F38="NPWP",'PPH PSL 21 - GROSS (MULAI 2024)'!J39*K39,IF('TENAGA KERJA'!F38="NON-NPWP",'PPH PSL 21 - GROSS (MULAI 2024)'!J39*K39*120%,0))</f>
        <v>0</v>
      </c>
    </row>
    <row r="40" spans="1:12">
      <c r="A40" s="45" t="str">
        <f>IF('TENAGA KERJA'!A39=0,"",'TENAGA KERJA'!A39)</f>
        <v/>
      </c>
      <c r="B40" s="24" t="str">
        <f>IF('TENAGA KERJA'!B39=0,"",'TENAGA KERJA'!B39)</f>
        <v/>
      </c>
      <c r="C40" s="43">
        <f>'TENAGA KERJA'!K39</f>
        <v>0</v>
      </c>
      <c r="D40" s="46">
        <f>'TENAGA KERJA'!L39</f>
        <v>0</v>
      </c>
      <c r="E40" s="46">
        <f>'TENAGA KERJA'!M39</f>
        <v>0</v>
      </c>
      <c r="F40" s="43">
        <f>'TENAGA KERJA'!N39</f>
        <v>0</v>
      </c>
      <c r="G40" s="43">
        <f>'BPJS TK'!D40</f>
        <v>0</v>
      </c>
      <c r="H40" s="43">
        <f>'BPJS TK'!E40</f>
        <v>0</v>
      </c>
      <c r="I40" s="46">
        <f>'BPJS KES'!D40</f>
        <v>0</v>
      </c>
      <c r="J40" s="43">
        <f t="shared" si="2"/>
        <v>0</v>
      </c>
      <c r="K40" s="47">
        <f>IF('TENAGA KERJA'!H39="KATEGORI A",VLOOKUP(J40,'TER 2024'!$B$2:$E$45,4),IF('TENAGA KERJA'!H39="KATEGORI B",VLOOKUP(J40,'TER 2024'!$B$46:$E$85,4),IF('TENAGA KERJA'!H39="KATEGORI C",VLOOKUP(J40,'TER 2024'!$B$86:$E$126,4),0)))</f>
        <v>0</v>
      </c>
      <c r="L40" s="48">
        <f>IF('TENAGA KERJA'!F39="NPWP",'PPH PSL 21 - GROSS (MULAI 2024)'!J40*K40,IF('TENAGA KERJA'!F39="NON-NPWP",'PPH PSL 21 - GROSS (MULAI 2024)'!J40*K40*120%,0))</f>
        <v>0</v>
      </c>
    </row>
    <row r="41" spans="1:12">
      <c r="A41" s="45" t="str">
        <f>IF('TENAGA KERJA'!A40=0,"",'TENAGA KERJA'!A40)</f>
        <v/>
      </c>
      <c r="B41" s="24" t="str">
        <f>IF('TENAGA KERJA'!B40=0,"",'TENAGA KERJA'!B40)</f>
        <v/>
      </c>
      <c r="C41" s="43">
        <f>'TENAGA KERJA'!K40</f>
        <v>0</v>
      </c>
      <c r="D41" s="46">
        <f>'TENAGA KERJA'!L40</f>
        <v>0</v>
      </c>
      <c r="E41" s="46">
        <f>'TENAGA KERJA'!M40</f>
        <v>0</v>
      </c>
      <c r="F41" s="43">
        <f>'TENAGA KERJA'!N40</f>
        <v>0</v>
      </c>
      <c r="G41" s="43">
        <f>'BPJS TK'!D41</f>
        <v>0</v>
      </c>
      <c r="H41" s="43">
        <f>'BPJS TK'!E41</f>
        <v>0</v>
      </c>
      <c r="I41" s="46">
        <f>'BPJS KES'!D41</f>
        <v>0</v>
      </c>
      <c r="J41" s="43">
        <f t="shared" si="2"/>
        <v>0</v>
      </c>
      <c r="K41" s="47">
        <f>IF('TENAGA KERJA'!H40="KATEGORI A",VLOOKUP(J41,'TER 2024'!$B$2:$E$45,4),IF('TENAGA KERJA'!H40="KATEGORI B",VLOOKUP(J41,'TER 2024'!$B$46:$E$85,4),IF('TENAGA KERJA'!H40="KATEGORI C",VLOOKUP(J41,'TER 2024'!$B$86:$E$126,4),0)))</f>
        <v>0</v>
      </c>
      <c r="L41" s="48">
        <f>IF('TENAGA KERJA'!F40="NPWP",'PPH PSL 21 - GROSS (MULAI 2024)'!J41*K41,IF('TENAGA KERJA'!F40="NON-NPWP",'PPH PSL 21 - GROSS (MULAI 2024)'!J41*K41*120%,0))</f>
        <v>0</v>
      </c>
    </row>
    <row r="42" spans="1:12">
      <c r="A42" s="45" t="str">
        <f>IF('TENAGA KERJA'!A41=0,"",'TENAGA KERJA'!A41)</f>
        <v/>
      </c>
      <c r="B42" s="24" t="str">
        <f>IF('TENAGA KERJA'!B41=0,"",'TENAGA KERJA'!B41)</f>
        <v/>
      </c>
      <c r="C42" s="43">
        <f>'TENAGA KERJA'!K41</f>
        <v>0</v>
      </c>
      <c r="D42" s="46">
        <f>'TENAGA KERJA'!L41</f>
        <v>0</v>
      </c>
      <c r="E42" s="46">
        <f>'TENAGA KERJA'!M41</f>
        <v>0</v>
      </c>
      <c r="F42" s="43">
        <f>'TENAGA KERJA'!N41</f>
        <v>0</v>
      </c>
      <c r="G42" s="43">
        <f>'BPJS TK'!D42</f>
        <v>0</v>
      </c>
      <c r="H42" s="43">
        <f>'BPJS TK'!E42</f>
        <v>0</v>
      </c>
      <c r="I42" s="46">
        <f>'BPJS KES'!D42</f>
        <v>0</v>
      </c>
      <c r="J42" s="43">
        <f t="shared" si="2"/>
        <v>0</v>
      </c>
      <c r="K42" s="47">
        <f>IF('TENAGA KERJA'!H41="KATEGORI A",VLOOKUP(J42,'TER 2024'!$B$2:$E$45,4),IF('TENAGA KERJA'!H41="KATEGORI B",VLOOKUP(J42,'TER 2024'!$B$46:$E$85,4),IF('TENAGA KERJA'!H41="KATEGORI C",VLOOKUP(J42,'TER 2024'!$B$86:$E$126,4),0)))</f>
        <v>0</v>
      </c>
      <c r="L42" s="48">
        <f>IF('TENAGA KERJA'!F41="NPWP",'PPH PSL 21 - GROSS (MULAI 2024)'!J42*K42,IF('TENAGA KERJA'!F41="NON-NPWP",'PPH PSL 21 - GROSS (MULAI 2024)'!J42*K42*120%,0))</f>
        <v>0</v>
      </c>
    </row>
    <row r="43" spans="1:12">
      <c r="A43" s="45" t="str">
        <f>IF('TENAGA KERJA'!A42=0,"",'TENAGA KERJA'!A42)</f>
        <v/>
      </c>
      <c r="B43" s="24" t="str">
        <f>IF('TENAGA KERJA'!B42=0,"",'TENAGA KERJA'!B42)</f>
        <v/>
      </c>
      <c r="C43" s="43">
        <f>'TENAGA KERJA'!K42</f>
        <v>0</v>
      </c>
      <c r="D43" s="46">
        <f>'TENAGA KERJA'!L42</f>
        <v>0</v>
      </c>
      <c r="E43" s="46">
        <f>'TENAGA KERJA'!M42</f>
        <v>0</v>
      </c>
      <c r="F43" s="43">
        <f>'TENAGA KERJA'!N42</f>
        <v>0</v>
      </c>
      <c r="G43" s="43">
        <f>'BPJS TK'!D43</f>
        <v>0</v>
      </c>
      <c r="H43" s="43">
        <f>'BPJS TK'!E43</f>
        <v>0</v>
      </c>
      <c r="I43" s="46">
        <f>'BPJS KES'!D43</f>
        <v>0</v>
      </c>
      <c r="J43" s="43">
        <f t="shared" si="2"/>
        <v>0</v>
      </c>
      <c r="K43" s="47">
        <f>IF('TENAGA KERJA'!H42="KATEGORI A",VLOOKUP(J43,'TER 2024'!$B$2:$E$45,4),IF('TENAGA KERJA'!H42="KATEGORI B",VLOOKUP(J43,'TER 2024'!$B$46:$E$85,4),IF('TENAGA KERJA'!H42="KATEGORI C",VLOOKUP(J43,'TER 2024'!$B$86:$E$126,4),0)))</f>
        <v>0</v>
      </c>
      <c r="L43" s="48">
        <f>IF('TENAGA KERJA'!F42="NPWP",'PPH PSL 21 - GROSS (MULAI 2024)'!J43*K43,IF('TENAGA KERJA'!F42="NON-NPWP",'PPH PSL 21 - GROSS (MULAI 2024)'!J43*K43*120%,0))</f>
        <v>0</v>
      </c>
    </row>
    <row r="44" spans="1:12">
      <c r="A44" s="45" t="str">
        <f>IF('TENAGA KERJA'!A43=0,"",'TENAGA KERJA'!A43)</f>
        <v/>
      </c>
      <c r="B44" s="24" t="str">
        <f>IF('TENAGA KERJA'!B43=0,"",'TENAGA KERJA'!B43)</f>
        <v/>
      </c>
      <c r="C44" s="43">
        <f>'TENAGA KERJA'!K43</f>
        <v>0</v>
      </c>
      <c r="D44" s="46">
        <f>'TENAGA KERJA'!L43</f>
        <v>0</v>
      </c>
      <c r="E44" s="46">
        <f>'TENAGA KERJA'!M43</f>
        <v>0</v>
      </c>
      <c r="F44" s="43">
        <f>'TENAGA KERJA'!N43</f>
        <v>0</v>
      </c>
      <c r="G44" s="43">
        <f>'BPJS TK'!D44</f>
        <v>0</v>
      </c>
      <c r="H44" s="43">
        <f>'BPJS TK'!E44</f>
        <v>0</v>
      </c>
      <c r="I44" s="46">
        <f>'BPJS KES'!D44</f>
        <v>0</v>
      </c>
      <c r="J44" s="43">
        <f t="shared" si="2"/>
        <v>0</v>
      </c>
      <c r="K44" s="47">
        <f>IF('TENAGA KERJA'!H43="KATEGORI A",VLOOKUP(J44,'TER 2024'!$B$2:$E$45,4),IF('TENAGA KERJA'!H43="KATEGORI B",VLOOKUP(J44,'TER 2024'!$B$46:$E$85,4),IF('TENAGA KERJA'!H43="KATEGORI C",VLOOKUP(J44,'TER 2024'!$B$86:$E$126,4),0)))</f>
        <v>0</v>
      </c>
      <c r="L44" s="48">
        <f>IF('TENAGA KERJA'!F43="NPWP",'PPH PSL 21 - GROSS (MULAI 2024)'!J44*K44,IF('TENAGA KERJA'!F43="NON-NPWP",'PPH PSL 21 - GROSS (MULAI 2024)'!J44*K44*120%,0))</f>
        <v>0</v>
      </c>
    </row>
    <row r="45" spans="1:12">
      <c r="A45" s="45" t="str">
        <f>IF('TENAGA KERJA'!A44=0,"",'TENAGA KERJA'!A44)</f>
        <v/>
      </c>
      <c r="B45" s="24" t="str">
        <f>IF('TENAGA KERJA'!B44=0,"",'TENAGA KERJA'!B44)</f>
        <v/>
      </c>
      <c r="C45" s="43">
        <f>'TENAGA KERJA'!K44</f>
        <v>0</v>
      </c>
      <c r="D45" s="46">
        <f>'TENAGA KERJA'!L44</f>
        <v>0</v>
      </c>
      <c r="E45" s="46">
        <f>'TENAGA KERJA'!M44</f>
        <v>0</v>
      </c>
      <c r="F45" s="43">
        <f>'TENAGA KERJA'!N44</f>
        <v>0</v>
      </c>
      <c r="G45" s="43">
        <f>'BPJS TK'!D45</f>
        <v>0</v>
      </c>
      <c r="H45" s="43">
        <f>'BPJS TK'!E45</f>
        <v>0</v>
      </c>
      <c r="I45" s="46">
        <f>'BPJS KES'!D45</f>
        <v>0</v>
      </c>
      <c r="J45" s="43">
        <f t="shared" si="2"/>
        <v>0</v>
      </c>
      <c r="K45" s="47">
        <f>IF('TENAGA KERJA'!H44="KATEGORI A",VLOOKUP(J45,'TER 2024'!$B$2:$E$45,4),IF('TENAGA KERJA'!H44="KATEGORI B",VLOOKUP(J45,'TER 2024'!$B$46:$E$85,4),IF('TENAGA KERJA'!H44="KATEGORI C",VLOOKUP(J45,'TER 2024'!$B$86:$E$126,4),0)))</f>
        <v>0</v>
      </c>
      <c r="L45" s="48">
        <f>IF('TENAGA KERJA'!F44="NPWP",'PPH PSL 21 - GROSS (MULAI 2024)'!J45*K45,IF('TENAGA KERJA'!F44="NON-NPWP",'PPH PSL 21 - GROSS (MULAI 2024)'!J45*K45*120%,0))</f>
        <v>0</v>
      </c>
    </row>
    <row r="46" spans="1:12">
      <c r="A46" s="45" t="str">
        <f>IF('TENAGA KERJA'!A45=0,"",'TENAGA KERJA'!A45)</f>
        <v/>
      </c>
      <c r="B46" s="24" t="str">
        <f>IF('TENAGA KERJA'!B45=0,"",'TENAGA KERJA'!B45)</f>
        <v/>
      </c>
      <c r="C46" s="43">
        <f>'TENAGA KERJA'!K45</f>
        <v>0</v>
      </c>
      <c r="D46" s="46">
        <f>'TENAGA KERJA'!L45</f>
        <v>0</v>
      </c>
      <c r="E46" s="46">
        <f>'TENAGA KERJA'!M45</f>
        <v>0</v>
      </c>
      <c r="F46" s="43">
        <f>'TENAGA KERJA'!N45</f>
        <v>0</v>
      </c>
      <c r="G46" s="43">
        <f>'BPJS TK'!D46</f>
        <v>0</v>
      </c>
      <c r="H46" s="43">
        <f>'BPJS TK'!E46</f>
        <v>0</v>
      </c>
      <c r="I46" s="46">
        <f>'BPJS KES'!D46</f>
        <v>0</v>
      </c>
      <c r="J46" s="43">
        <f t="shared" si="2"/>
        <v>0</v>
      </c>
      <c r="K46" s="47">
        <f>IF('TENAGA KERJA'!H45="KATEGORI A",VLOOKUP(J46,'TER 2024'!$B$2:$E$45,4),IF('TENAGA KERJA'!H45="KATEGORI B",VLOOKUP(J46,'TER 2024'!$B$46:$E$85,4),IF('TENAGA KERJA'!H45="KATEGORI C",VLOOKUP(J46,'TER 2024'!$B$86:$E$126,4),0)))</f>
        <v>0</v>
      </c>
      <c r="L46" s="48">
        <f>IF('TENAGA KERJA'!F45="NPWP",'PPH PSL 21 - GROSS (MULAI 2024)'!J46*K46,IF('TENAGA KERJA'!F45="NON-NPWP",'PPH PSL 21 - GROSS (MULAI 2024)'!J46*K46*120%,0))</f>
        <v>0</v>
      </c>
    </row>
    <row r="47" spans="1:12">
      <c r="A47" s="45" t="str">
        <f>IF('TENAGA KERJA'!A46=0,"",'TENAGA KERJA'!A46)</f>
        <v/>
      </c>
      <c r="B47" s="24" t="str">
        <f>IF('TENAGA KERJA'!B46=0,"",'TENAGA KERJA'!B46)</f>
        <v/>
      </c>
      <c r="C47" s="43">
        <f>'TENAGA KERJA'!K46</f>
        <v>0</v>
      </c>
      <c r="D47" s="46">
        <f>'TENAGA KERJA'!L46</f>
        <v>0</v>
      </c>
      <c r="E47" s="46">
        <f>'TENAGA KERJA'!M46</f>
        <v>0</v>
      </c>
      <c r="F47" s="43">
        <f>'TENAGA KERJA'!N46</f>
        <v>0</v>
      </c>
      <c r="G47" s="43">
        <f>'BPJS TK'!D47</f>
        <v>0</v>
      </c>
      <c r="H47" s="43">
        <f>'BPJS TK'!E47</f>
        <v>0</v>
      </c>
      <c r="I47" s="46">
        <f>'BPJS KES'!D47</f>
        <v>0</v>
      </c>
      <c r="J47" s="43">
        <f t="shared" si="2"/>
        <v>0</v>
      </c>
      <c r="K47" s="47">
        <f>IF('TENAGA KERJA'!H46="KATEGORI A",VLOOKUP(J47,'TER 2024'!$B$2:$E$45,4),IF('TENAGA KERJA'!H46="KATEGORI B",VLOOKUP(J47,'TER 2024'!$B$46:$E$85,4),IF('TENAGA KERJA'!H46="KATEGORI C",VLOOKUP(J47,'TER 2024'!$B$86:$E$126,4),0)))</f>
        <v>0</v>
      </c>
      <c r="L47" s="48">
        <f>IF('TENAGA KERJA'!F46="NPWP",'PPH PSL 21 - GROSS (MULAI 2024)'!J47*K47,IF('TENAGA KERJA'!F46="NON-NPWP",'PPH PSL 21 - GROSS (MULAI 2024)'!J47*K47*120%,0))</f>
        <v>0</v>
      </c>
    </row>
    <row r="48" spans="1:12">
      <c r="A48" s="45" t="str">
        <f>IF('TENAGA KERJA'!A47=0,"",'TENAGA KERJA'!A47)</f>
        <v/>
      </c>
      <c r="B48" s="24" t="str">
        <f>IF('TENAGA KERJA'!B47=0,"",'TENAGA KERJA'!B47)</f>
        <v/>
      </c>
      <c r="C48" s="43">
        <f>'TENAGA KERJA'!K47</f>
        <v>0</v>
      </c>
      <c r="D48" s="46">
        <f>'TENAGA KERJA'!L47</f>
        <v>0</v>
      </c>
      <c r="E48" s="46">
        <f>'TENAGA KERJA'!M47</f>
        <v>0</v>
      </c>
      <c r="F48" s="43">
        <f>'TENAGA KERJA'!N47</f>
        <v>0</v>
      </c>
      <c r="G48" s="43">
        <f>'BPJS TK'!D48</f>
        <v>0</v>
      </c>
      <c r="H48" s="43">
        <f>'BPJS TK'!E48</f>
        <v>0</v>
      </c>
      <c r="I48" s="46">
        <f>'BPJS KES'!D48</f>
        <v>0</v>
      </c>
      <c r="J48" s="43">
        <f t="shared" si="2"/>
        <v>0</v>
      </c>
      <c r="K48" s="47">
        <f>IF('TENAGA KERJA'!H47="KATEGORI A",VLOOKUP(J48,'TER 2024'!$B$2:$E$45,4),IF('TENAGA KERJA'!H47="KATEGORI B",VLOOKUP(J48,'TER 2024'!$B$46:$E$85,4),IF('TENAGA KERJA'!H47="KATEGORI C",VLOOKUP(J48,'TER 2024'!$B$86:$E$126,4),0)))</f>
        <v>0</v>
      </c>
      <c r="L48" s="48">
        <f>IF('TENAGA KERJA'!F47="NPWP",'PPH PSL 21 - GROSS (MULAI 2024)'!J48*K48,IF('TENAGA KERJA'!F47="NON-NPWP",'PPH PSL 21 - GROSS (MULAI 2024)'!J48*K48*120%,0))</f>
        <v>0</v>
      </c>
    </row>
    <row r="49" spans="1:12">
      <c r="A49" s="45" t="str">
        <f>IF('TENAGA KERJA'!A48=0,"",'TENAGA KERJA'!A48)</f>
        <v/>
      </c>
      <c r="B49" s="24" t="str">
        <f>IF('TENAGA KERJA'!B48=0,"",'TENAGA KERJA'!B48)</f>
        <v/>
      </c>
      <c r="C49" s="43">
        <f>'TENAGA KERJA'!K48</f>
        <v>0</v>
      </c>
      <c r="D49" s="46">
        <f>'TENAGA KERJA'!L48</f>
        <v>0</v>
      </c>
      <c r="E49" s="46">
        <f>'TENAGA KERJA'!M48</f>
        <v>0</v>
      </c>
      <c r="F49" s="43">
        <f>'TENAGA KERJA'!N48</f>
        <v>0</v>
      </c>
      <c r="G49" s="43">
        <f>'BPJS TK'!D49</f>
        <v>0</v>
      </c>
      <c r="H49" s="43">
        <f>'BPJS TK'!E49</f>
        <v>0</v>
      </c>
      <c r="I49" s="46">
        <f>'BPJS KES'!D49</f>
        <v>0</v>
      </c>
      <c r="J49" s="43">
        <f t="shared" si="2"/>
        <v>0</v>
      </c>
      <c r="K49" s="47">
        <f>IF('TENAGA KERJA'!H48="KATEGORI A",VLOOKUP(J49,'TER 2024'!$B$2:$E$45,4),IF('TENAGA KERJA'!H48="KATEGORI B",VLOOKUP(J49,'TER 2024'!$B$46:$E$85,4),IF('TENAGA KERJA'!H48="KATEGORI C",VLOOKUP(J49,'TER 2024'!$B$86:$E$126,4),0)))</f>
        <v>0</v>
      </c>
      <c r="L49" s="48">
        <f>IF('TENAGA KERJA'!F48="NPWP",'PPH PSL 21 - GROSS (MULAI 2024)'!J49*K49,IF('TENAGA KERJA'!F48="NON-NPWP",'PPH PSL 21 - GROSS (MULAI 2024)'!J49*K49*120%,0))</f>
        <v>0</v>
      </c>
    </row>
    <row r="50" spans="1:12">
      <c r="A50" s="45" t="str">
        <f>IF('TENAGA KERJA'!A49=0,"",'TENAGA KERJA'!A49)</f>
        <v/>
      </c>
      <c r="B50" s="24" t="str">
        <f>IF('TENAGA KERJA'!B49=0,"",'TENAGA KERJA'!B49)</f>
        <v/>
      </c>
      <c r="C50" s="43">
        <f>'TENAGA KERJA'!K49</f>
        <v>0</v>
      </c>
      <c r="D50" s="46">
        <f>'TENAGA KERJA'!L49</f>
        <v>0</v>
      </c>
      <c r="E50" s="46">
        <f>'TENAGA KERJA'!M49</f>
        <v>0</v>
      </c>
      <c r="F50" s="43">
        <f>'TENAGA KERJA'!N49</f>
        <v>0</v>
      </c>
      <c r="G50" s="43">
        <f>'BPJS TK'!D50</f>
        <v>0</v>
      </c>
      <c r="H50" s="43">
        <f>'BPJS TK'!E50</f>
        <v>0</v>
      </c>
      <c r="I50" s="46">
        <f>'BPJS KES'!D50</f>
        <v>0</v>
      </c>
      <c r="J50" s="43">
        <f t="shared" si="2"/>
        <v>0</v>
      </c>
      <c r="K50" s="47">
        <f>IF('TENAGA KERJA'!H49="KATEGORI A",VLOOKUP(J50,'TER 2024'!$B$2:$E$45,4),IF('TENAGA KERJA'!H49="KATEGORI B",VLOOKUP(J50,'TER 2024'!$B$46:$E$85,4),IF('TENAGA KERJA'!H49="KATEGORI C",VLOOKUP(J50,'TER 2024'!$B$86:$E$126,4),0)))</f>
        <v>0</v>
      </c>
      <c r="L50" s="48">
        <f>IF('TENAGA KERJA'!F49="NPWP",'PPH PSL 21 - GROSS (MULAI 2024)'!J50*K50,IF('TENAGA KERJA'!F49="NON-NPWP",'PPH PSL 21 - GROSS (MULAI 2024)'!J50*K50*120%,0))</f>
        <v>0</v>
      </c>
    </row>
    <row r="51" spans="1:12">
      <c r="A51" s="45" t="str">
        <f>IF('TENAGA KERJA'!A50=0,"",'TENAGA KERJA'!A50)</f>
        <v/>
      </c>
      <c r="B51" s="24" t="str">
        <f>IF('TENAGA KERJA'!B50=0,"",'TENAGA KERJA'!B50)</f>
        <v/>
      </c>
      <c r="C51" s="43">
        <f>'TENAGA KERJA'!K50</f>
        <v>0</v>
      </c>
      <c r="D51" s="46">
        <f>'TENAGA KERJA'!L50</f>
        <v>0</v>
      </c>
      <c r="E51" s="46">
        <f>'TENAGA KERJA'!M50</f>
        <v>0</v>
      </c>
      <c r="F51" s="43">
        <f>'TENAGA KERJA'!N50</f>
        <v>0</v>
      </c>
      <c r="G51" s="43">
        <f>'BPJS TK'!D51</f>
        <v>0</v>
      </c>
      <c r="H51" s="43">
        <f>'BPJS TK'!E51</f>
        <v>0</v>
      </c>
      <c r="I51" s="46">
        <f>'BPJS KES'!D51</f>
        <v>0</v>
      </c>
      <c r="J51" s="43">
        <f t="shared" si="2"/>
        <v>0</v>
      </c>
      <c r="K51" s="47">
        <f>IF('TENAGA KERJA'!H50="KATEGORI A",VLOOKUP(J51,'TER 2024'!$B$2:$E$45,4),IF('TENAGA KERJA'!H50="KATEGORI B",VLOOKUP(J51,'TER 2024'!$B$46:$E$85,4),IF('TENAGA KERJA'!H50="KATEGORI C",VLOOKUP(J51,'TER 2024'!$B$86:$E$126,4),0)))</f>
        <v>0</v>
      </c>
      <c r="L51" s="48">
        <f>IF('TENAGA KERJA'!F50="NPWP",'PPH PSL 21 - GROSS (MULAI 2024)'!J51*K51,IF('TENAGA KERJA'!F50="NON-NPWP",'PPH PSL 21 - GROSS (MULAI 2024)'!J51*K51*120%,0))</f>
        <v>0</v>
      </c>
    </row>
    <row r="52" spans="1:12">
      <c r="A52" s="45" t="str">
        <f>IF('TENAGA KERJA'!A51=0,"",'TENAGA KERJA'!A51)</f>
        <v/>
      </c>
      <c r="B52" s="24" t="str">
        <f>IF('TENAGA KERJA'!B51=0,"",'TENAGA KERJA'!B51)</f>
        <v/>
      </c>
      <c r="C52" s="43">
        <f>'TENAGA KERJA'!K51</f>
        <v>0</v>
      </c>
      <c r="D52" s="46">
        <f>'TENAGA KERJA'!L51</f>
        <v>0</v>
      </c>
      <c r="E52" s="46">
        <f>'TENAGA KERJA'!M51</f>
        <v>0</v>
      </c>
      <c r="F52" s="43">
        <f>'TENAGA KERJA'!N51</f>
        <v>0</v>
      </c>
      <c r="G52" s="43">
        <f>'BPJS TK'!D52</f>
        <v>0</v>
      </c>
      <c r="H52" s="43">
        <f>'BPJS TK'!E52</f>
        <v>0</v>
      </c>
      <c r="I52" s="46">
        <f>'BPJS KES'!D52</f>
        <v>0</v>
      </c>
      <c r="J52" s="43">
        <f t="shared" si="2"/>
        <v>0</v>
      </c>
      <c r="K52" s="47">
        <f>IF('TENAGA KERJA'!H51="KATEGORI A",VLOOKUP(J52,'TER 2024'!$B$2:$E$45,4),IF('TENAGA KERJA'!H51="KATEGORI B",VLOOKUP(J52,'TER 2024'!$B$46:$E$85,4),IF('TENAGA KERJA'!H51="KATEGORI C",VLOOKUP(J52,'TER 2024'!$B$86:$E$126,4),0)))</f>
        <v>0</v>
      </c>
      <c r="L52" s="48">
        <f>IF('TENAGA KERJA'!F51="NPWP",'PPH PSL 21 - GROSS (MULAI 2024)'!J52*K52,IF('TENAGA KERJA'!F51="NON-NPWP",'PPH PSL 21 - GROSS (MULAI 2024)'!J52*K52*120%,0))</f>
        <v>0</v>
      </c>
    </row>
    <row r="53" spans="1:12">
      <c r="A53" s="45" t="str">
        <f>IF('TENAGA KERJA'!A52=0,"",'TENAGA KERJA'!A52)</f>
        <v/>
      </c>
      <c r="B53" s="24" t="str">
        <f>IF('TENAGA KERJA'!B52=0,"",'TENAGA KERJA'!B52)</f>
        <v/>
      </c>
      <c r="C53" s="43">
        <f>'TENAGA KERJA'!K52</f>
        <v>0</v>
      </c>
      <c r="D53" s="46">
        <f>'TENAGA KERJA'!L52</f>
        <v>0</v>
      </c>
      <c r="E53" s="46">
        <f>'TENAGA KERJA'!M52</f>
        <v>0</v>
      </c>
      <c r="F53" s="43">
        <f>'TENAGA KERJA'!N52</f>
        <v>0</v>
      </c>
      <c r="G53" s="43">
        <f>'BPJS TK'!D53</f>
        <v>0</v>
      </c>
      <c r="H53" s="43">
        <f>'BPJS TK'!E53</f>
        <v>0</v>
      </c>
      <c r="I53" s="46">
        <f>'BPJS KES'!D53</f>
        <v>0</v>
      </c>
      <c r="J53" s="43">
        <f t="shared" si="2"/>
        <v>0</v>
      </c>
      <c r="K53" s="47">
        <f>IF('TENAGA KERJA'!H52="KATEGORI A",VLOOKUP(J53,'TER 2024'!$B$2:$E$45,4),IF('TENAGA KERJA'!H52="KATEGORI B",VLOOKUP(J53,'TER 2024'!$B$46:$E$85,4),IF('TENAGA KERJA'!H52="KATEGORI C",VLOOKUP(J53,'TER 2024'!$B$86:$E$126,4),0)))</f>
        <v>0</v>
      </c>
      <c r="L53" s="48">
        <f>IF('TENAGA KERJA'!F52="NPWP",'PPH PSL 21 - GROSS (MULAI 2024)'!J53*K53,IF('TENAGA KERJA'!F52="NON-NPWP",'PPH PSL 21 - GROSS (MULAI 2024)'!J53*K53*120%,0))</f>
        <v>0</v>
      </c>
    </row>
    <row r="54" spans="1:12">
      <c r="A54" s="45" t="str">
        <f>IF('TENAGA KERJA'!A53=0,"",'TENAGA KERJA'!A53)</f>
        <v/>
      </c>
      <c r="B54" s="24" t="str">
        <f>IF('TENAGA KERJA'!B53=0,"",'TENAGA KERJA'!B53)</f>
        <v/>
      </c>
      <c r="C54" s="43">
        <f>'TENAGA KERJA'!K53</f>
        <v>0</v>
      </c>
      <c r="D54" s="46">
        <f>'TENAGA KERJA'!L53</f>
        <v>0</v>
      </c>
      <c r="E54" s="46">
        <f>'TENAGA KERJA'!M53</f>
        <v>0</v>
      </c>
      <c r="F54" s="43">
        <f>'TENAGA KERJA'!N53</f>
        <v>0</v>
      </c>
      <c r="G54" s="43">
        <f>'BPJS TK'!D54</f>
        <v>0</v>
      </c>
      <c r="H54" s="43">
        <f>'BPJS TK'!E54</f>
        <v>0</v>
      </c>
      <c r="I54" s="46">
        <f>'BPJS KES'!D54</f>
        <v>0</v>
      </c>
      <c r="J54" s="43">
        <f t="shared" si="2"/>
        <v>0</v>
      </c>
      <c r="K54" s="47">
        <f>IF('TENAGA KERJA'!H53="KATEGORI A",VLOOKUP(J54,'TER 2024'!$B$2:$E$45,4),IF('TENAGA KERJA'!H53="KATEGORI B",VLOOKUP(J54,'TER 2024'!$B$46:$E$85,4),IF('TENAGA KERJA'!H53="KATEGORI C",VLOOKUP(J54,'TER 2024'!$B$86:$E$126,4),0)))</f>
        <v>0</v>
      </c>
      <c r="L54" s="48">
        <f>IF('TENAGA KERJA'!F53="NPWP",'PPH PSL 21 - GROSS (MULAI 2024)'!J54*K54,IF('TENAGA KERJA'!F53="NON-NPWP",'PPH PSL 21 - GROSS (MULAI 2024)'!J54*K54*120%,0))</f>
        <v>0</v>
      </c>
    </row>
    <row r="55" spans="1:12">
      <c r="A55" s="45" t="str">
        <f>IF('TENAGA KERJA'!A54=0,"",'TENAGA KERJA'!A54)</f>
        <v/>
      </c>
      <c r="B55" s="24" t="str">
        <f>IF('TENAGA KERJA'!B54=0,"",'TENAGA KERJA'!B54)</f>
        <v/>
      </c>
      <c r="C55" s="43">
        <f>'TENAGA KERJA'!K54</f>
        <v>0</v>
      </c>
      <c r="D55" s="46">
        <f>'TENAGA KERJA'!L54</f>
        <v>0</v>
      </c>
      <c r="E55" s="46">
        <f>'TENAGA KERJA'!M54</f>
        <v>0</v>
      </c>
      <c r="F55" s="43">
        <f>'TENAGA KERJA'!N54</f>
        <v>0</v>
      </c>
      <c r="G55" s="43">
        <f>'BPJS TK'!D55</f>
        <v>0</v>
      </c>
      <c r="H55" s="43">
        <f>'BPJS TK'!E55</f>
        <v>0</v>
      </c>
      <c r="I55" s="46">
        <f>'BPJS KES'!D55</f>
        <v>0</v>
      </c>
      <c r="J55" s="43">
        <f t="shared" si="2"/>
        <v>0</v>
      </c>
      <c r="K55" s="47">
        <f>IF('TENAGA KERJA'!H54="KATEGORI A",VLOOKUP(J55,'TER 2024'!$B$2:$E$45,4),IF('TENAGA KERJA'!H54="KATEGORI B",VLOOKUP(J55,'TER 2024'!$B$46:$E$85,4),IF('TENAGA KERJA'!H54="KATEGORI C",VLOOKUP(J55,'TER 2024'!$B$86:$E$126,4),0)))</f>
        <v>0</v>
      </c>
      <c r="L55" s="48">
        <f>IF('TENAGA KERJA'!F54="NPWP",'PPH PSL 21 - GROSS (MULAI 2024)'!J55*K55,IF('TENAGA KERJA'!F54="NON-NPWP",'PPH PSL 21 - GROSS (MULAI 2024)'!J55*K55*120%,0))</f>
        <v>0</v>
      </c>
    </row>
    <row r="56" spans="1:12">
      <c r="A56" s="45" t="str">
        <f>IF('TENAGA KERJA'!A55=0,"",'TENAGA KERJA'!A55)</f>
        <v/>
      </c>
      <c r="B56" s="24" t="str">
        <f>IF('TENAGA KERJA'!B55=0,"",'TENAGA KERJA'!B55)</f>
        <v/>
      </c>
      <c r="C56" s="43">
        <f>'TENAGA KERJA'!K55</f>
        <v>0</v>
      </c>
      <c r="D56" s="46">
        <f>'TENAGA KERJA'!L55</f>
        <v>0</v>
      </c>
      <c r="E56" s="46">
        <f>'TENAGA KERJA'!M55</f>
        <v>0</v>
      </c>
      <c r="F56" s="43">
        <f>'TENAGA KERJA'!N55</f>
        <v>0</v>
      </c>
      <c r="G56" s="43">
        <f>'BPJS TK'!D56</f>
        <v>0</v>
      </c>
      <c r="H56" s="43">
        <f>'BPJS TK'!E56</f>
        <v>0</v>
      </c>
      <c r="I56" s="46">
        <f>'BPJS KES'!D56</f>
        <v>0</v>
      </c>
      <c r="J56" s="43">
        <f t="shared" si="2"/>
        <v>0</v>
      </c>
      <c r="K56" s="47">
        <f>IF('TENAGA KERJA'!H55="KATEGORI A",VLOOKUP(J56,'TER 2024'!$B$2:$E$45,4),IF('TENAGA KERJA'!H55="KATEGORI B",VLOOKUP(J56,'TER 2024'!$B$46:$E$85,4),IF('TENAGA KERJA'!H55="KATEGORI C",VLOOKUP(J56,'TER 2024'!$B$86:$E$126,4),0)))</f>
        <v>0</v>
      </c>
      <c r="L56" s="48">
        <f>IF('TENAGA KERJA'!F55="NPWP",'PPH PSL 21 - GROSS (MULAI 2024)'!J56*K56,IF('TENAGA KERJA'!F55="NON-NPWP",'PPH PSL 21 - GROSS (MULAI 2024)'!J56*K56*120%,0))</f>
        <v>0</v>
      </c>
    </row>
    <row r="57" spans="1:12">
      <c r="A57" s="45" t="str">
        <f>IF('TENAGA KERJA'!A56=0,"",'TENAGA KERJA'!A56)</f>
        <v/>
      </c>
      <c r="B57" s="24" t="str">
        <f>IF('TENAGA KERJA'!B56=0,"",'TENAGA KERJA'!B56)</f>
        <v/>
      </c>
      <c r="C57" s="43">
        <f>'TENAGA KERJA'!K56</f>
        <v>0</v>
      </c>
      <c r="D57" s="46">
        <f>'TENAGA KERJA'!L56</f>
        <v>0</v>
      </c>
      <c r="E57" s="46">
        <f>'TENAGA KERJA'!M56</f>
        <v>0</v>
      </c>
      <c r="F57" s="43">
        <f>'TENAGA KERJA'!N56</f>
        <v>0</v>
      </c>
      <c r="G57" s="43">
        <f>'BPJS TK'!D57</f>
        <v>0</v>
      </c>
      <c r="H57" s="43">
        <f>'BPJS TK'!E57</f>
        <v>0</v>
      </c>
      <c r="I57" s="46">
        <f>'BPJS KES'!D57</f>
        <v>0</v>
      </c>
      <c r="J57" s="43">
        <f t="shared" si="2"/>
        <v>0</v>
      </c>
      <c r="K57" s="47">
        <f>IF('TENAGA KERJA'!H56="KATEGORI A",VLOOKUP(J57,'TER 2024'!$B$2:$E$45,4),IF('TENAGA KERJA'!H56="KATEGORI B",VLOOKUP(J57,'TER 2024'!$B$46:$E$85,4),IF('TENAGA KERJA'!H56="KATEGORI C",VLOOKUP(J57,'TER 2024'!$B$86:$E$126,4),0)))</f>
        <v>0</v>
      </c>
      <c r="L57" s="48">
        <f>IF('TENAGA KERJA'!F56="NPWP",'PPH PSL 21 - GROSS (MULAI 2024)'!J57*K57,IF('TENAGA KERJA'!F56="NON-NPWP",'PPH PSL 21 - GROSS (MULAI 2024)'!J57*K57*120%,0))</f>
        <v>0</v>
      </c>
    </row>
    <row r="58" spans="1:12">
      <c r="A58" s="45" t="str">
        <f>IF('TENAGA KERJA'!A57=0,"",'TENAGA KERJA'!A57)</f>
        <v/>
      </c>
      <c r="B58" s="24" t="str">
        <f>IF('TENAGA KERJA'!B57=0,"",'TENAGA KERJA'!B57)</f>
        <v/>
      </c>
      <c r="C58" s="43">
        <f>'TENAGA KERJA'!K57</f>
        <v>0</v>
      </c>
      <c r="D58" s="46">
        <f>'TENAGA KERJA'!L57</f>
        <v>0</v>
      </c>
      <c r="E58" s="46">
        <f>'TENAGA KERJA'!M57</f>
        <v>0</v>
      </c>
      <c r="F58" s="43">
        <f>'TENAGA KERJA'!N57</f>
        <v>0</v>
      </c>
      <c r="G58" s="43">
        <f>'BPJS TK'!D58</f>
        <v>0</v>
      </c>
      <c r="H58" s="43">
        <f>'BPJS TK'!E58</f>
        <v>0</v>
      </c>
      <c r="I58" s="46">
        <f>'BPJS KES'!D58</f>
        <v>0</v>
      </c>
      <c r="J58" s="43">
        <f t="shared" si="2"/>
        <v>0</v>
      </c>
      <c r="K58" s="47">
        <f>IF('TENAGA KERJA'!H57="KATEGORI A",VLOOKUP(J58,'TER 2024'!$B$2:$E$45,4),IF('TENAGA KERJA'!H57="KATEGORI B",VLOOKUP(J58,'TER 2024'!$B$46:$E$85,4),IF('TENAGA KERJA'!H57="KATEGORI C",VLOOKUP(J58,'TER 2024'!$B$86:$E$126,4),0)))</f>
        <v>0</v>
      </c>
      <c r="L58" s="48">
        <f>IF('TENAGA KERJA'!F57="NPWP",'PPH PSL 21 - GROSS (MULAI 2024)'!J58*K58,IF('TENAGA KERJA'!F57="NON-NPWP",'PPH PSL 21 - GROSS (MULAI 2024)'!J58*K58*120%,0))</f>
        <v>0</v>
      </c>
    </row>
    <row r="59" spans="1:12">
      <c r="A59" s="45" t="str">
        <f>IF('TENAGA KERJA'!A58=0,"",'TENAGA KERJA'!A58)</f>
        <v/>
      </c>
      <c r="B59" s="24" t="str">
        <f>IF('TENAGA KERJA'!B58=0,"",'TENAGA KERJA'!B58)</f>
        <v/>
      </c>
      <c r="C59" s="43">
        <f>'TENAGA KERJA'!K58</f>
        <v>0</v>
      </c>
      <c r="D59" s="46">
        <f>'TENAGA KERJA'!L58</f>
        <v>0</v>
      </c>
      <c r="E59" s="46">
        <f>'TENAGA KERJA'!M58</f>
        <v>0</v>
      </c>
      <c r="F59" s="43">
        <f>'TENAGA KERJA'!N58</f>
        <v>0</v>
      </c>
      <c r="G59" s="43">
        <f>'BPJS TK'!D59</f>
        <v>0</v>
      </c>
      <c r="H59" s="43">
        <f>'BPJS TK'!E59</f>
        <v>0</v>
      </c>
      <c r="I59" s="46">
        <f>'BPJS KES'!D59</f>
        <v>0</v>
      </c>
      <c r="J59" s="43">
        <f t="shared" si="2"/>
        <v>0</v>
      </c>
      <c r="K59" s="47">
        <f>IF('TENAGA KERJA'!H58="KATEGORI A",VLOOKUP(J59,'TER 2024'!$B$2:$E$45,4),IF('TENAGA KERJA'!H58="KATEGORI B",VLOOKUP(J59,'TER 2024'!$B$46:$E$85,4),IF('TENAGA KERJA'!H58="KATEGORI C",VLOOKUP(J59,'TER 2024'!$B$86:$E$126,4),0)))</f>
        <v>0</v>
      </c>
      <c r="L59" s="48">
        <f>IF('TENAGA KERJA'!F58="NPWP",'PPH PSL 21 - GROSS (MULAI 2024)'!J59*K59,IF('TENAGA KERJA'!F58="NON-NPWP",'PPH PSL 21 - GROSS (MULAI 2024)'!J59*K59*120%,0))</f>
        <v>0</v>
      </c>
    </row>
    <row r="60" spans="1:12">
      <c r="A60" s="45" t="str">
        <f>IF('TENAGA KERJA'!A59=0,"",'TENAGA KERJA'!A59)</f>
        <v/>
      </c>
      <c r="B60" s="24" t="str">
        <f>IF('TENAGA KERJA'!B59=0,"",'TENAGA KERJA'!B59)</f>
        <v/>
      </c>
      <c r="C60" s="43">
        <f>'TENAGA KERJA'!K59</f>
        <v>0</v>
      </c>
      <c r="D60" s="46">
        <f>'TENAGA KERJA'!L59</f>
        <v>0</v>
      </c>
      <c r="E60" s="46">
        <f>'TENAGA KERJA'!M59</f>
        <v>0</v>
      </c>
      <c r="F60" s="43">
        <f>'TENAGA KERJA'!N59</f>
        <v>0</v>
      </c>
      <c r="G60" s="43">
        <f>'BPJS TK'!D60</f>
        <v>0</v>
      </c>
      <c r="H60" s="43">
        <f>'BPJS TK'!E60</f>
        <v>0</v>
      </c>
      <c r="I60" s="46">
        <f>'BPJS KES'!D60</f>
        <v>0</v>
      </c>
      <c r="J60" s="43">
        <f t="shared" si="2"/>
        <v>0</v>
      </c>
      <c r="K60" s="47">
        <f>IF('TENAGA KERJA'!H59="KATEGORI A",VLOOKUP(J60,'TER 2024'!$B$2:$E$45,4),IF('TENAGA KERJA'!H59="KATEGORI B",VLOOKUP(J60,'TER 2024'!$B$46:$E$85,4),IF('TENAGA KERJA'!H59="KATEGORI C",VLOOKUP(J60,'TER 2024'!$B$86:$E$126,4),0)))</f>
        <v>0</v>
      </c>
      <c r="L60" s="48">
        <f>IF('TENAGA KERJA'!F59="NPWP",'PPH PSL 21 - GROSS (MULAI 2024)'!J60*K60,IF('TENAGA KERJA'!F59="NON-NPWP",'PPH PSL 21 - GROSS (MULAI 2024)'!J60*K60*120%,0))</f>
        <v>0</v>
      </c>
    </row>
    <row r="61" spans="1:12">
      <c r="A61" s="45" t="str">
        <f>IF('TENAGA KERJA'!A60=0,"",'TENAGA KERJA'!A60)</f>
        <v/>
      </c>
      <c r="B61" s="24" t="str">
        <f>IF('TENAGA KERJA'!B60=0,"",'TENAGA KERJA'!B60)</f>
        <v/>
      </c>
      <c r="C61" s="43">
        <f>'TENAGA KERJA'!K60</f>
        <v>0</v>
      </c>
      <c r="D61" s="46">
        <f>'TENAGA KERJA'!L60</f>
        <v>0</v>
      </c>
      <c r="E61" s="46">
        <f>'TENAGA KERJA'!M60</f>
        <v>0</v>
      </c>
      <c r="F61" s="43">
        <f>'TENAGA KERJA'!N60</f>
        <v>0</v>
      </c>
      <c r="G61" s="43">
        <f>'BPJS TK'!D61</f>
        <v>0</v>
      </c>
      <c r="H61" s="43">
        <f>'BPJS TK'!E61</f>
        <v>0</v>
      </c>
      <c r="I61" s="46">
        <f>'BPJS KES'!D61</f>
        <v>0</v>
      </c>
      <c r="J61" s="43">
        <f t="shared" si="2"/>
        <v>0</v>
      </c>
      <c r="K61" s="47">
        <f>IF('TENAGA KERJA'!H60="KATEGORI A",VLOOKUP(J61,'TER 2024'!$B$2:$E$45,4),IF('TENAGA KERJA'!H60="KATEGORI B",VLOOKUP(J61,'TER 2024'!$B$46:$E$85,4),IF('TENAGA KERJA'!H60="KATEGORI C",VLOOKUP(J61,'TER 2024'!$B$86:$E$126,4),0)))</f>
        <v>0</v>
      </c>
      <c r="L61" s="48">
        <f>IF('TENAGA KERJA'!F60="NPWP",'PPH PSL 21 - GROSS (MULAI 2024)'!J61*K61,IF('TENAGA KERJA'!F60="NON-NPWP",'PPH PSL 21 - GROSS (MULAI 2024)'!J61*K61*120%,0))</f>
        <v>0</v>
      </c>
    </row>
    <row r="62" spans="1:12">
      <c r="A62" s="45" t="str">
        <f>IF('TENAGA KERJA'!A61=0,"",'TENAGA KERJA'!A61)</f>
        <v/>
      </c>
      <c r="B62" s="24" t="str">
        <f>IF('TENAGA KERJA'!B61=0,"",'TENAGA KERJA'!B61)</f>
        <v/>
      </c>
      <c r="C62" s="43">
        <f>'TENAGA KERJA'!K61</f>
        <v>0</v>
      </c>
      <c r="D62" s="46">
        <f>'TENAGA KERJA'!L61</f>
        <v>0</v>
      </c>
      <c r="E62" s="46">
        <f>'TENAGA KERJA'!M61</f>
        <v>0</v>
      </c>
      <c r="F62" s="43">
        <f>'TENAGA KERJA'!N61</f>
        <v>0</v>
      </c>
      <c r="G62" s="43">
        <f>'BPJS TK'!D62</f>
        <v>0</v>
      </c>
      <c r="H62" s="43">
        <f>'BPJS TK'!E62</f>
        <v>0</v>
      </c>
      <c r="I62" s="46">
        <f>'BPJS KES'!D62</f>
        <v>0</v>
      </c>
      <c r="J62" s="43">
        <f t="shared" si="2"/>
        <v>0</v>
      </c>
      <c r="K62" s="47">
        <f>IF('TENAGA KERJA'!H61="KATEGORI A",VLOOKUP(J62,'TER 2024'!$B$2:$E$45,4),IF('TENAGA KERJA'!H61="KATEGORI B",VLOOKUP(J62,'TER 2024'!$B$46:$E$85,4),IF('TENAGA KERJA'!H61="KATEGORI C",VLOOKUP(J62,'TER 2024'!$B$86:$E$126,4),0)))</f>
        <v>0</v>
      </c>
      <c r="L62" s="48">
        <f>IF('TENAGA KERJA'!F61="NPWP",'PPH PSL 21 - GROSS (MULAI 2024)'!J62*K62,IF('TENAGA KERJA'!F61="NON-NPWP",'PPH PSL 21 - GROSS (MULAI 2024)'!J62*K62*120%,0))</f>
        <v>0</v>
      </c>
    </row>
    <row r="63" spans="1:12">
      <c r="A63" s="45" t="str">
        <f>IF('TENAGA KERJA'!A62=0,"",'TENAGA KERJA'!A62)</f>
        <v/>
      </c>
      <c r="B63" s="24" t="str">
        <f>IF('TENAGA KERJA'!B62=0,"",'TENAGA KERJA'!B62)</f>
        <v/>
      </c>
      <c r="C63" s="43">
        <f>'TENAGA KERJA'!K62</f>
        <v>0</v>
      </c>
      <c r="D63" s="46">
        <f>'TENAGA KERJA'!L62</f>
        <v>0</v>
      </c>
      <c r="E63" s="46">
        <f>'TENAGA KERJA'!M62</f>
        <v>0</v>
      </c>
      <c r="F63" s="43">
        <f>'TENAGA KERJA'!N62</f>
        <v>0</v>
      </c>
      <c r="G63" s="43">
        <f>'BPJS TK'!D63</f>
        <v>0</v>
      </c>
      <c r="H63" s="43">
        <f>'BPJS TK'!E63</f>
        <v>0</v>
      </c>
      <c r="I63" s="46">
        <f>'BPJS KES'!D63</f>
        <v>0</v>
      </c>
      <c r="J63" s="43">
        <f t="shared" si="2"/>
        <v>0</v>
      </c>
      <c r="K63" s="47">
        <f>IF('TENAGA KERJA'!H62="KATEGORI A",VLOOKUP(J63,'TER 2024'!$B$2:$E$45,4),IF('TENAGA KERJA'!H62="KATEGORI B",VLOOKUP(J63,'TER 2024'!$B$46:$E$85,4),IF('TENAGA KERJA'!H62="KATEGORI C",VLOOKUP(J63,'TER 2024'!$B$86:$E$126,4),0)))</f>
        <v>0</v>
      </c>
      <c r="L63" s="48">
        <f>IF('TENAGA KERJA'!F62="NPWP",'PPH PSL 21 - GROSS (MULAI 2024)'!J63*K63,IF('TENAGA KERJA'!F62="NON-NPWP",'PPH PSL 21 - GROSS (MULAI 2024)'!J63*K63*120%,0))</f>
        <v>0</v>
      </c>
    </row>
    <row r="64" spans="1:12">
      <c r="A64" s="45" t="str">
        <f>IF('TENAGA KERJA'!A63=0,"",'TENAGA KERJA'!A63)</f>
        <v/>
      </c>
      <c r="B64" s="24" t="str">
        <f>IF('TENAGA KERJA'!B63=0,"",'TENAGA KERJA'!B63)</f>
        <v/>
      </c>
      <c r="C64" s="43">
        <f>'TENAGA KERJA'!K63</f>
        <v>0</v>
      </c>
      <c r="D64" s="46">
        <f>'TENAGA KERJA'!L63</f>
        <v>0</v>
      </c>
      <c r="E64" s="46">
        <f>'TENAGA KERJA'!M63</f>
        <v>0</v>
      </c>
      <c r="F64" s="43">
        <f>'TENAGA KERJA'!N63</f>
        <v>0</v>
      </c>
      <c r="G64" s="43">
        <f>'BPJS TK'!D64</f>
        <v>0</v>
      </c>
      <c r="H64" s="43">
        <f>'BPJS TK'!E64</f>
        <v>0</v>
      </c>
      <c r="I64" s="46">
        <f>'BPJS KES'!D64</f>
        <v>0</v>
      </c>
      <c r="J64" s="43">
        <f t="shared" si="2"/>
        <v>0</v>
      </c>
      <c r="K64" s="47">
        <f>IF('TENAGA KERJA'!H63="KATEGORI A",VLOOKUP(J64,'TER 2024'!$B$2:$E$45,4),IF('TENAGA KERJA'!H63="KATEGORI B",VLOOKUP(J64,'TER 2024'!$B$46:$E$85,4),IF('TENAGA KERJA'!H63="KATEGORI C",VLOOKUP(J64,'TER 2024'!$B$86:$E$126,4),0)))</f>
        <v>0</v>
      </c>
      <c r="L64" s="48">
        <f>IF('TENAGA KERJA'!F63="NPWP",'PPH PSL 21 - GROSS (MULAI 2024)'!J64*K64,IF('TENAGA KERJA'!F63="NON-NPWP",'PPH PSL 21 - GROSS (MULAI 2024)'!J64*K64*120%,0))</f>
        <v>0</v>
      </c>
    </row>
    <row r="65" spans="1:12">
      <c r="A65" s="45" t="str">
        <f>IF('TENAGA KERJA'!A64=0,"",'TENAGA KERJA'!A64)</f>
        <v/>
      </c>
      <c r="B65" s="24" t="str">
        <f>IF('TENAGA KERJA'!B64=0,"",'TENAGA KERJA'!B64)</f>
        <v/>
      </c>
      <c r="C65" s="43">
        <f>'TENAGA KERJA'!K64</f>
        <v>0</v>
      </c>
      <c r="D65" s="46">
        <f>'TENAGA KERJA'!L64</f>
        <v>0</v>
      </c>
      <c r="E65" s="46">
        <f>'TENAGA KERJA'!M64</f>
        <v>0</v>
      </c>
      <c r="F65" s="43">
        <f>'TENAGA KERJA'!N64</f>
        <v>0</v>
      </c>
      <c r="G65" s="43">
        <f>'BPJS TK'!D65</f>
        <v>0</v>
      </c>
      <c r="H65" s="43">
        <f>'BPJS TK'!E65</f>
        <v>0</v>
      </c>
      <c r="I65" s="46">
        <f>'BPJS KES'!D65</f>
        <v>0</v>
      </c>
      <c r="J65" s="43">
        <f t="shared" si="2"/>
        <v>0</v>
      </c>
      <c r="K65" s="47">
        <f>IF('TENAGA KERJA'!H64="KATEGORI A",VLOOKUP(J65,'TER 2024'!$B$2:$E$45,4),IF('TENAGA KERJA'!H64="KATEGORI B",VLOOKUP(J65,'TER 2024'!$B$46:$E$85,4),IF('TENAGA KERJA'!H64="KATEGORI C",VLOOKUP(J65,'TER 2024'!$B$86:$E$126,4),0)))</f>
        <v>0</v>
      </c>
      <c r="L65" s="48">
        <f>IF('TENAGA KERJA'!F64="NPWP",'PPH PSL 21 - GROSS (MULAI 2024)'!J65*K65,IF('TENAGA KERJA'!F64="NON-NPWP",'PPH PSL 21 - GROSS (MULAI 2024)'!J65*K65*120%,0))</f>
        <v>0</v>
      </c>
    </row>
    <row r="66" spans="1:12">
      <c r="A66" s="45" t="str">
        <f>IF('TENAGA KERJA'!A65=0,"",'TENAGA KERJA'!A65)</f>
        <v/>
      </c>
      <c r="B66" s="24" t="str">
        <f>IF('TENAGA KERJA'!B65=0,"",'TENAGA KERJA'!B65)</f>
        <v/>
      </c>
      <c r="C66" s="43">
        <f>'TENAGA KERJA'!K65</f>
        <v>0</v>
      </c>
      <c r="D66" s="46">
        <f>'TENAGA KERJA'!L65</f>
        <v>0</v>
      </c>
      <c r="E66" s="46">
        <f>'TENAGA KERJA'!M65</f>
        <v>0</v>
      </c>
      <c r="F66" s="43">
        <f>'TENAGA KERJA'!N65</f>
        <v>0</v>
      </c>
      <c r="G66" s="43">
        <f>'BPJS TK'!D66</f>
        <v>0</v>
      </c>
      <c r="H66" s="43">
        <f>'BPJS TK'!E66</f>
        <v>0</v>
      </c>
      <c r="I66" s="46">
        <f>'BPJS KES'!D66</f>
        <v>0</v>
      </c>
      <c r="J66" s="43">
        <f t="shared" si="2"/>
        <v>0</v>
      </c>
      <c r="K66" s="47">
        <f>IF('TENAGA KERJA'!H65="KATEGORI A",VLOOKUP(J66,'TER 2024'!$B$2:$E$45,4),IF('TENAGA KERJA'!H65="KATEGORI B",VLOOKUP(J66,'TER 2024'!$B$46:$E$85,4),IF('TENAGA KERJA'!H65="KATEGORI C",VLOOKUP(J66,'TER 2024'!$B$86:$E$126,4),0)))</f>
        <v>0</v>
      </c>
      <c r="L66" s="48">
        <f>IF('TENAGA KERJA'!F65="NPWP",'PPH PSL 21 - GROSS (MULAI 2024)'!J66*K66,IF('TENAGA KERJA'!F65="NON-NPWP",'PPH PSL 21 - GROSS (MULAI 2024)'!J66*K66*120%,0))</f>
        <v>0</v>
      </c>
    </row>
    <row r="67" spans="1:12">
      <c r="A67" s="45" t="str">
        <f>IF('TENAGA KERJA'!A66=0,"",'TENAGA KERJA'!A66)</f>
        <v/>
      </c>
      <c r="B67" s="24" t="str">
        <f>IF('TENAGA KERJA'!B66=0,"",'TENAGA KERJA'!B66)</f>
        <v/>
      </c>
      <c r="C67" s="43">
        <f>'TENAGA KERJA'!K66</f>
        <v>0</v>
      </c>
      <c r="D67" s="46">
        <f>'TENAGA KERJA'!L66</f>
        <v>0</v>
      </c>
      <c r="E67" s="46">
        <f>'TENAGA KERJA'!M66</f>
        <v>0</v>
      </c>
      <c r="F67" s="43">
        <f>'TENAGA KERJA'!N66</f>
        <v>0</v>
      </c>
      <c r="G67" s="43">
        <f>'BPJS TK'!D67</f>
        <v>0</v>
      </c>
      <c r="H67" s="43">
        <f>'BPJS TK'!E67</f>
        <v>0</v>
      </c>
      <c r="I67" s="46">
        <f>'BPJS KES'!D67</f>
        <v>0</v>
      </c>
      <c r="J67" s="43">
        <f t="shared" si="2"/>
        <v>0</v>
      </c>
      <c r="K67" s="47">
        <f>IF('TENAGA KERJA'!H66="KATEGORI A",VLOOKUP(J67,'TER 2024'!$B$2:$E$45,4),IF('TENAGA KERJA'!H66="KATEGORI B",VLOOKUP(J67,'TER 2024'!$B$46:$E$85,4),IF('TENAGA KERJA'!H66="KATEGORI C",VLOOKUP(J67,'TER 2024'!$B$86:$E$126,4),0)))</f>
        <v>0</v>
      </c>
      <c r="L67" s="48">
        <f>IF('TENAGA KERJA'!F66="NPWP",'PPH PSL 21 - GROSS (MULAI 2024)'!J67*K67,IF('TENAGA KERJA'!F66="NON-NPWP",'PPH PSL 21 - GROSS (MULAI 2024)'!J67*K67*120%,0))</f>
        <v>0</v>
      </c>
    </row>
    <row r="68" spans="1:12">
      <c r="A68" s="45" t="str">
        <f>IF('TENAGA KERJA'!A67=0,"",'TENAGA KERJA'!A67)</f>
        <v/>
      </c>
      <c r="B68" s="24" t="str">
        <f>IF('TENAGA KERJA'!B67=0,"",'TENAGA KERJA'!B67)</f>
        <v/>
      </c>
      <c r="C68" s="43">
        <f>'TENAGA KERJA'!K67</f>
        <v>0</v>
      </c>
      <c r="D68" s="46">
        <f>'TENAGA KERJA'!L67</f>
        <v>0</v>
      </c>
      <c r="E68" s="46">
        <f>'TENAGA KERJA'!M67</f>
        <v>0</v>
      </c>
      <c r="F68" s="43">
        <f>'TENAGA KERJA'!N67</f>
        <v>0</v>
      </c>
      <c r="G68" s="43">
        <f>'BPJS TK'!D68</f>
        <v>0</v>
      </c>
      <c r="H68" s="43">
        <f>'BPJS TK'!E68</f>
        <v>0</v>
      </c>
      <c r="I68" s="46">
        <f>'BPJS KES'!D68</f>
        <v>0</v>
      </c>
      <c r="J68" s="43">
        <f t="shared" si="2"/>
        <v>0</v>
      </c>
      <c r="K68" s="47">
        <f>IF('TENAGA KERJA'!H67="KATEGORI A",VLOOKUP(J68,'TER 2024'!$B$2:$E$45,4),IF('TENAGA KERJA'!H67="KATEGORI B",VLOOKUP(J68,'TER 2024'!$B$46:$E$85,4),IF('TENAGA KERJA'!H67="KATEGORI C",VLOOKUP(J68,'TER 2024'!$B$86:$E$126,4),0)))</f>
        <v>0</v>
      </c>
      <c r="L68" s="48">
        <f>IF('TENAGA KERJA'!F67="NPWP",'PPH PSL 21 - GROSS (MULAI 2024)'!J68*K68,IF('TENAGA KERJA'!F67="NON-NPWP",'PPH PSL 21 - GROSS (MULAI 2024)'!J68*K68*120%,0))</f>
        <v>0</v>
      </c>
    </row>
    <row r="69" spans="1:12">
      <c r="A69" s="45" t="str">
        <f>IF('TENAGA KERJA'!A68=0,"",'TENAGA KERJA'!A68)</f>
        <v/>
      </c>
      <c r="B69" s="24" t="str">
        <f>IF('TENAGA KERJA'!B68=0,"",'TENAGA KERJA'!B68)</f>
        <v/>
      </c>
      <c r="C69" s="43">
        <f>'TENAGA KERJA'!K68</f>
        <v>0</v>
      </c>
      <c r="D69" s="46">
        <f>'TENAGA KERJA'!L68</f>
        <v>0</v>
      </c>
      <c r="E69" s="46">
        <f>'TENAGA KERJA'!M68</f>
        <v>0</v>
      </c>
      <c r="F69" s="43">
        <f>'TENAGA KERJA'!N68</f>
        <v>0</v>
      </c>
      <c r="G69" s="43">
        <f>'BPJS TK'!D69</f>
        <v>0</v>
      </c>
      <c r="H69" s="43">
        <f>'BPJS TK'!E69</f>
        <v>0</v>
      </c>
      <c r="I69" s="46">
        <f>'BPJS KES'!D69</f>
        <v>0</v>
      </c>
      <c r="J69" s="43">
        <f t="shared" ref="J69:J132" si="3">SUM(C69:I69)</f>
        <v>0</v>
      </c>
      <c r="K69" s="47">
        <f>IF('TENAGA KERJA'!H68="KATEGORI A",VLOOKUP(J69,'TER 2024'!$B$2:$E$45,4),IF('TENAGA KERJA'!H68="KATEGORI B",VLOOKUP(J69,'TER 2024'!$B$46:$E$85,4),IF('TENAGA KERJA'!H68="KATEGORI C",VLOOKUP(J69,'TER 2024'!$B$86:$E$126,4),0)))</f>
        <v>0</v>
      </c>
      <c r="L69" s="48">
        <f>IF('TENAGA KERJA'!F68="NPWP",'PPH PSL 21 - GROSS (MULAI 2024)'!J69*K69,IF('TENAGA KERJA'!F68="NON-NPWP",'PPH PSL 21 - GROSS (MULAI 2024)'!J69*K69*120%,0))</f>
        <v>0</v>
      </c>
    </row>
    <row r="70" spans="1:12">
      <c r="A70" s="45" t="str">
        <f>IF('TENAGA KERJA'!A69=0,"",'TENAGA KERJA'!A69)</f>
        <v/>
      </c>
      <c r="B70" s="24" t="str">
        <f>IF('TENAGA KERJA'!B69=0,"",'TENAGA KERJA'!B69)</f>
        <v/>
      </c>
      <c r="C70" s="43">
        <f>'TENAGA KERJA'!K69</f>
        <v>0</v>
      </c>
      <c r="D70" s="46">
        <f>'TENAGA KERJA'!L69</f>
        <v>0</v>
      </c>
      <c r="E70" s="46">
        <f>'TENAGA KERJA'!M69</f>
        <v>0</v>
      </c>
      <c r="F70" s="43">
        <f>'TENAGA KERJA'!N69</f>
        <v>0</v>
      </c>
      <c r="G70" s="43">
        <f>'BPJS TK'!D70</f>
        <v>0</v>
      </c>
      <c r="H70" s="43">
        <f>'BPJS TK'!E70</f>
        <v>0</v>
      </c>
      <c r="I70" s="46">
        <f>'BPJS KES'!D70</f>
        <v>0</v>
      </c>
      <c r="J70" s="43">
        <f t="shared" si="3"/>
        <v>0</v>
      </c>
      <c r="K70" s="47">
        <f>IF('TENAGA KERJA'!H69="KATEGORI A",VLOOKUP(J70,'TER 2024'!$B$2:$E$45,4),IF('TENAGA KERJA'!H69="KATEGORI B",VLOOKUP(J70,'TER 2024'!$B$46:$E$85,4),IF('TENAGA KERJA'!H69="KATEGORI C",VLOOKUP(J70,'TER 2024'!$B$86:$E$126,4),0)))</f>
        <v>0</v>
      </c>
      <c r="L70" s="48">
        <f>IF('TENAGA KERJA'!F69="NPWP",'PPH PSL 21 - GROSS (MULAI 2024)'!J70*K70,IF('TENAGA KERJA'!F69="NON-NPWP",'PPH PSL 21 - GROSS (MULAI 2024)'!J70*K70*120%,0))</f>
        <v>0</v>
      </c>
    </row>
    <row r="71" spans="1:12">
      <c r="A71" s="45" t="str">
        <f>IF('TENAGA KERJA'!A70=0,"",'TENAGA KERJA'!A70)</f>
        <v/>
      </c>
      <c r="B71" s="24" t="str">
        <f>IF('TENAGA KERJA'!B70=0,"",'TENAGA KERJA'!B70)</f>
        <v/>
      </c>
      <c r="C71" s="43">
        <f>'TENAGA KERJA'!K70</f>
        <v>0</v>
      </c>
      <c r="D71" s="46">
        <f>'TENAGA KERJA'!L70</f>
        <v>0</v>
      </c>
      <c r="E71" s="46">
        <f>'TENAGA KERJA'!M70</f>
        <v>0</v>
      </c>
      <c r="F71" s="43">
        <f>'TENAGA KERJA'!N70</f>
        <v>0</v>
      </c>
      <c r="G71" s="43">
        <f>'BPJS TK'!D71</f>
        <v>0</v>
      </c>
      <c r="H71" s="43">
        <f>'BPJS TK'!E71</f>
        <v>0</v>
      </c>
      <c r="I71" s="46">
        <f>'BPJS KES'!D71</f>
        <v>0</v>
      </c>
      <c r="J71" s="43">
        <f t="shared" si="3"/>
        <v>0</v>
      </c>
      <c r="K71" s="47">
        <f>IF('TENAGA KERJA'!H70="KATEGORI A",VLOOKUP(J71,'TER 2024'!$B$2:$E$45,4),IF('TENAGA KERJA'!H70="KATEGORI B",VLOOKUP(J71,'TER 2024'!$B$46:$E$85,4),IF('TENAGA KERJA'!H70="KATEGORI C",VLOOKUP(J71,'TER 2024'!$B$86:$E$126,4),0)))</f>
        <v>0</v>
      </c>
      <c r="L71" s="48">
        <f>IF('TENAGA KERJA'!F70="NPWP",'PPH PSL 21 - GROSS (MULAI 2024)'!J71*K71,IF('TENAGA KERJA'!F70="NON-NPWP",'PPH PSL 21 - GROSS (MULAI 2024)'!J71*K71*120%,0))</f>
        <v>0</v>
      </c>
    </row>
    <row r="72" spans="1:12">
      <c r="A72" s="45" t="str">
        <f>IF('TENAGA KERJA'!A71=0,"",'TENAGA KERJA'!A71)</f>
        <v/>
      </c>
      <c r="B72" s="24" t="str">
        <f>IF('TENAGA KERJA'!B71=0,"",'TENAGA KERJA'!B71)</f>
        <v/>
      </c>
      <c r="C72" s="43">
        <f>'TENAGA KERJA'!K71</f>
        <v>0</v>
      </c>
      <c r="D72" s="46">
        <f>'TENAGA KERJA'!L71</f>
        <v>0</v>
      </c>
      <c r="E72" s="46">
        <f>'TENAGA KERJA'!M71</f>
        <v>0</v>
      </c>
      <c r="F72" s="43">
        <f>'TENAGA KERJA'!N71</f>
        <v>0</v>
      </c>
      <c r="G72" s="43">
        <f>'BPJS TK'!D72</f>
        <v>0</v>
      </c>
      <c r="H72" s="43">
        <f>'BPJS TK'!E72</f>
        <v>0</v>
      </c>
      <c r="I72" s="46">
        <f>'BPJS KES'!D72</f>
        <v>0</v>
      </c>
      <c r="J72" s="43">
        <f t="shared" si="3"/>
        <v>0</v>
      </c>
      <c r="K72" s="47">
        <f>IF('TENAGA KERJA'!H71="KATEGORI A",VLOOKUP(J72,'TER 2024'!$B$2:$E$45,4),IF('TENAGA KERJA'!H71="KATEGORI B",VLOOKUP(J72,'TER 2024'!$B$46:$E$85,4),IF('TENAGA KERJA'!H71="KATEGORI C",VLOOKUP(J72,'TER 2024'!$B$86:$E$126,4),0)))</f>
        <v>0</v>
      </c>
      <c r="L72" s="48">
        <f>IF('TENAGA KERJA'!F71="NPWP",'PPH PSL 21 - GROSS (MULAI 2024)'!J72*K72,IF('TENAGA KERJA'!F71="NON-NPWP",'PPH PSL 21 - GROSS (MULAI 2024)'!J72*K72*120%,0))</f>
        <v>0</v>
      </c>
    </row>
    <row r="73" spans="1:12">
      <c r="A73" s="45" t="str">
        <f>IF('TENAGA KERJA'!A72=0,"",'TENAGA KERJA'!A72)</f>
        <v/>
      </c>
      <c r="B73" s="24" t="str">
        <f>IF('TENAGA KERJA'!B72=0,"",'TENAGA KERJA'!B72)</f>
        <v/>
      </c>
      <c r="C73" s="43">
        <f>'TENAGA KERJA'!K72</f>
        <v>0</v>
      </c>
      <c r="D73" s="46">
        <f>'TENAGA KERJA'!L72</f>
        <v>0</v>
      </c>
      <c r="E73" s="46">
        <f>'TENAGA KERJA'!M72</f>
        <v>0</v>
      </c>
      <c r="F73" s="43">
        <f>'TENAGA KERJA'!N72</f>
        <v>0</v>
      </c>
      <c r="G73" s="43">
        <f>'BPJS TK'!D73</f>
        <v>0</v>
      </c>
      <c r="H73" s="43">
        <f>'BPJS TK'!E73</f>
        <v>0</v>
      </c>
      <c r="I73" s="46">
        <f>'BPJS KES'!D73</f>
        <v>0</v>
      </c>
      <c r="J73" s="43">
        <f t="shared" si="3"/>
        <v>0</v>
      </c>
      <c r="K73" s="47">
        <f>IF('TENAGA KERJA'!H72="KATEGORI A",VLOOKUP(J73,'TER 2024'!$B$2:$E$45,4),IF('TENAGA KERJA'!H72="KATEGORI B",VLOOKUP(J73,'TER 2024'!$B$46:$E$85,4),IF('TENAGA KERJA'!H72="KATEGORI C",VLOOKUP(J73,'TER 2024'!$B$86:$E$126,4),0)))</f>
        <v>0</v>
      </c>
      <c r="L73" s="48">
        <f>IF('TENAGA KERJA'!F72="NPWP",'PPH PSL 21 - GROSS (MULAI 2024)'!J73*K73,IF('TENAGA KERJA'!F72="NON-NPWP",'PPH PSL 21 - GROSS (MULAI 2024)'!J73*K73*120%,0))</f>
        <v>0</v>
      </c>
    </row>
    <row r="74" spans="1:12">
      <c r="A74" s="45" t="str">
        <f>IF('TENAGA KERJA'!A73=0,"",'TENAGA KERJA'!A73)</f>
        <v/>
      </c>
      <c r="B74" s="24" t="str">
        <f>IF('TENAGA KERJA'!B73=0,"",'TENAGA KERJA'!B73)</f>
        <v/>
      </c>
      <c r="C74" s="43">
        <f>'TENAGA KERJA'!K73</f>
        <v>0</v>
      </c>
      <c r="D74" s="46">
        <f>'TENAGA KERJA'!L73</f>
        <v>0</v>
      </c>
      <c r="E74" s="46">
        <f>'TENAGA KERJA'!M73</f>
        <v>0</v>
      </c>
      <c r="F74" s="43">
        <f>'TENAGA KERJA'!N73</f>
        <v>0</v>
      </c>
      <c r="G74" s="43">
        <f>'BPJS TK'!D74</f>
        <v>0</v>
      </c>
      <c r="H74" s="43">
        <f>'BPJS TK'!E74</f>
        <v>0</v>
      </c>
      <c r="I74" s="46">
        <f>'BPJS KES'!D74</f>
        <v>0</v>
      </c>
      <c r="J74" s="43">
        <f t="shared" si="3"/>
        <v>0</v>
      </c>
      <c r="K74" s="47">
        <f>IF('TENAGA KERJA'!H73="KATEGORI A",VLOOKUP(J74,'TER 2024'!$B$2:$E$45,4),IF('TENAGA KERJA'!H73="KATEGORI B",VLOOKUP(J74,'TER 2024'!$B$46:$E$85,4),IF('TENAGA KERJA'!H73="KATEGORI C",VLOOKUP(J74,'TER 2024'!$B$86:$E$126,4),0)))</f>
        <v>0</v>
      </c>
      <c r="L74" s="48">
        <f>IF('TENAGA KERJA'!F73="NPWP",'PPH PSL 21 - GROSS (MULAI 2024)'!J74*K74,IF('TENAGA KERJA'!F73="NON-NPWP",'PPH PSL 21 - GROSS (MULAI 2024)'!J74*K74*120%,0))</f>
        <v>0</v>
      </c>
    </row>
    <row r="75" spans="1:12">
      <c r="A75" s="45" t="str">
        <f>IF('TENAGA KERJA'!A74=0,"",'TENAGA KERJA'!A74)</f>
        <v/>
      </c>
      <c r="B75" s="24" t="str">
        <f>IF('TENAGA KERJA'!B74=0,"",'TENAGA KERJA'!B74)</f>
        <v/>
      </c>
      <c r="C75" s="43">
        <f>'TENAGA KERJA'!K74</f>
        <v>0</v>
      </c>
      <c r="D75" s="46">
        <f>'TENAGA KERJA'!L74</f>
        <v>0</v>
      </c>
      <c r="E75" s="46">
        <f>'TENAGA KERJA'!M74</f>
        <v>0</v>
      </c>
      <c r="F75" s="43">
        <f>'TENAGA KERJA'!N74</f>
        <v>0</v>
      </c>
      <c r="G75" s="43">
        <f>'BPJS TK'!D75</f>
        <v>0</v>
      </c>
      <c r="H75" s="43">
        <f>'BPJS TK'!E75</f>
        <v>0</v>
      </c>
      <c r="I75" s="46">
        <f>'BPJS KES'!D75</f>
        <v>0</v>
      </c>
      <c r="J75" s="43">
        <f t="shared" si="3"/>
        <v>0</v>
      </c>
      <c r="K75" s="47">
        <f>IF('TENAGA KERJA'!H74="KATEGORI A",VLOOKUP(J75,'TER 2024'!$B$2:$E$45,4),IF('TENAGA KERJA'!H74="KATEGORI B",VLOOKUP(J75,'TER 2024'!$B$46:$E$85,4),IF('TENAGA KERJA'!H74="KATEGORI C",VLOOKUP(J75,'TER 2024'!$B$86:$E$126,4),0)))</f>
        <v>0</v>
      </c>
      <c r="L75" s="48">
        <f>IF('TENAGA KERJA'!F74="NPWP",'PPH PSL 21 - GROSS (MULAI 2024)'!J75*K75,IF('TENAGA KERJA'!F74="NON-NPWP",'PPH PSL 21 - GROSS (MULAI 2024)'!J75*K75*120%,0))</f>
        <v>0</v>
      </c>
    </row>
    <row r="76" spans="1:12">
      <c r="A76" s="45" t="str">
        <f>IF('TENAGA KERJA'!A75=0,"",'TENAGA KERJA'!A75)</f>
        <v/>
      </c>
      <c r="B76" s="24" t="str">
        <f>IF('TENAGA KERJA'!B75=0,"",'TENAGA KERJA'!B75)</f>
        <v/>
      </c>
      <c r="C76" s="43">
        <f>'TENAGA KERJA'!K75</f>
        <v>0</v>
      </c>
      <c r="D76" s="46">
        <f>'TENAGA KERJA'!L75</f>
        <v>0</v>
      </c>
      <c r="E76" s="46">
        <f>'TENAGA KERJA'!M75</f>
        <v>0</v>
      </c>
      <c r="F76" s="43">
        <f>'TENAGA KERJA'!N75</f>
        <v>0</v>
      </c>
      <c r="G76" s="43">
        <f>'BPJS TK'!D76</f>
        <v>0</v>
      </c>
      <c r="H76" s="43">
        <f>'BPJS TK'!E76</f>
        <v>0</v>
      </c>
      <c r="I76" s="46">
        <f>'BPJS KES'!D76</f>
        <v>0</v>
      </c>
      <c r="J76" s="43">
        <f t="shared" si="3"/>
        <v>0</v>
      </c>
      <c r="K76" s="47">
        <f>IF('TENAGA KERJA'!H75="KATEGORI A",VLOOKUP(J76,'TER 2024'!$B$2:$E$45,4),IF('TENAGA KERJA'!H75="KATEGORI B",VLOOKUP(J76,'TER 2024'!$B$46:$E$85,4),IF('TENAGA KERJA'!H75="KATEGORI C",VLOOKUP(J76,'TER 2024'!$B$86:$E$126,4),0)))</f>
        <v>0</v>
      </c>
      <c r="L76" s="48">
        <f>IF('TENAGA KERJA'!F75="NPWP",'PPH PSL 21 - GROSS (MULAI 2024)'!J76*K76,IF('TENAGA KERJA'!F75="NON-NPWP",'PPH PSL 21 - GROSS (MULAI 2024)'!J76*K76*120%,0))</f>
        <v>0</v>
      </c>
    </row>
    <row r="77" spans="1:12">
      <c r="A77" s="45" t="str">
        <f>IF('TENAGA KERJA'!A76=0,"",'TENAGA KERJA'!A76)</f>
        <v/>
      </c>
      <c r="B77" s="24" t="str">
        <f>IF('TENAGA KERJA'!B76=0,"",'TENAGA KERJA'!B76)</f>
        <v/>
      </c>
      <c r="C77" s="43">
        <f>'TENAGA KERJA'!K76</f>
        <v>0</v>
      </c>
      <c r="D77" s="46">
        <f>'TENAGA KERJA'!L76</f>
        <v>0</v>
      </c>
      <c r="E77" s="46">
        <f>'TENAGA KERJA'!M76</f>
        <v>0</v>
      </c>
      <c r="F77" s="43">
        <f>'TENAGA KERJA'!N76</f>
        <v>0</v>
      </c>
      <c r="G77" s="43">
        <f>'BPJS TK'!D77</f>
        <v>0</v>
      </c>
      <c r="H77" s="43">
        <f>'BPJS TK'!E77</f>
        <v>0</v>
      </c>
      <c r="I77" s="46">
        <f>'BPJS KES'!D77</f>
        <v>0</v>
      </c>
      <c r="J77" s="43">
        <f t="shared" si="3"/>
        <v>0</v>
      </c>
      <c r="K77" s="47">
        <f>IF('TENAGA KERJA'!H76="KATEGORI A",VLOOKUP(J77,'TER 2024'!$B$2:$E$45,4),IF('TENAGA KERJA'!H76="KATEGORI B",VLOOKUP(J77,'TER 2024'!$B$46:$E$85,4),IF('TENAGA KERJA'!H76="KATEGORI C",VLOOKUP(J77,'TER 2024'!$B$86:$E$126,4),0)))</f>
        <v>0</v>
      </c>
      <c r="L77" s="48">
        <f>IF('TENAGA KERJA'!F76="NPWP",'PPH PSL 21 - GROSS (MULAI 2024)'!J77*K77,IF('TENAGA KERJA'!F76="NON-NPWP",'PPH PSL 21 - GROSS (MULAI 2024)'!J77*K77*120%,0))</f>
        <v>0</v>
      </c>
    </row>
    <row r="78" spans="1:12">
      <c r="A78" s="45" t="str">
        <f>IF('TENAGA KERJA'!A77=0,"",'TENAGA KERJA'!A77)</f>
        <v/>
      </c>
      <c r="B78" s="24" t="str">
        <f>IF('TENAGA KERJA'!B77=0,"",'TENAGA KERJA'!B77)</f>
        <v/>
      </c>
      <c r="C78" s="43">
        <f>'TENAGA KERJA'!K77</f>
        <v>0</v>
      </c>
      <c r="D78" s="46">
        <f>'TENAGA KERJA'!L77</f>
        <v>0</v>
      </c>
      <c r="E78" s="46">
        <f>'TENAGA KERJA'!M77</f>
        <v>0</v>
      </c>
      <c r="F78" s="43">
        <f>'TENAGA KERJA'!N77</f>
        <v>0</v>
      </c>
      <c r="G78" s="43">
        <f>'BPJS TK'!D78</f>
        <v>0</v>
      </c>
      <c r="H78" s="43">
        <f>'BPJS TK'!E78</f>
        <v>0</v>
      </c>
      <c r="I78" s="46">
        <f>'BPJS KES'!D78</f>
        <v>0</v>
      </c>
      <c r="J78" s="43">
        <f t="shared" si="3"/>
        <v>0</v>
      </c>
      <c r="K78" s="47">
        <f>IF('TENAGA KERJA'!H77="KATEGORI A",VLOOKUP(J78,'TER 2024'!$B$2:$E$45,4),IF('TENAGA KERJA'!H77="KATEGORI B",VLOOKUP(J78,'TER 2024'!$B$46:$E$85,4),IF('TENAGA KERJA'!H77="KATEGORI C",VLOOKUP(J78,'TER 2024'!$B$86:$E$126,4),0)))</f>
        <v>0</v>
      </c>
      <c r="L78" s="48">
        <f>IF('TENAGA KERJA'!F77="NPWP",'PPH PSL 21 - GROSS (MULAI 2024)'!J78*K78,IF('TENAGA KERJA'!F77="NON-NPWP",'PPH PSL 21 - GROSS (MULAI 2024)'!J78*K78*120%,0))</f>
        <v>0</v>
      </c>
    </row>
    <row r="79" spans="1:12">
      <c r="A79" s="45" t="str">
        <f>IF('TENAGA KERJA'!A78=0,"",'TENAGA KERJA'!A78)</f>
        <v/>
      </c>
      <c r="B79" s="24" t="str">
        <f>IF('TENAGA KERJA'!B78=0,"",'TENAGA KERJA'!B78)</f>
        <v/>
      </c>
      <c r="C79" s="43">
        <f>'TENAGA KERJA'!K78</f>
        <v>0</v>
      </c>
      <c r="D79" s="46">
        <f>'TENAGA KERJA'!L78</f>
        <v>0</v>
      </c>
      <c r="E79" s="46">
        <f>'TENAGA KERJA'!M78</f>
        <v>0</v>
      </c>
      <c r="F79" s="43">
        <f>'TENAGA KERJA'!N78</f>
        <v>0</v>
      </c>
      <c r="G79" s="43">
        <f>'BPJS TK'!D79</f>
        <v>0</v>
      </c>
      <c r="H79" s="43">
        <f>'BPJS TK'!E79</f>
        <v>0</v>
      </c>
      <c r="I79" s="46">
        <f>'BPJS KES'!D79</f>
        <v>0</v>
      </c>
      <c r="J79" s="43">
        <f t="shared" si="3"/>
        <v>0</v>
      </c>
      <c r="K79" s="47">
        <f>IF('TENAGA KERJA'!H78="KATEGORI A",VLOOKUP(J79,'TER 2024'!$B$2:$E$45,4),IF('TENAGA KERJA'!H78="KATEGORI B",VLOOKUP(J79,'TER 2024'!$B$46:$E$85,4),IF('TENAGA KERJA'!H78="KATEGORI C",VLOOKUP(J79,'TER 2024'!$B$86:$E$126,4),0)))</f>
        <v>0</v>
      </c>
      <c r="L79" s="48">
        <f>IF('TENAGA KERJA'!F78="NPWP",'PPH PSL 21 - GROSS (MULAI 2024)'!J79*K79,IF('TENAGA KERJA'!F78="NON-NPWP",'PPH PSL 21 - GROSS (MULAI 2024)'!J79*K79*120%,0))</f>
        <v>0</v>
      </c>
    </row>
    <row r="80" spans="1:12">
      <c r="A80" s="45" t="str">
        <f>IF('TENAGA KERJA'!A79=0,"",'TENAGA KERJA'!A79)</f>
        <v/>
      </c>
      <c r="B80" s="24" t="str">
        <f>IF('TENAGA KERJA'!B79=0,"",'TENAGA KERJA'!B79)</f>
        <v/>
      </c>
      <c r="C80" s="43">
        <f>'TENAGA KERJA'!K79</f>
        <v>0</v>
      </c>
      <c r="D80" s="46">
        <f>'TENAGA KERJA'!L79</f>
        <v>0</v>
      </c>
      <c r="E80" s="46">
        <f>'TENAGA KERJA'!M79</f>
        <v>0</v>
      </c>
      <c r="F80" s="43">
        <f>'TENAGA KERJA'!N79</f>
        <v>0</v>
      </c>
      <c r="G80" s="43">
        <f>'BPJS TK'!D80</f>
        <v>0</v>
      </c>
      <c r="H80" s="43">
        <f>'BPJS TK'!E80</f>
        <v>0</v>
      </c>
      <c r="I80" s="46">
        <f>'BPJS KES'!D80</f>
        <v>0</v>
      </c>
      <c r="J80" s="43">
        <f t="shared" si="3"/>
        <v>0</v>
      </c>
      <c r="K80" s="47">
        <f>IF('TENAGA KERJA'!H79="KATEGORI A",VLOOKUP(J80,'TER 2024'!$B$2:$E$45,4),IF('TENAGA KERJA'!H79="KATEGORI B",VLOOKUP(J80,'TER 2024'!$B$46:$E$85,4),IF('TENAGA KERJA'!H79="KATEGORI C",VLOOKUP(J80,'TER 2024'!$B$86:$E$126,4),0)))</f>
        <v>0</v>
      </c>
      <c r="L80" s="48">
        <f>IF('TENAGA KERJA'!F79="NPWP",'PPH PSL 21 - GROSS (MULAI 2024)'!J80*K80,IF('TENAGA KERJA'!F79="NON-NPWP",'PPH PSL 21 - GROSS (MULAI 2024)'!J80*K80*120%,0))</f>
        <v>0</v>
      </c>
    </row>
    <row r="81" spans="1:12">
      <c r="A81" s="45" t="str">
        <f>IF('TENAGA KERJA'!A80=0,"",'TENAGA KERJA'!A80)</f>
        <v/>
      </c>
      <c r="B81" s="24" t="str">
        <f>IF('TENAGA KERJA'!B80=0,"",'TENAGA KERJA'!B80)</f>
        <v/>
      </c>
      <c r="C81" s="43">
        <f>'TENAGA KERJA'!K80</f>
        <v>0</v>
      </c>
      <c r="D81" s="46">
        <f>'TENAGA KERJA'!L80</f>
        <v>0</v>
      </c>
      <c r="E81" s="46">
        <f>'TENAGA KERJA'!M80</f>
        <v>0</v>
      </c>
      <c r="F81" s="43">
        <f>'TENAGA KERJA'!N80</f>
        <v>0</v>
      </c>
      <c r="G81" s="43">
        <f>'BPJS TK'!D81</f>
        <v>0</v>
      </c>
      <c r="H81" s="43">
        <f>'BPJS TK'!E81</f>
        <v>0</v>
      </c>
      <c r="I81" s="46">
        <f>'BPJS KES'!D81</f>
        <v>0</v>
      </c>
      <c r="J81" s="43">
        <f t="shared" si="3"/>
        <v>0</v>
      </c>
      <c r="K81" s="47">
        <f>IF('TENAGA KERJA'!H80="KATEGORI A",VLOOKUP(J81,'TER 2024'!$B$2:$E$45,4),IF('TENAGA KERJA'!H80="KATEGORI B",VLOOKUP(J81,'TER 2024'!$B$46:$E$85,4),IF('TENAGA KERJA'!H80="KATEGORI C",VLOOKUP(J81,'TER 2024'!$B$86:$E$126,4),0)))</f>
        <v>0</v>
      </c>
      <c r="L81" s="48">
        <f>IF('TENAGA KERJA'!F80="NPWP",'PPH PSL 21 - GROSS (MULAI 2024)'!J81*K81,IF('TENAGA KERJA'!F80="NON-NPWP",'PPH PSL 21 - GROSS (MULAI 2024)'!J81*K81*120%,0))</f>
        <v>0</v>
      </c>
    </row>
    <row r="82" spans="1:12">
      <c r="A82" s="45" t="str">
        <f>IF('TENAGA KERJA'!A81=0,"",'TENAGA KERJA'!A81)</f>
        <v/>
      </c>
      <c r="B82" s="24" t="str">
        <f>IF('TENAGA KERJA'!B81=0,"",'TENAGA KERJA'!B81)</f>
        <v/>
      </c>
      <c r="C82" s="43">
        <f>'TENAGA KERJA'!K81</f>
        <v>0</v>
      </c>
      <c r="D82" s="46">
        <f>'TENAGA KERJA'!L81</f>
        <v>0</v>
      </c>
      <c r="E82" s="46">
        <f>'TENAGA KERJA'!M81</f>
        <v>0</v>
      </c>
      <c r="F82" s="43">
        <f>'TENAGA KERJA'!N81</f>
        <v>0</v>
      </c>
      <c r="G82" s="43">
        <f>'BPJS TK'!D82</f>
        <v>0</v>
      </c>
      <c r="H82" s="43">
        <f>'BPJS TK'!E82</f>
        <v>0</v>
      </c>
      <c r="I82" s="46">
        <f>'BPJS KES'!D82</f>
        <v>0</v>
      </c>
      <c r="J82" s="43">
        <f t="shared" si="3"/>
        <v>0</v>
      </c>
      <c r="K82" s="47">
        <f>IF('TENAGA KERJA'!H81="KATEGORI A",VLOOKUP(J82,'TER 2024'!$B$2:$E$45,4),IF('TENAGA KERJA'!H81="KATEGORI B",VLOOKUP(J82,'TER 2024'!$B$46:$E$85,4),IF('TENAGA KERJA'!H81="KATEGORI C",VLOOKUP(J82,'TER 2024'!$B$86:$E$126,4),0)))</f>
        <v>0</v>
      </c>
      <c r="L82" s="48">
        <f>IF('TENAGA KERJA'!F81="NPWP",'PPH PSL 21 - GROSS (MULAI 2024)'!J82*K82,IF('TENAGA KERJA'!F81="NON-NPWP",'PPH PSL 21 - GROSS (MULAI 2024)'!J82*K82*120%,0))</f>
        <v>0</v>
      </c>
    </row>
    <row r="83" spans="1:12">
      <c r="A83" s="45" t="str">
        <f>IF('TENAGA KERJA'!A82=0,"",'TENAGA KERJA'!A82)</f>
        <v/>
      </c>
      <c r="B83" s="24" t="str">
        <f>IF('TENAGA KERJA'!B82=0,"",'TENAGA KERJA'!B82)</f>
        <v/>
      </c>
      <c r="C83" s="43">
        <f>'TENAGA KERJA'!K82</f>
        <v>0</v>
      </c>
      <c r="D83" s="46">
        <f>'TENAGA KERJA'!L82</f>
        <v>0</v>
      </c>
      <c r="E83" s="46">
        <f>'TENAGA KERJA'!M82</f>
        <v>0</v>
      </c>
      <c r="F83" s="43">
        <f>'TENAGA KERJA'!N82</f>
        <v>0</v>
      </c>
      <c r="G83" s="43">
        <f>'BPJS TK'!D83</f>
        <v>0</v>
      </c>
      <c r="H83" s="43">
        <f>'BPJS TK'!E83</f>
        <v>0</v>
      </c>
      <c r="I83" s="46">
        <f>'BPJS KES'!D83</f>
        <v>0</v>
      </c>
      <c r="J83" s="43">
        <f t="shared" si="3"/>
        <v>0</v>
      </c>
      <c r="K83" s="47">
        <f>IF('TENAGA KERJA'!H82="KATEGORI A",VLOOKUP(J83,'TER 2024'!$B$2:$E$45,4),IF('TENAGA KERJA'!H82="KATEGORI B",VLOOKUP(J83,'TER 2024'!$B$46:$E$85,4),IF('TENAGA KERJA'!H82="KATEGORI C",VLOOKUP(J83,'TER 2024'!$B$86:$E$126,4),0)))</f>
        <v>0</v>
      </c>
      <c r="L83" s="48">
        <f>IF('TENAGA KERJA'!F82="NPWP",'PPH PSL 21 - GROSS (MULAI 2024)'!J83*K83,IF('TENAGA KERJA'!F82="NON-NPWP",'PPH PSL 21 - GROSS (MULAI 2024)'!J83*K83*120%,0))</f>
        <v>0</v>
      </c>
    </row>
    <row r="84" spans="1:12">
      <c r="A84" s="45" t="str">
        <f>IF('TENAGA KERJA'!A83=0,"",'TENAGA KERJA'!A83)</f>
        <v/>
      </c>
      <c r="B84" s="24" t="str">
        <f>IF('TENAGA KERJA'!B83=0,"",'TENAGA KERJA'!B83)</f>
        <v/>
      </c>
      <c r="C84" s="43">
        <f>'TENAGA KERJA'!K83</f>
        <v>0</v>
      </c>
      <c r="D84" s="46">
        <f>'TENAGA KERJA'!L83</f>
        <v>0</v>
      </c>
      <c r="E84" s="46">
        <f>'TENAGA KERJA'!M83</f>
        <v>0</v>
      </c>
      <c r="F84" s="43">
        <f>'TENAGA KERJA'!N83</f>
        <v>0</v>
      </c>
      <c r="G84" s="43">
        <f>'BPJS TK'!D84</f>
        <v>0</v>
      </c>
      <c r="H84" s="43">
        <f>'BPJS TK'!E84</f>
        <v>0</v>
      </c>
      <c r="I84" s="46">
        <f>'BPJS KES'!D84</f>
        <v>0</v>
      </c>
      <c r="J84" s="43">
        <f t="shared" si="3"/>
        <v>0</v>
      </c>
      <c r="K84" s="47">
        <f>IF('TENAGA KERJA'!H83="KATEGORI A",VLOOKUP(J84,'TER 2024'!$B$2:$E$45,4),IF('TENAGA KERJA'!H83="KATEGORI B",VLOOKUP(J84,'TER 2024'!$B$46:$E$85,4),IF('TENAGA KERJA'!H83="KATEGORI C",VLOOKUP(J84,'TER 2024'!$B$86:$E$126,4),0)))</f>
        <v>0</v>
      </c>
      <c r="L84" s="48">
        <f>IF('TENAGA KERJA'!F83="NPWP",'PPH PSL 21 - GROSS (MULAI 2024)'!J84*K84,IF('TENAGA KERJA'!F83="NON-NPWP",'PPH PSL 21 - GROSS (MULAI 2024)'!J84*K84*120%,0))</f>
        <v>0</v>
      </c>
    </row>
    <row r="85" spans="1:12">
      <c r="A85" s="45" t="str">
        <f>IF('TENAGA KERJA'!A84=0,"",'TENAGA KERJA'!A84)</f>
        <v/>
      </c>
      <c r="B85" s="24" t="str">
        <f>IF('TENAGA KERJA'!B84=0,"",'TENAGA KERJA'!B84)</f>
        <v/>
      </c>
      <c r="C85" s="43">
        <f>'TENAGA KERJA'!K84</f>
        <v>0</v>
      </c>
      <c r="D85" s="46">
        <f>'TENAGA KERJA'!L84</f>
        <v>0</v>
      </c>
      <c r="E85" s="46">
        <f>'TENAGA KERJA'!M84</f>
        <v>0</v>
      </c>
      <c r="F85" s="43">
        <f>'TENAGA KERJA'!N84</f>
        <v>0</v>
      </c>
      <c r="G85" s="43">
        <f>'BPJS TK'!D85</f>
        <v>0</v>
      </c>
      <c r="H85" s="43">
        <f>'BPJS TK'!E85</f>
        <v>0</v>
      </c>
      <c r="I85" s="46">
        <f>'BPJS KES'!D85</f>
        <v>0</v>
      </c>
      <c r="J85" s="43">
        <f t="shared" si="3"/>
        <v>0</v>
      </c>
      <c r="K85" s="47">
        <f>IF('TENAGA KERJA'!H84="KATEGORI A",VLOOKUP(J85,'TER 2024'!$B$2:$E$45,4),IF('TENAGA KERJA'!H84="KATEGORI B",VLOOKUP(J85,'TER 2024'!$B$46:$E$85,4),IF('TENAGA KERJA'!H84="KATEGORI C",VLOOKUP(J85,'TER 2024'!$B$86:$E$126,4),0)))</f>
        <v>0</v>
      </c>
      <c r="L85" s="48">
        <f>IF('TENAGA KERJA'!F84="NPWP",'PPH PSL 21 - GROSS (MULAI 2024)'!J85*K85,IF('TENAGA KERJA'!F84="NON-NPWP",'PPH PSL 21 - GROSS (MULAI 2024)'!J85*K85*120%,0))</f>
        <v>0</v>
      </c>
    </row>
    <row r="86" spans="1:12">
      <c r="A86" s="45" t="str">
        <f>IF('TENAGA KERJA'!A85=0,"",'TENAGA KERJA'!A85)</f>
        <v/>
      </c>
      <c r="B86" s="24" t="str">
        <f>IF('TENAGA KERJA'!B85=0,"",'TENAGA KERJA'!B85)</f>
        <v/>
      </c>
      <c r="C86" s="43">
        <f>'TENAGA KERJA'!K85</f>
        <v>0</v>
      </c>
      <c r="D86" s="46">
        <f>'TENAGA KERJA'!L85</f>
        <v>0</v>
      </c>
      <c r="E86" s="46">
        <f>'TENAGA KERJA'!M85</f>
        <v>0</v>
      </c>
      <c r="F86" s="43">
        <f>'TENAGA KERJA'!N85</f>
        <v>0</v>
      </c>
      <c r="G86" s="43">
        <f>'BPJS TK'!D86</f>
        <v>0</v>
      </c>
      <c r="H86" s="43">
        <f>'BPJS TK'!E86</f>
        <v>0</v>
      </c>
      <c r="I86" s="46">
        <f>'BPJS KES'!D86</f>
        <v>0</v>
      </c>
      <c r="J86" s="43">
        <f t="shared" si="3"/>
        <v>0</v>
      </c>
      <c r="K86" s="47">
        <f>IF('TENAGA KERJA'!H85="KATEGORI A",VLOOKUP(J86,'TER 2024'!$B$2:$E$45,4),IF('TENAGA KERJA'!H85="KATEGORI B",VLOOKUP(J86,'TER 2024'!$B$46:$E$85,4),IF('TENAGA KERJA'!H85="KATEGORI C",VLOOKUP(J86,'TER 2024'!$B$86:$E$126,4),0)))</f>
        <v>0</v>
      </c>
      <c r="L86" s="48">
        <f>IF('TENAGA KERJA'!F85="NPWP",'PPH PSL 21 - GROSS (MULAI 2024)'!J86*K86,IF('TENAGA KERJA'!F85="NON-NPWP",'PPH PSL 21 - GROSS (MULAI 2024)'!J86*K86*120%,0))</f>
        <v>0</v>
      </c>
    </row>
    <row r="87" spans="1:12">
      <c r="A87" s="45" t="str">
        <f>IF('TENAGA KERJA'!A86=0,"",'TENAGA KERJA'!A86)</f>
        <v/>
      </c>
      <c r="B87" s="24" t="str">
        <f>IF('TENAGA KERJA'!B86=0,"",'TENAGA KERJA'!B86)</f>
        <v/>
      </c>
      <c r="C87" s="43">
        <f>'TENAGA KERJA'!K86</f>
        <v>0</v>
      </c>
      <c r="D87" s="46">
        <f>'TENAGA KERJA'!L86</f>
        <v>0</v>
      </c>
      <c r="E87" s="46">
        <f>'TENAGA KERJA'!M86</f>
        <v>0</v>
      </c>
      <c r="F87" s="43">
        <f>'TENAGA KERJA'!N86</f>
        <v>0</v>
      </c>
      <c r="G87" s="43">
        <f>'BPJS TK'!D87</f>
        <v>0</v>
      </c>
      <c r="H87" s="43">
        <f>'BPJS TK'!E87</f>
        <v>0</v>
      </c>
      <c r="I87" s="46">
        <f>'BPJS KES'!D87</f>
        <v>0</v>
      </c>
      <c r="J87" s="43">
        <f t="shared" si="3"/>
        <v>0</v>
      </c>
      <c r="K87" s="47">
        <f>IF('TENAGA KERJA'!H86="KATEGORI A",VLOOKUP(J87,'TER 2024'!$B$2:$E$45,4),IF('TENAGA KERJA'!H86="KATEGORI B",VLOOKUP(J87,'TER 2024'!$B$46:$E$85,4),IF('TENAGA KERJA'!H86="KATEGORI C",VLOOKUP(J87,'TER 2024'!$B$86:$E$126,4),0)))</f>
        <v>0</v>
      </c>
      <c r="L87" s="48">
        <f>IF('TENAGA KERJA'!F86="NPWP",'PPH PSL 21 - GROSS (MULAI 2024)'!J87*K87,IF('TENAGA KERJA'!F86="NON-NPWP",'PPH PSL 21 - GROSS (MULAI 2024)'!J87*K87*120%,0))</f>
        <v>0</v>
      </c>
    </row>
    <row r="88" spans="1:12">
      <c r="A88" s="45" t="str">
        <f>IF('TENAGA KERJA'!A87=0,"",'TENAGA KERJA'!A87)</f>
        <v/>
      </c>
      <c r="B88" s="24" t="str">
        <f>IF('TENAGA KERJA'!B87=0,"",'TENAGA KERJA'!B87)</f>
        <v/>
      </c>
      <c r="C88" s="43">
        <f>'TENAGA KERJA'!K87</f>
        <v>0</v>
      </c>
      <c r="D88" s="46">
        <f>'TENAGA KERJA'!L87</f>
        <v>0</v>
      </c>
      <c r="E88" s="46">
        <f>'TENAGA KERJA'!M87</f>
        <v>0</v>
      </c>
      <c r="F88" s="43">
        <f>'TENAGA KERJA'!N87</f>
        <v>0</v>
      </c>
      <c r="G88" s="43">
        <f>'BPJS TK'!D88</f>
        <v>0</v>
      </c>
      <c r="H88" s="43">
        <f>'BPJS TK'!E88</f>
        <v>0</v>
      </c>
      <c r="I88" s="46">
        <f>'BPJS KES'!D88</f>
        <v>0</v>
      </c>
      <c r="J88" s="43">
        <f t="shared" si="3"/>
        <v>0</v>
      </c>
      <c r="K88" s="47">
        <f>IF('TENAGA KERJA'!H87="KATEGORI A",VLOOKUP(J88,'TER 2024'!$B$2:$E$45,4),IF('TENAGA KERJA'!H87="KATEGORI B",VLOOKUP(J88,'TER 2024'!$B$46:$E$85,4),IF('TENAGA KERJA'!H87="KATEGORI C",VLOOKUP(J88,'TER 2024'!$B$86:$E$126,4),0)))</f>
        <v>0</v>
      </c>
      <c r="L88" s="48">
        <f>IF('TENAGA KERJA'!F87="NPWP",'PPH PSL 21 - GROSS (MULAI 2024)'!J88*K88,IF('TENAGA KERJA'!F87="NON-NPWP",'PPH PSL 21 - GROSS (MULAI 2024)'!J88*K88*120%,0))</f>
        <v>0</v>
      </c>
    </row>
    <row r="89" spans="1:12">
      <c r="A89" s="45" t="str">
        <f>IF('TENAGA KERJA'!A88=0,"",'TENAGA KERJA'!A88)</f>
        <v/>
      </c>
      <c r="B89" s="24" t="str">
        <f>IF('TENAGA KERJA'!B88=0,"",'TENAGA KERJA'!B88)</f>
        <v/>
      </c>
      <c r="C89" s="43">
        <f>'TENAGA KERJA'!K88</f>
        <v>0</v>
      </c>
      <c r="D89" s="46">
        <f>'TENAGA KERJA'!L88</f>
        <v>0</v>
      </c>
      <c r="E89" s="46">
        <f>'TENAGA KERJA'!M88</f>
        <v>0</v>
      </c>
      <c r="F89" s="43">
        <f>'TENAGA KERJA'!N88</f>
        <v>0</v>
      </c>
      <c r="G89" s="43">
        <f>'BPJS TK'!D89</f>
        <v>0</v>
      </c>
      <c r="H89" s="43">
        <f>'BPJS TK'!E89</f>
        <v>0</v>
      </c>
      <c r="I89" s="46">
        <f>'BPJS KES'!D89</f>
        <v>0</v>
      </c>
      <c r="J89" s="43">
        <f t="shared" si="3"/>
        <v>0</v>
      </c>
      <c r="K89" s="47">
        <f>IF('TENAGA KERJA'!H88="KATEGORI A",VLOOKUP(J89,'TER 2024'!$B$2:$E$45,4),IF('TENAGA KERJA'!H88="KATEGORI B",VLOOKUP(J89,'TER 2024'!$B$46:$E$85,4),IF('TENAGA KERJA'!H88="KATEGORI C",VLOOKUP(J89,'TER 2024'!$B$86:$E$126,4),0)))</f>
        <v>0</v>
      </c>
      <c r="L89" s="48">
        <f>IF('TENAGA KERJA'!F88="NPWP",'PPH PSL 21 - GROSS (MULAI 2024)'!J89*K89,IF('TENAGA KERJA'!F88="NON-NPWP",'PPH PSL 21 - GROSS (MULAI 2024)'!J89*K89*120%,0))</f>
        <v>0</v>
      </c>
    </row>
    <row r="90" spans="1:12">
      <c r="A90" s="45" t="str">
        <f>IF('TENAGA KERJA'!A89=0,"",'TENAGA KERJA'!A89)</f>
        <v/>
      </c>
      <c r="B90" s="24" t="str">
        <f>IF('TENAGA KERJA'!B89=0,"",'TENAGA KERJA'!B89)</f>
        <v/>
      </c>
      <c r="C90" s="43">
        <f>'TENAGA KERJA'!K89</f>
        <v>0</v>
      </c>
      <c r="D90" s="46">
        <f>'TENAGA KERJA'!L89</f>
        <v>0</v>
      </c>
      <c r="E90" s="46">
        <f>'TENAGA KERJA'!M89</f>
        <v>0</v>
      </c>
      <c r="F90" s="43">
        <f>'TENAGA KERJA'!N89</f>
        <v>0</v>
      </c>
      <c r="G90" s="43">
        <f>'BPJS TK'!D90</f>
        <v>0</v>
      </c>
      <c r="H90" s="43">
        <f>'BPJS TK'!E90</f>
        <v>0</v>
      </c>
      <c r="I90" s="46">
        <f>'BPJS KES'!D90</f>
        <v>0</v>
      </c>
      <c r="J90" s="43">
        <f t="shared" si="3"/>
        <v>0</v>
      </c>
      <c r="K90" s="47">
        <f>IF('TENAGA KERJA'!H89="KATEGORI A",VLOOKUP(J90,'TER 2024'!$B$2:$E$45,4),IF('TENAGA KERJA'!H89="KATEGORI B",VLOOKUP(J90,'TER 2024'!$B$46:$E$85,4),IF('TENAGA KERJA'!H89="KATEGORI C",VLOOKUP(J90,'TER 2024'!$B$86:$E$126,4),0)))</f>
        <v>0</v>
      </c>
      <c r="L90" s="48">
        <f>IF('TENAGA KERJA'!F89="NPWP",'PPH PSL 21 - GROSS (MULAI 2024)'!J90*K90,IF('TENAGA KERJA'!F89="NON-NPWP",'PPH PSL 21 - GROSS (MULAI 2024)'!J90*K90*120%,0))</f>
        <v>0</v>
      </c>
    </row>
    <row r="91" spans="1:12">
      <c r="A91" s="45" t="str">
        <f>IF('TENAGA KERJA'!A90=0,"",'TENAGA KERJA'!A90)</f>
        <v/>
      </c>
      <c r="B91" s="24" t="str">
        <f>IF('TENAGA KERJA'!B90=0,"",'TENAGA KERJA'!B90)</f>
        <v/>
      </c>
      <c r="C91" s="43">
        <f>'TENAGA KERJA'!K90</f>
        <v>0</v>
      </c>
      <c r="D91" s="46">
        <f>'TENAGA KERJA'!L90</f>
        <v>0</v>
      </c>
      <c r="E91" s="46">
        <f>'TENAGA KERJA'!M90</f>
        <v>0</v>
      </c>
      <c r="F91" s="43">
        <f>'TENAGA KERJA'!N90</f>
        <v>0</v>
      </c>
      <c r="G91" s="43">
        <f>'BPJS TK'!D91</f>
        <v>0</v>
      </c>
      <c r="H91" s="43">
        <f>'BPJS TK'!E91</f>
        <v>0</v>
      </c>
      <c r="I91" s="46">
        <f>'BPJS KES'!D91</f>
        <v>0</v>
      </c>
      <c r="J91" s="43">
        <f t="shared" si="3"/>
        <v>0</v>
      </c>
      <c r="K91" s="47">
        <f>IF('TENAGA KERJA'!H90="KATEGORI A",VLOOKUP(J91,'TER 2024'!$B$2:$E$45,4),IF('TENAGA KERJA'!H90="KATEGORI B",VLOOKUP(J91,'TER 2024'!$B$46:$E$85,4),IF('TENAGA KERJA'!H90="KATEGORI C",VLOOKUP(J91,'TER 2024'!$B$86:$E$126,4),0)))</f>
        <v>0</v>
      </c>
      <c r="L91" s="48">
        <f>IF('TENAGA KERJA'!F90="NPWP",'PPH PSL 21 - GROSS (MULAI 2024)'!J91*K91,IF('TENAGA KERJA'!F90="NON-NPWP",'PPH PSL 21 - GROSS (MULAI 2024)'!J91*K91*120%,0))</f>
        <v>0</v>
      </c>
    </row>
    <row r="92" spans="1:12">
      <c r="A92" s="45" t="str">
        <f>IF('TENAGA KERJA'!A91=0,"",'TENAGA KERJA'!A91)</f>
        <v/>
      </c>
      <c r="B92" s="24" t="str">
        <f>IF('TENAGA KERJA'!B91=0,"",'TENAGA KERJA'!B91)</f>
        <v/>
      </c>
      <c r="C92" s="43">
        <f>'TENAGA KERJA'!K91</f>
        <v>0</v>
      </c>
      <c r="D92" s="46">
        <f>'TENAGA KERJA'!L91</f>
        <v>0</v>
      </c>
      <c r="E92" s="46">
        <f>'TENAGA KERJA'!M91</f>
        <v>0</v>
      </c>
      <c r="F92" s="43">
        <f>'TENAGA KERJA'!N91</f>
        <v>0</v>
      </c>
      <c r="G92" s="43">
        <f>'BPJS TK'!D92</f>
        <v>0</v>
      </c>
      <c r="H92" s="43">
        <f>'BPJS TK'!E92</f>
        <v>0</v>
      </c>
      <c r="I92" s="46">
        <f>'BPJS KES'!D92</f>
        <v>0</v>
      </c>
      <c r="J92" s="43">
        <f t="shared" si="3"/>
        <v>0</v>
      </c>
      <c r="K92" s="47">
        <f>IF('TENAGA KERJA'!H91="KATEGORI A",VLOOKUP(J92,'TER 2024'!$B$2:$E$45,4),IF('TENAGA KERJA'!H91="KATEGORI B",VLOOKUP(J92,'TER 2024'!$B$46:$E$85,4),IF('TENAGA KERJA'!H91="KATEGORI C",VLOOKUP(J92,'TER 2024'!$B$86:$E$126,4),0)))</f>
        <v>0</v>
      </c>
      <c r="L92" s="48">
        <f>IF('TENAGA KERJA'!F91="NPWP",'PPH PSL 21 - GROSS (MULAI 2024)'!J92*K92,IF('TENAGA KERJA'!F91="NON-NPWP",'PPH PSL 21 - GROSS (MULAI 2024)'!J92*K92*120%,0))</f>
        <v>0</v>
      </c>
    </row>
    <row r="93" spans="1:12">
      <c r="A93" s="45" t="str">
        <f>IF('TENAGA KERJA'!A92=0,"",'TENAGA KERJA'!A92)</f>
        <v/>
      </c>
      <c r="B93" s="24" t="str">
        <f>IF('TENAGA KERJA'!B92=0,"",'TENAGA KERJA'!B92)</f>
        <v/>
      </c>
      <c r="C93" s="43">
        <f>'TENAGA KERJA'!K92</f>
        <v>0</v>
      </c>
      <c r="D93" s="46">
        <f>'TENAGA KERJA'!L92</f>
        <v>0</v>
      </c>
      <c r="E93" s="46">
        <f>'TENAGA KERJA'!M92</f>
        <v>0</v>
      </c>
      <c r="F93" s="43">
        <f>'TENAGA KERJA'!N92</f>
        <v>0</v>
      </c>
      <c r="G93" s="43">
        <f>'BPJS TK'!D93</f>
        <v>0</v>
      </c>
      <c r="H93" s="43">
        <f>'BPJS TK'!E93</f>
        <v>0</v>
      </c>
      <c r="I93" s="46">
        <f>'BPJS KES'!D93</f>
        <v>0</v>
      </c>
      <c r="J93" s="43">
        <f t="shared" si="3"/>
        <v>0</v>
      </c>
      <c r="K93" s="47">
        <f>IF('TENAGA KERJA'!H92="KATEGORI A",VLOOKUP(J93,'TER 2024'!$B$2:$E$45,4),IF('TENAGA KERJA'!H92="KATEGORI B",VLOOKUP(J93,'TER 2024'!$B$46:$E$85,4),IF('TENAGA KERJA'!H92="KATEGORI C",VLOOKUP(J93,'TER 2024'!$B$86:$E$126,4),0)))</f>
        <v>0</v>
      </c>
      <c r="L93" s="48">
        <f>IF('TENAGA KERJA'!F92="NPWP",'PPH PSL 21 - GROSS (MULAI 2024)'!J93*K93,IF('TENAGA KERJA'!F92="NON-NPWP",'PPH PSL 21 - GROSS (MULAI 2024)'!J93*K93*120%,0))</f>
        <v>0</v>
      </c>
    </row>
    <row r="94" spans="1:12">
      <c r="A94" s="45" t="str">
        <f>IF('TENAGA KERJA'!A93=0,"",'TENAGA KERJA'!A93)</f>
        <v/>
      </c>
      <c r="B94" s="24" t="str">
        <f>IF('TENAGA KERJA'!B93=0,"",'TENAGA KERJA'!B93)</f>
        <v/>
      </c>
      <c r="C94" s="43">
        <f>'TENAGA KERJA'!K93</f>
        <v>0</v>
      </c>
      <c r="D94" s="46">
        <f>'TENAGA KERJA'!L93</f>
        <v>0</v>
      </c>
      <c r="E94" s="46">
        <f>'TENAGA KERJA'!M93</f>
        <v>0</v>
      </c>
      <c r="F94" s="43">
        <f>'TENAGA KERJA'!N93</f>
        <v>0</v>
      </c>
      <c r="G94" s="43">
        <f>'BPJS TK'!D94</f>
        <v>0</v>
      </c>
      <c r="H94" s="43">
        <f>'BPJS TK'!E94</f>
        <v>0</v>
      </c>
      <c r="I94" s="46">
        <f>'BPJS KES'!D94</f>
        <v>0</v>
      </c>
      <c r="J94" s="43">
        <f t="shared" si="3"/>
        <v>0</v>
      </c>
      <c r="K94" s="47">
        <f>IF('TENAGA KERJA'!H93="KATEGORI A",VLOOKUP(J94,'TER 2024'!$B$2:$E$45,4),IF('TENAGA KERJA'!H93="KATEGORI B",VLOOKUP(J94,'TER 2024'!$B$46:$E$85,4),IF('TENAGA KERJA'!H93="KATEGORI C",VLOOKUP(J94,'TER 2024'!$B$86:$E$126,4),0)))</f>
        <v>0</v>
      </c>
      <c r="L94" s="48">
        <f>IF('TENAGA KERJA'!F93="NPWP",'PPH PSL 21 - GROSS (MULAI 2024)'!J94*K94,IF('TENAGA KERJA'!F93="NON-NPWP",'PPH PSL 21 - GROSS (MULAI 2024)'!J94*K94*120%,0))</f>
        <v>0</v>
      </c>
    </row>
    <row r="95" spans="1:12">
      <c r="A95" s="45" t="str">
        <f>IF('TENAGA KERJA'!A94=0,"",'TENAGA KERJA'!A94)</f>
        <v/>
      </c>
      <c r="B95" s="24" t="str">
        <f>IF('TENAGA KERJA'!B94=0,"",'TENAGA KERJA'!B94)</f>
        <v/>
      </c>
      <c r="C95" s="43">
        <f>'TENAGA KERJA'!K94</f>
        <v>0</v>
      </c>
      <c r="D95" s="46">
        <f>'TENAGA KERJA'!L94</f>
        <v>0</v>
      </c>
      <c r="E95" s="46">
        <f>'TENAGA KERJA'!M94</f>
        <v>0</v>
      </c>
      <c r="F95" s="43">
        <f>'TENAGA KERJA'!N94</f>
        <v>0</v>
      </c>
      <c r="G95" s="43">
        <f>'BPJS TK'!D95</f>
        <v>0</v>
      </c>
      <c r="H95" s="43">
        <f>'BPJS TK'!E95</f>
        <v>0</v>
      </c>
      <c r="I95" s="46">
        <f>'BPJS KES'!D95</f>
        <v>0</v>
      </c>
      <c r="J95" s="43">
        <f t="shared" si="3"/>
        <v>0</v>
      </c>
      <c r="K95" s="47">
        <f>IF('TENAGA KERJA'!H94="KATEGORI A",VLOOKUP(J95,'TER 2024'!$B$2:$E$45,4),IF('TENAGA KERJA'!H94="KATEGORI B",VLOOKUP(J95,'TER 2024'!$B$46:$E$85,4),IF('TENAGA KERJA'!H94="KATEGORI C",VLOOKUP(J95,'TER 2024'!$B$86:$E$126,4),0)))</f>
        <v>0</v>
      </c>
      <c r="L95" s="48">
        <f>IF('TENAGA KERJA'!F94="NPWP",'PPH PSL 21 - GROSS (MULAI 2024)'!J95*K95,IF('TENAGA KERJA'!F94="NON-NPWP",'PPH PSL 21 - GROSS (MULAI 2024)'!J95*K95*120%,0))</f>
        <v>0</v>
      </c>
    </row>
    <row r="96" spans="1:12">
      <c r="A96" s="45" t="str">
        <f>IF('TENAGA KERJA'!A95=0,"",'TENAGA KERJA'!A95)</f>
        <v/>
      </c>
      <c r="B96" s="24" t="str">
        <f>IF('TENAGA KERJA'!B95=0,"",'TENAGA KERJA'!B95)</f>
        <v/>
      </c>
      <c r="C96" s="43">
        <f>'TENAGA KERJA'!K95</f>
        <v>0</v>
      </c>
      <c r="D96" s="46">
        <f>'TENAGA KERJA'!L95</f>
        <v>0</v>
      </c>
      <c r="E96" s="46">
        <f>'TENAGA KERJA'!M95</f>
        <v>0</v>
      </c>
      <c r="F96" s="43">
        <f>'TENAGA KERJA'!N95</f>
        <v>0</v>
      </c>
      <c r="G96" s="43">
        <f>'BPJS TK'!D96</f>
        <v>0</v>
      </c>
      <c r="H96" s="43">
        <f>'BPJS TK'!E96</f>
        <v>0</v>
      </c>
      <c r="I96" s="46">
        <f>'BPJS KES'!D96</f>
        <v>0</v>
      </c>
      <c r="J96" s="43">
        <f t="shared" si="3"/>
        <v>0</v>
      </c>
      <c r="K96" s="47">
        <f>IF('TENAGA KERJA'!H95="KATEGORI A",VLOOKUP(J96,'TER 2024'!$B$2:$E$45,4),IF('TENAGA KERJA'!H95="KATEGORI B",VLOOKUP(J96,'TER 2024'!$B$46:$E$85,4),IF('TENAGA KERJA'!H95="KATEGORI C",VLOOKUP(J96,'TER 2024'!$B$86:$E$126,4),0)))</f>
        <v>0</v>
      </c>
      <c r="L96" s="48">
        <f>IF('TENAGA KERJA'!F95="NPWP",'PPH PSL 21 - GROSS (MULAI 2024)'!J96*K96,IF('TENAGA KERJA'!F95="NON-NPWP",'PPH PSL 21 - GROSS (MULAI 2024)'!J96*K96*120%,0))</f>
        <v>0</v>
      </c>
    </row>
    <row r="97" spans="1:14">
      <c r="A97" s="45" t="str">
        <f>IF('TENAGA KERJA'!A96=0,"",'TENAGA KERJA'!A96)</f>
        <v/>
      </c>
      <c r="B97" s="24" t="str">
        <f>IF('TENAGA KERJA'!B96=0,"",'TENAGA KERJA'!B96)</f>
        <v/>
      </c>
      <c r="C97" s="43">
        <f>'TENAGA KERJA'!K96</f>
        <v>0</v>
      </c>
      <c r="D97" s="46">
        <f>'TENAGA KERJA'!L96</f>
        <v>0</v>
      </c>
      <c r="E97" s="46">
        <f>'TENAGA KERJA'!M96</f>
        <v>0</v>
      </c>
      <c r="F97" s="43">
        <f>'TENAGA KERJA'!N96</f>
        <v>0</v>
      </c>
      <c r="G97" s="43">
        <f>'BPJS TK'!D97</f>
        <v>0</v>
      </c>
      <c r="H97" s="43">
        <f>'BPJS TK'!E97</f>
        <v>0</v>
      </c>
      <c r="I97" s="46">
        <f>'BPJS KES'!D97</f>
        <v>0</v>
      </c>
      <c r="J97" s="43">
        <f t="shared" si="3"/>
        <v>0</v>
      </c>
      <c r="K97" s="47">
        <f>IF('TENAGA KERJA'!H96="KATEGORI A",VLOOKUP(J97,'TER 2024'!$B$2:$E$45,4),IF('TENAGA KERJA'!H96="KATEGORI B",VLOOKUP(J97,'TER 2024'!$B$46:$E$85,4),IF('TENAGA KERJA'!H96="KATEGORI C",VLOOKUP(J97,'TER 2024'!$B$86:$E$126,4),0)))</f>
        <v>0</v>
      </c>
      <c r="L97" s="48">
        <f>IF('TENAGA KERJA'!F96="NPWP",'PPH PSL 21 - GROSS (MULAI 2024)'!J97*K97,IF('TENAGA KERJA'!F96="NON-NPWP",'PPH PSL 21 - GROSS (MULAI 2024)'!J97*K97*120%,0))</f>
        <v>0</v>
      </c>
      <c r="M97" s="50"/>
      <c r="N97" s="52"/>
    </row>
    <row r="98" spans="1:14">
      <c r="A98" s="45" t="str">
        <f>IF('TENAGA KERJA'!A97=0,"",'TENAGA KERJA'!A97)</f>
        <v/>
      </c>
      <c r="B98" s="24" t="str">
        <f>IF('TENAGA KERJA'!B97=0,"",'TENAGA KERJA'!B97)</f>
        <v/>
      </c>
      <c r="C98" s="43">
        <f>'TENAGA KERJA'!K97</f>
        <v>0</v>
      </c>
      <c r="D98" s="46">
        <f>'TENAGA KERJA'!L97</f>
        <v>0</v>
      </c>
      <c r="E98" s="46">
        <f>'TENAGA KERJA'!M97</f>
        <v>0</v>
      </c>
      <c r="F98" s="43">
        <f>'TENAGA KERJA'!N97</f>
        <v>0</v>
      </c>
      <c r="G98" s="43">
        <f>'BPJS TK'!D98</f>
        <v>0</v>
      </c>
      <c r="H98" s="43">
        <f>'BPJS TK'!E98</f>
        <v>0</v>
      </c>
      <c r="I98" s="46">
        <f>'BPJS KES'!D98</f>
        <v>0</v>
      </c>
      <c r="J98" s="43">
        <f t="shared" si="3"/>
        <v>0</v>
      </c>
      <c r="K98" s="47">
        <f>IF('TENAGA KERJA'!H97="KATEGORI A",VLOOKUP(J98,'TER 2024'!$B$2:$E$45,4),IF('TENAGA KERJA'!H97="KATEGORI B",VLOOKUP(J98,'TER 2024'!$B$46:$E$85,4),IF('TENAGA KERJA'!H97="KATEGORI C",VLOOKUP(J98,'TER 2024'!$B$86:$E$126,4),0)))</f>
        <v>0</v>
      </c>
      <c r="L98" s="48">
        <f>IF('TENAGA KERJA'!F97="NPWP",'PPH PSL 21 - GROSS (MULAI 2024)'!J98*K98,IF('TENAGA KERJA'!F97="NON-NPWP",'PPH PSL 21 - GROSS (MULAI 2024)'!J98*K98*120%,0))</f>
        <v>0</v>
      </c>
      <c r="M98" s="52">
        <f>SUM(L29:L99)</f>
        <v>0</v>
      </c>
    </row>
    <row r="99" spans="1:14">
      <c r="A99" s="45" t="str">
        <f>IF('TENAGA KERJA'!A98=0,"",'TENAGA KERJA'!A98)</f>
        <v/>
      </c>
      <c r="B99" s="24" t="str">
        <f>IF('TENAGA KERJA'!B98=0,"",'TENAGA KERJA'!B98)</f>
        <v/>
      </c>
      <c r="C99" s="43">
        <f>'TENAGA KERJA'!K98</f>
        <v>0</v>
      </c>
      <c r="D99" s="46">
        <f>'TENAGA KERJA'!L98</f>
        <v>0</v>
      </c>
      <c r="E99" s="46">
        <f>'TENAGA KERJA'!M98</f>
        <v>0</v>
      </c>
      <c r="F99" s="43">
        <f>'TENAGA KERJA'!N98</f>
        <v>0</v>
      </c>
      <c r="G99" s="43">
        <f>'BPJS TK'!D99</f>
        <v>16832.899300000001</v>
      </c>
      <c r="H99" s="43">
        <f>'BPJS TK'!E99</f>
        <v>5674.0110000000004</v>
      </c>
      <c r="I99" s="46">
        <f>'BPJS KES'!D99</f>
        <v>175653.48</v>
      </c>
      <c r="J99" s="43">
        <f t="shared" si="3"/>
        <v>198160.39030000003</v>
      </c>
      <c r="K99" s="47">
        <f>IF('TENAGA KERJA'!H98="KATEGORI A",VLOOKUP(J99,'TER 2024'!$B$2:$E$45,4),IF('TENAGA KERJA'!H98="KATEGORI B",VLOOKUP(J99,'TER 2024'!$B$46:$E$85,4),IF('TENAGA KERJA'!H98="KATEGORI C",VLOOKUP(J99,'TER 2024'!$B$86:$E$126,4),0)))</f>
        <v>0</v>
      </c>
      <c r="L99" s="48">
        <f>IF('TENAGA KERJA'!F98="NPWP",'PPH PSL 21 - GROSS (MULAI 2024)'!J99*K99,IF('TENAGA KERJA'!F98="NON-NPWP",'PPH PSL 21 - GROSS (MULAI 2024)'!J99*K99*120%,0))</f>
        <v>0</v>
      </c>
      <c r="M99" s="50">
        <v>3552338.2713972162</v>
      </c>
    </row>
    <row r="100" spans="1:14">
      <c r="A100" s="45" t="str">
        <f>IF('TENAGA KERJA'!A99=0,"",'TENAGA KERJA'!A99)</f>
        <v/>
      </c>
      <c r="B100" s="24" t="str">
        <f>IF('TENAGA KERJA'!B99=0,"",'TENAGA KERJA'!B99)</f>
        <v/>
      </c>
      <c r="C100" s="43">
        <f>'TENAGA KERJA'!K99</f>
        <v>0</v>
      </c>
      <c r="D100" s="46">
        <f>'TENAGA KERJA'!L99</f>
        <v>0</v>
      </c>
      <c r="E100" s="46">
        <f>'TENAGA KERJA'!M99</f>
        <v>0</v>
      </c>
      <c r="F100" s="43">
        <f>'TENAGA KERJA'!N99</f>
        <v>0</v>
      </c>
      <c r="G100" s="43">
        <f>'BPJS TK'!D100</f>
        <v>0</v>
      </c>
      <c r="H100" s="43">
        <f>'BPJS TK'!E100</f>
        <v>0</v>
      </c>
      <c r="I100" s="46">
        <f>'BPJS KES'!D100</f>
        <v>0</v>
      </c>
      <c r="J100" s="43">
        <f t="shared" si="3"/>
        <v>0</v>
      </c>
      <c r="K100" s="47">
        <f>IF('TENAGA KERJA'!H99="KATEGORI A",VLOOKUP(J100,'TER 2024'!$B$2:$E$45,4),IF('TENAGA KERJA'!H99="KATEGORI B",VLOOKUP(J100,'TER 2024'!$B$46:$E$85,4),IF('TENAGA KERJA'!H99="KATEGORI C",VLOOKUP(J100,'TER 2024'!$B$86:$E$126,4),0)))</f>
        <v>0</v>
      </c>
      <c r="L100" s="48">
        <f>IF('TENAGA KERJA'!F99="NPWP",'PPH PSL 21 - GROSS (MULAI 2024)'!J100*K100,IF('TENAGA KERJA'!F99="NON-NPWP",'PPH PSL 21 - GROSS (MULAI 2024)'!J100*K100*120%,0))</f>
        <v>0</v>
      </c>
    </row>
    <row r="101" spans="1:14">
      <c r="A101" s="45" t="str">
        <f>IF('TENAGA KERJA'!A100=0,"",'TENAGA KERJA'!A100)</f>
        <v/>
      </c>
      <c r="B101" s="24" t="str">
        <f>IF('TENAGA KERJA'!B100=0,"",'TENAGA KERJA'!B100)</f>
        <v/>
      </c>
      <c r="C101" s="43">
        <f>'TENAGA KERJA'!K100</f>
        <v>0</v>
      </c>
      <c r="D101" s="46">
        <f>'TENAGA KERJA'!L100</f>
        <v>0</v>
      </c>
      <c r="E101" s="46">
        <f>'TENAGA KERJA'!M100</f>
        <v>0</v>
      </c>
      <c r="F101" s="43">
        <f>'TENAGA KERJA'!N100</f>
        <v>0</v>
      </c>
      <c r="G101" s="43">
        <f>'BPJS TK'!D101</f>
        <v>0</v>
      </c>
      <c r="H101" s="43">
        <f>'BPJS TK'!E101</f>
        <v>0</v>
      </c>
      <c r="I101" s="46">
        <f>'BPJS KES'!D101</f>
        <v>0</v>
      </c>
      <c r="J101" s="43">
        <f t="shared" si="3"/>
        <v>0</v>
      </c>
      <c r="K101" s="47">
        <f>IF('TENAGA KERJA'!H100="KATEGORI A",VLOOKUP(J101,'TER 2024'!$B$2:$E$45,4),IF('TENAGA KERJA'!H100="KATEGORI B",VLOOKUP(J101,'TER 2024'!$B$46:$E$85,4),IF('TENAGA KERJA'!H100="KATEGORI C",VLOOKUP(J101,'TER 2024'!$B$86:$E$126,4),0)))</f>
        <v>0</v>
      </c>
      <c r="L101" s="48">
        <f>IF('TENAGA KERJA'!F100="NPWP",'PPH PSL 21 - GROSS (MULAI 2024)'!J101*K101,IF('TENAGA KERJA'!F100="NON-NPWP",'PPH PSL 21 - GROSS (MULAI 2024)'!J101*K101*120%,0))</f>
        <v>0</v>
      </c>
    </row>
    <row r="102" spans="1:14">
      <c r="A102" s="45" t="str">
        <f>IF('TENAGA KERJA'!A101=0,"",'TENAGA KERJA'!A101)</f>
        <v/>
      </c>
      <c r="B102" s="24" t="str">
        <f>IF('TENAGA KERJA'!B101=0,"",'TENAGA KERJA'!B101)</f>
        <v/>
      </c>
      <c r="C102" s="43">
        <f>'TENAGA KERJA'!K101</f>
        <v>0</v>
      </c>
      <c r="D102" s="46">
        <f>'TENAGA KERJA'!L101</f>
        <v>0</v>
      </c>
      <c r="E102" s="46">
        <f>'TENAGA KERJA'!M101</f>
        <v>0</v>
      </c>
      <c r="F102" s="43">
        <f>'TENAGA KERJA'!N101</f>
        <v>0</v>
      </c>
      <c r="G102" s="43">
        <f>'BPJS TK'!D102</f>
        <v>0</v>
      </c>
      <c r="H102" s="43">
        <f>'BPJS TK'!E102</f>
        <v>0</v>
      </c>
      <c r="I102" s="46">
        <f>'BPJS KES'!D102</f>
        <v>0</v>
      </c>
      <c r="J102" s="43">
        <f t="shared" si="3"/>
        <v>0</v>
      </c>
      <c r="K102" s="47">
        <f>IF('TENAGA KERJA'!H101="KATEGORI A",VLOOKUP(J102,'TER 2024'!$B$2:$E$45,4),IF('TENAGA KERJA'!H101="KATEGORI B",VLOOKUP(J102,'TER 2024'!$B$46:$E$85,4),IF('TENAGA KERJA'!H101="KATEGORI C",VLOOKUP(J102,'TER 2024'!$B$86:$E$126,4),0)))</f>
        <v>0</v>
      </c>
      <c r="L102" s="48">
        <f>IF('TENAGA KERJA'!F101="NPWP",'PPH PSL 21 - GROSS (MULAI 2024)'!J102*K102,IF('TENAGA KERJA'!F101="NON-NPWP",'PPH PSL 21 - GROSS (MULAI 2024)'!J102*K102*120%,0))</f>
        <v>0</v>
      </c>
    </row>
    <row r="103" spans="1:14">
      <c r="A103" s="45" t="str">
        <f>IF('TENAGA KERJA'!A102=0,"",'TENAGA KERJA'!A102)</f>
        <v/>
      </c>
      <c r="B103" s="24" t="str">
        <f>IF('TENAGA KERJA'!B102=0,"",'TENAGA KERJA'!B102)</f>
        <v/>
      </c>
      <c r="C103" s="43">
        <f>'TENAGA KERJA'!K102</f>
        <v>0</v>
      </c>
      <c r="D103" s="46">
        <f>'TENAGA KERJA'!L102</f>
        <v>0</v>
      </c>
      <c r="E103" s="46">
        <f>'TENAGA KERJA'!M102</f>
        <v>0</v>
      </c>
      <c r="F103" s="43">
        <f>'TENAGA KERJA'!N102</f>
        <v>0</v>
      </c>
      <c r="G103" s="43">
        <f>'BPJS TK'!D103</f>
        <v>0</v>
      </c>
      <c r="H103" s="43">
        <f>'BPJS TK'!E103</f>
        <v>0</v>
      </c>
      <c r="I103" s="46">
        <f>'BPJS KES'!D103</f>
        <v>0</v>
      </c>
      <c r="J103" s="43">
        <f t="shared" si="3"/>
        <v>0</v>
      </c>
      <c r="K103" s="47">
        <f>IF('TENAGA KERJA'!H102="KATEGORI A",VLOOKUP(J103,'TER 2024'!$B$2:$E$45,4),IF('TENAGA KERJA'!H102="KATEGORI B",VLOOKUP(J103,'TER 2024'!$B$46:$E$85,4),IF('TENAGA KERJA'!H102="KATEGORI C",VLOOKUP(J103,'TER 2024'!$B$86:$E$126,4),0)))</f>
        <v>0</v>
      </c>
      <c r="L103" s="48">
        <f>IF('TENAGA KERJA'!F102="NPWP",'PPH PSL 21 - GROSS (MULAI 2024)'!J103*K103,IF('TENAGA KERJA'!F102="NON-NPWP",'PPH PSL 21 - GROSS (MULAI 2024)'!J103*K103*120%,0))</f>
        <v>0</v>
      </c>
    </row>
    <row r="104" spans="1:14">
      <c r="A104" s="45" t="str">
        <f>IF('TENAGA KERJA'!A103=0,"",'TENAGA KERJA'!A103)</f>
        <v/>
      </c>
      <c r="B104" s="24" t="str">
        <f>IF('TENAGA KERJA'!B103=0,"",'TENAGA KERJA'!B103)</f>
        <v/>
      </c>
      <c r="C104" s="43">
        <f>'TENAGA KERJA'!K103</f>
        <v>0</v>
      </c>
      <c r="D104" s="46">
        <f>'TENAGA KERJA'!L103</f>
        <v>0</v>
      </c>
      <c r="E104" s="46">
        <f>'TENAGA KERJA'!M103</f>
        <v>0</v>
      </c>
      <c r="F104" s="43">
        <f>'TENAGA KERJA'!N103</f>
        <v>0</v>
      </c>
      <c r="G104" s="43">
        <f>'BPJS TK'!D104</f>
        <v>0</v>
      </c>
      <c r="H104" s="43">
        <f>'BPJS TK'!E104</f>
        <v>0</v>
      </c>
      <c r="I104" s="46">
        <f>'BPJS KES'!D104</f>
        <v>0</v>
      </c>
      <c r="J104" s="43">
        <f t="shared" si="3"/>
        <v>0</v>
      </c>
      <c r="K104" s="47">
        <f>IF('TENAGA KERJA'!H103="KATEGORI A",VLOOKUP(J104,'TER 2024'!$B$2:$E$45,4),IF('TENAGA KERJA'!H103="KATEGORI B",VLOOKUP(J104,'TER 2024'!$B$46:$E$85,4),IF('TENAGA KERJA'!H103="KATEGORI C",VLOOKUP(J104,'TER 2024'!$B$86:$E$126,4),0)))</f>
        <v>0</v>
      </c>
      <c r="L104" s="48">
        <f>IF('TENAGA KERJA'!F103="NPWP",'PPH PSL 21 - GROSS (MULAI 2024)'!J104*K104,IF('TENAGA KERJA'!F103="NON-NPWP",'PPH PSL 21 - GROSS (MULAI 2024)'!J104*K104*120%,0))</f>
        <v>0</v>
      </c>
    </row>
    <row r="105" spans="1:14">
      <c r="A105" s="45" t="str">
        <f>IF('TENAGA KERJA'!A104=0,"",'TENAGA KERJA'!A104)</f>
        <v/>
      </c>
      <c r="B105" s="24" t="str">
        <f>IF('TENAGA KERJA'!B104=0,"",'TENAGA KERJA'!B104)</f>
        <v/>
      </c>
      <c r="C105" s="43">
        <f>'TENAGA KERJA'!K104</f>
        <v>0</v>
      </c>
      <c r="D105" s="46">
        <f>'TENAGA KERJA'!L104</f>
        <v>0</v>
      </c>
      <c r="E105" s="46">
        <f>'TENAGA KERJA'!M104</f>
        <v>0</v>
      </c>
      <c r="F105" s="43">
        <f>'TENAGA KERJA'!N104</f>
        <v>0</v>
      </c>
      <c r="G105" s="43">
        <f>'BPJS TK'!D105</f>
        <v>0</v>
      </c>
      <c r="H105" s="43">
        <f>'BPJS TK'!E105</f>
        <v>0</v>
      </c>
      <c r="I105" s="46">
        <f>'BPJS KES'!D105</f>
        <v>0</v>
      </c>
      <c r="J105" s="43">
        <f t="shared" si="3"/>
        <v>0</v>
      </c>
      <c r="K105" s="47">
        <f>IF('TENAGA KERJA'!H104="KATEGORI A",VLOOKUP(J105,'TER 2024'!$B$2:$E$45,4),IF('TENAGA KERJA'!H104="KATEGORI B",VLOOKUP(J105,'TER 2024'!$B$46:$E$85,4),IF('TENAGA KERJA'!H104="KATEGORI C",VLOOKUP(J105,'TER 2024'!$B$86:$E$126,4),0)))</f>
        <v>0</v>
      </c>
      <c r="L105" s="48">
        <f>IF('TENAGA KERJA'!F104="NPWP",'PPH PSL 21 - GROSS (MULAI 2024)'!J105*K105,IF('TENAGA KERJA'!F104="NON-NPWP",'PPH PSL 21 - GROSS (MULAI 2024)'!J105*K105*120%,0))</f>
        <v>0</v>
      </c>
    </row>
    <row r="106" spans="1:14">
      <c r="A106" s="45" t="str">
        <f>IF('TENAGA KERJA'!A105=0,"",'TENAGA KERJA'!A105)</f>
        <v/>
      </c>
      <c r="B106" s="24" t="str">
        <f>IF('TENAGA KERJA'!B105=0,"",'TENAGA KERJA'!B105)</f>
        <v/>
      </c>
      <c r="C106" s="43">
        <f>'TENAGA KERJA'!K105</f>
        <v>0</v>
      </c>
      <c r="D106" s="46">
        <f>'TENAGA KERJA'!L105</f>
        <v>0</v>
      </c>
      <c r="E106" s="46">
        <f>'TENAGA KERJA'!M105</f>
        <v>0</v>
      </c>
      <c r="F106" s="43">
        <f>'TENAGA KERJA'!N105</f>
        <v>0</v>
      </c>
      <c r="G106" s="43">
        <f>'BPJS TK'!D106</f>
        <v>0</v>
      </c>
      <c r="H106" s="43">
        <f>'BPJS TK'!E106</f>
        <v>0</v>
      </c>
      <c r="I106" s="46">
        <f>'BPJS KES'!D106</f>
        <v>0</v>
      </c>
      <c r="J106" s="43">
        <f t="shared" si="3"/>
        <v>0</v>
      </c>
      <c r="K106" s="47">
        <f>IF('TENAGA KERJA'!H105="KATEGORI A",VLOOKUP(J106,'TER 2024'!$B$2:$E$45,4),IF('TENAGA KERJA'!H105="KATEGORI B",VLOOKUP(J106,'TER 2024'!$B$46:$E$85,4),IF('TENAGA KERJA'!H105="KATEGORI C",VLOOKUP(J106,'TER 2024'!$B$86:$E$126,4),0)))</f>
        <v>0</v>
      </c>
      <c r="L106" s="48">
        <f>IF('TENAGA KERJA'!F105="NPWP",'PPH PSL 21 - GROSS (MULAI 2024)'!J106*K106,IF('TENAGA KERJA'!F105="NON-NPWP",'PPH PSL 21 - GROSS (MULAI 2024)'!J106*K106*120%,0))</f>
        <v>0</v>
      </c>
    </row>
    <row r="107" spans="1:14">
      <c r="A107" s="45" t="str">
        <f>IF('TENAGA KERJA'!A106=0,"",'TENAGA KERJA'!A106)</f>
        <v/>
      </c>
      <c r="B107" s="24" t="str">
        <f>IF('TENAGA KERJA'!B106=0,"",'TENAGA KERJA'!B106)</f>
        <v/>
      </c>
      <c r="C107" s="43">
        <f>'TENAGA KERJA'!K106</f>
        <v>0</v>
      </c>
      <c r="D107" s="46">
        <f>'TENAGA KERJA'!L106</f>
        <v>0</v>
      </c>
      <c r="E107" s="46">
        <f>'TENAGA KERJA'!M106</f>
        <v>0</v>
      </c>
      <c r="F107" s="43">
        <f>'TENAGA KERJA'!N106</f>
        <v>0</v>
      </c>
      <c r="G107" s="43">
        <f>'BPJS TK'!D107</f>
        <v>0</v>
      </c>
      <c r="H107" s="43">
        <f>'BPJS TK'!E107</f>
        <v>0</v>
      </c>
      <c r="I107" s="46">
        <f>'BPJS KES'!D107</f>
        <v>0</v>
      </c>
      <c r="J107" s="43">
        <f t="shared" si="3"/>
        <v>0</v>
      </c>
      <c r="K107" s="47">
        <f>IF('TENAGA KERJA'!H106="KATEGORI A",VLOOKUP(J107,'TER 2024'!$B$2:$E$45,4),IF('TENAGA KERJA'!H106="KATEGORI B",VLOOKUP(J107,'TER 2024'!$B$46:$E$85,4),IF('TENAGA KERJA'!H106="KATEGORI C",VLOOKUP(J107,'TER 2024'!$B$86:$E$126,4),0)))</f>
        <v>0</v>
      </c>
      <c r="L107" s="48">
        <f>IF('TENAGA KERJA'!F106="NPWP",'PPH PSL 21 - GROSS (MULAI 2024)'!J107*K107,IF('TENAGA KERJA'!F106="NON-NPWP",'PPH PSL 21 - GROSS (MULAI 2024)'!J107*K107*120%,0))</f>
        <v>0</v>
      </c>
    </row>
    <row r="108" spans="1:14">
      <c r="A108" s="45" t="str">
        <f>IF('TENAGA KERJA'!A107=0,"",'TENAGA KERJA'!A107)</f>
        <v/>
      </c>
      <c r="B108" s="24" t="str">
        <f>IF('TENAGA KERJA'!B107=0,"",'TENAGA KERJA'!B107)</f>
        <v/>
      </c>
      <c r="C108" s="43">
        <f>'TENAGA KERJA'!K107</f>
        <v>0</v>
      </c>
      <c r="D108" s="46">
        <f>'TENAGA KERJA'!L107</f>
        <v>0</v>
      </c>
      <c r="E108" s="46">
        <f>'TENAGA KERJA'!M107</f>
        <v>0</v>
      </c>
      <c r="F108" s="43">
        <f>'TENAGA KERJA'!N107</f>
        <v>0</v>
      </c>
      <c r="G108" s="43">
        <f>'BPJS TK'!D108</f>
        <v>0</v>
      </c>
      <c r="H108" s="43">
        <f>'BPJS TK'!E108</f>
        <v>0</v>
      </c>
      <c r="I108" s="46">
        <f>'BPJS KES'!D108</f>
        <v>0</v>
      </c>
      <c r="J108" s="43">
        <f t="shared" si="3"/>
        <v>0</v>
      </c>
      <c r="K108" s="47">
        <f>IF('TENAGA KERJA'!H107="KATEGORI A",VLOOKUP(J108,'TER 2024'!$B$2:$E$45,4),IF('TENAGA KERJA'!H107="KATEGORI B",VLOOKUP(J108,'TER 2024'!$B$46:$E$85,4),IF('TENAGA KERJA'!H107="KATEGORI C",VLOOKUP(J108,'TER 2024'!$B$86:$E$126,4),0)))</f>
        <v>0</v>
      </c>
      <c r="L108" s="48">
        <f>IF('TENAGA KERJA'!F107="NPWP",'PPH PSL 21 - GROSS (MULAI 2024)'!J108*K108,IF('TENAGA KERJA'!F107="NON-NPWP",'PPH PSL 21 - GROSS (MULAI 2024)'!J108*K108*120%,0))</f>
        <v>0</v>
      </c>
    </row>
    <row r="109" spans="1:14">
      <c r="A109" s="45" t="str">
        <f>IF('TENAGA KERJA'!A108=0,"",'TENAGA KERJA'!A108)</f>
        <v/>
      </c>
      <c r="B109" s="24" t="str">
        <f>IF('TENAGA KERJA'!B108=0,"",'TENAGA KERJA'!B108)</f>
        <v/>
      </c>
      <c r="C109" s="43">
        <f>'TENAGA KERJA'!K108</f>
        <v>0</v>
      </c>
      <c r="D109" s="46">
        <f>'TENAGA KERJA'!L108</f>
        <v>0</v>
      </c>
      <c r="E109" s="46">
        <f>'TENAGA KERJA'!M108</f>
        <v>0</v>
      </c>
      <c r="F109" s="43">
        <f>'TENAGA KERJA'!N108</f>
        <v>0</v>
      </c>
      <c r="G109" s="43">
        <f>'BPJS TK'!D109</f>
        <v>0</v>
      </c>
      <c r="H109" s="43">
        <f>'BPJS TK'!E109</f>
        <v>0</v>
      </c>
      <c r="I109" s="46">
        <f>'BPJS KES'!D109</f>
        <v>0</v>
      </c>
      <c r="J109" s="43">
        <f t="shared" si="3"/>
        <v>0</v>
      </c>
      <c r="K109" s="47">
        <f>IF('TENAGA KERJA'!H108="KATEGORI A",VLOOKUP(J109,'TER 2024'!$B$2:$E$45,4),IF('TENAGA KERJA'!H108="KATEGORI B",VLOOKUP(J109,'TER 2024'!$B$46:$E$85,4),IF('TENAGA KERJA'!H108="KATEGORI C",VLOOKUP(J109,'TER 2024'!$B$86:$E$126,4),0)))</f>
        <v>0</v>
      </c>
      <c r="L109" s="48">
        <f>IF('TENAGA KERJA'!F108="NPWP",'PPH PSL 21 - GROSS (MULAI 2024)'!J109*K109,IF('TENAGA KERJA'!F108="NON-NPWP",'PPH PSL 21 - GROSS (MULAI 2024)'!J109*K109*120%,0))</f>
        <v>0</v>
      </c>
    </row>
    <row r="110" spans="1:14">
      <c r="A110" s="45" t="str">
        <f>IF('TENAGA KERJA'!A109=0,"",'TENAGA KERJA'!A109)</f>
        <v/>
      </c>
      <c r="B110" s="24" t="str">
        <f>IF('TENAGA KERJA'!B109=0,"",'TENAGA KERJA'!B109)</f>
        <v/>
      </c>
      <c r="C110" s="43">
        <f>'TENAGA KERJA'!K109</f>
        <v>0</v>
      </c>
      <c r="D110" s="46">
        <f>'TENAGA KERJA'!L109</f>
        <v>0</v>
      </c>
      <c r="E110" s="46">
        <f>'TENAGA KERJA'!M109</f>
        <v>0</v>
      </c>
      <c r="F110" s="43">
        <f>'TENAGA KERJA'!N109</f>
        <v>0</v>
      </c>
      <c r="G110" s="43">
        <f>'BPJS TK'!D110</f>
        <v>0</v>
      </c>
      <c r="H110" s="43">
        <f>'BPJS TK'!E110</f>
        <v>0</v>
      </c>
      <c r="I110" s="46">
        <f>'BPJS KES'!D110</f>
        <v>0</v>
      </c>
      <c r="J110" s="43">
        <f t="shared" si="3"/>
        <v>0</v>
      </c>
      <c r="K110" s="47">
        <f>IF('TENAGA KERJA'!H109="KATEGORI A",VLOOKUP(J110,'TER 2024'!$B$2:$E$45,4),IF('TENAGA KERJA'!H109="KATEGORI B",VLOOKUP(J110,'TER 2024'!$B$46:$E$85,4),IF('TENAGA KERJA'!H109="KATEGORI C",VLOOKUP(J110,'TER 2024'!$B$86:$E$126,4),0)))</f>
        <v>0</v>
      </c>
      <c r="L110" s="48">
        <f>IF('TENAGA KERJA'!F109="NPWP",'PPH PSL 21 - GROSS (MULAI 2024)'!J110*K110,IF('TENAGA KERJA'!F109="NON-NPWP",'PPH PSL 21 - GROSS (MULAI 2024)'!J110*K110*120%,0))</f>
        <v>0</v>
      </c>
    </row>
    <row r="111" spans="1:14">
      <c r="A111" s="45" t="str">
        <f>IF('TENAGA KERJA'!A110=0,"",'TENAGA KERJA'!A110)</f>
        <v/>
      </c>
      <c r="B111" s="24" t="str">
        <f>IF('TENAGA KERJA'!B110=0,"",'TENAGA KERJA'!B110)</f>
        <v/>
      </c>
      <c r="C111" s="43">
        <f>'TENAGA KERJA'!K110</f>
        <v>0</v>
      </c>
      <c r="D111" s="46">
        <f>'TENAGA KERJA'!L110</f>
        <v>0</v>
      </c>
      <c r="E111" s="46">
        <f>'TENAGA KERJA'!M110</f>
        <v>0</v>
      </c>
      <c r="F111" s="43">
        <f>'TENAGA KERJA'!N110</f>
        <v>0</v>
      </c>
      <c r="G111" s="43">
        <f>'BPJS TK'!D111</f>
        <v>0</v>
      </c>
      <c r="H111" s="43">
        <f>'BPJS TK'!E111</f>
        <v>0</v>
      </c>
      <c r="I111" s="46">
        <f>'BPJS KES'!D111</f>
        <v>0</v>
      </c>
      <c r="J111" s="43">
        <f t="shared" si="3"/>
        <v>0</v>
      </c>
      <c r="K111" s="47">
        <f>IF('TENAGA KERJA'!H110="KATEGORI A",VLOOKUP(J111,'TER 2024'!$B$2:$E$45,4),IF('TENAGA KERJA'!H110="KATEGORI B",VLOOKUP(J111,'TER 2024'!$B$46:$E$85,4),IF('TENAGA KERJA'!H110="KATEGORI C",VLOOKUP(J111,'TER 2024'!$B$86:$E$126,4),0)))</f>
        <v>0</v>
      </c>
      <c r="L111" s="48">
        <f>IF('TENAGA KERJA'!F110="NPWP",'PPH PSL 21 - GROSS (MULAI 2024)'!J111*K111,IF('TENAGA KERJA'!F110="NON-NPWP",'PPH PSL 21 - GROSS (MULAI 2024)'!J111*K111*120%,0))</f>
        <v>0</v>
      </c>
    </row>
    <row r="112" spans="1:14">
      <c r="A112" s="45" t="str">
        <f>IF('TENAGA KERJA'!A111=0,"",'TENAGA KERJA'!A111)</f>
        <v/>
      </c>
      <c r="B112" s="24" t="str">
        <f>IF('TENAGA KERJA'!B111=0,"",'TENAGA KERJA'!B111)</f>
        <v/>
      </c>
      <c r="C112" s="43">
        <f>'TENAGA KERJA'!K111</f>
        <v>0</v>
      </c>
      <c r="D112" s="46">
        <f>'TENAGA KERJA'!L111</f>
        <v>0</v>
      </c>
      <c r="E112" s="46">
        <f>'TENAGA KERJA'!M111</f>
        <v>0</v>
      </c>
      <c r="F112" s="43">
        <f>'TENAGA KERJA'!N111</f>
        <v>0</v>
      </c>
      <c r="G112" s="43">
        <f>'BPJS TK'!D112</f>
        <v>0</v>
      </c>
      <c r="H112" s="43">
        <f>'BPJS TK'!E112</f>
        <v>0</v>
      </c>
      <c r="I112" s="46">
        <f>'BPJS KES'!D112</f>
        <v>0</v>
      </c>
      <c r="J112" s="43">
        <f t="shared" si="3"/>
        <v>0</v>
      </c>
      <c r="K112" s="47">
        <f>IF('TENAGA KERJA'!H111="KATEGORI A",VLOOKUP(J112,'TER 2024'!$B$2:$E$45,4),IF('TENAGA KERJA'!H111="KATEGORI B",VLOOKUP(J112,'TER 2024'!$B$46:$E$85,4),IF('TENAGA KERJA'!H111="KATEGORI C",VLOOKUP(J112,'TER 2024'!$B$86:$E$126,4),0)))</f>
        <v>0</v>
      </c>
      <c r="L112" s="48">
        <f>IF('TENAGA KERJA'!F111="NPWP",'PPH PSL 21 - GROSS (MULAI 2024)'!J112*K112,IF('TENAGA KERJA'!F111="NON-NPWP",'PPH PSL 21 - GROSS (MULAI 2024)'!J112*K112*120%,0))</f>
        <v>0</v>
      </c>
    </row>
    <row r="113" spans="1:12">
      <c r="A113" s="45" t="str">
        <f>IF('TENAGA KERJA'!A112=0,"",'TENAGA KERJA'!A112)</f>
        <v/>
      </c>
      <c r="B113" s="24" t="str">
        <f>IF('TENAGA KERJA'!B112=0,"",'TENAGA KERJA'!B112)</f>
        <v/>
      </c>
      <c r="C113" s="43">
        <f>'TENAGA KERJA'!K112</f>
        <v>0</v>
      </c>
      <c r="D113" s="46">
        <f>'TENAGA KERJA'!L112</f>
        <v>0</v>
      </c>
      <c r="E113" s="46">
        <f>'TENAGA KERJA'!M112</f>
        <v>0</v>
      </c>
      <c r="F113" s="43">
        <f>'TENAGA KERJA'!N112</f>
        <v>0</v>
      </c>
      <c r="G113" s="43">
        <f>'BPJS TK'!D113</f>
        <v>0</v>
      </c>
      <c r="H113" s="43">
        <f>'BPJS TK'!E113</f>
        <v>0</v>
      </c>
      <c r="I113" s="46">
        <f>'BPJS KES'!D113</f>
        <v>0</v>
      </c>
      <c r="J113" s="43">
        <f t="shared" si="3"/>
        <v>0</v>
      </c>
      <c r="K113" s="47">
        <f>IF('TENAGA KERJA'!H112="KATEGORI A",VLOOKUP(J113,'TER 2024'!$B$2:$E$45,4),IF('TENAGA KERJA'!H112="KATEGORI B",VLOOKUP(J113,'TER 2024'!$B$46:$E$85,4),IF('TENAGA KERJA'!H112="KATEGORI C",VLOOKUP(J113,'TER 2024'!$B$86:$E$126,4),0)))</f>
        <v>0</v>
      </c>
      <c r="L113" s="48">
        <f>IF('TENAGA KERJA'!F112="NPWP",'PPH PSL 21 - GROSS (MULAI 2024)'!J113*K113,IF('TENAGA KERJA'!F112="NON-NPWP",'PPH PSL 21 - GROSS (MULAI 2024)'!J113*K113*120%,0))</f>
        <v>0</v>
      </c>
    </row>
    <row r="114" spans="1:12">
      <c r="A114" s="45" t="str">
        <f>IF('TENAGA KERJA'!A113=0,"",'TENAGA KERJA'!A113)</f>
        <v/>
      </c>
      <c r="B114" s="24" t="str">
        <f>IF('TENAGA KERJA'!B113=0,"",'TENAGA KERJA'!B113)</f>
        <v/>
      </c>
      <c r="C114" s="43">
        <f>'TENAGA KERJA'!K113</f>
        <v>0</v>
      </c>
      <c r="D114" s="46">
        <f>'TENAGA KERJA'!L113</f>
        <v>0</v>
      </c>
      <c r="E114" s="46">
        <f>'TENAGA KERJA'!M113</f>
        <v>0</v>
      </c>
      <c r="F114" s="43">
        <f>'TENAGA KERJA'!N113</f>
        <v>0</v>
      </c>
      <c r="G114" s="43">
        <f>'BPJS TK'!D114</f>
        <v>0</v>
      </c>
      <c r="H114" s="43">
        <f>'BPJS TK'!E114</f>
        <v>0</v>
      </c>
      <c r="I114" s="46">
        <f>'BPJS KES'!D114</f>
        <v>0</v>
      </c>
      <c r="J114" s="43">
        <f t="shared" si="3"/>
        <v>0</v>
      </c>
      <c r="K114" s="47">
        <f>IF('TENAGA KERJA'!H113="KATEGORI A",VLOOKUP(J114,'TER 2024'!$B$2:$E$45,4),IF('TENAGA KERJA'!H113="KATEGORI B",VLOOKUP(J114,'TER 2024'!$B$46:$E$85,4),IF('TENAGA KERJA'!H113="KATEGORI C",VLOOKUP(J114,'TER 2024'!$B$86:$E$126,4),0)))</f>
        <v>0</v>
      </c>
      <c r="L114" s="48">
        <f>IF('TENAGA KERJA'!F113="NPWP",'PPH PSL 21 - GROSS (MULAI 2024)'!J114*K114,IF('TENAGA KERJA'!F113="NON-NPWP",'PPH PSL 21 - GROSS (MULAI 2024)'!J114*K114*120%,0))</f>
        <v>0</v>
      </c>
    </row>
    <row r="115" spans="1:12">
      <c r="A115" s="45" t="str">
        <f>IF('TENAGA KERJA'!A114=0,"",'TENAGA KERJA'!A114)</f>
        <v/>
      </c>
      <c r="B115" s="24" t="str">
        <f>IF('TENAGA KERJA'!B114=0,"",'TENAGA KERJA'!B114)</f>
        <v/>
      </c>
      <c r="C115" s="43">
        <f>'TENAGA KERJA'!K114</f>
        <v>0</v>
      </c>
      <c r="D115" s="46">
        <f>'TENAGA KERJA'!L114</f>
        <v>0</v>
      </c>
      <c r="E115" s="46">
        <f>'TENAGA KERJA'!M114</f>
        <v>0</v>
      </c>
      <c r="F115" s="43">
        <f>'TENAGA KERJA'!N114</f>
        <v>0</v>
      </c>
      <c r="G115" s="43">
        <f>'BPJS TK'!D115</f>
        <v>0</v>
      </c>
      <c r="H115" s="43">
        <f>'BPJS TK'!E115</f>
        <v>0</v>
      </c>
      <c r="I115" s="46">
        <f>'BPJS KES'!D115</f>
        <v>0</v>
      </c>
      <c r="J115" s="43">
        <f t="shared" si="3"/>
        <v>0</v>
      </c>
      <c r="K115" s="47">
        <f>IF('TENAGA KERJA'!H114="KATEGORI A",VLOOKUP(J115,'TER 2024'!$B$2:$E$45,4),IF('TENAGA KERJA'!H114="KATEGORI B",VLOOKUP(J115,'TER 2024'!$B$46:$E$85,4),IF('TENAGA KERJA'!H114="KATEGORI C",VLOOKUP(J115,'TER 2024'!$B$86:$E$126,4),0)))</f>
        <v>0</v>
      </c>
      <c r="L115" s="48">
        <f>IF('TENAGA KERJA'!F114="NPWP",'PPH PSL 21 - GROSS (MULAI 2024)'!J115*K115,IF('TENAGA KERJA'!F114="NON-NPWP",'PPH PSL 21 - GROSS (MULAI 2024)'!J115*K115*120%,0))</f>
        <v>0</v>
      </c>
    </row>
    <row r="116" spans="1:12">
      <c r="A116" s="45" t="str">
        <f>IF('TENAGA KERJA'!A115=0,"",'TENAGA KERJA'!A115)</f>
        <v/>
      </c>
      <c r="B116" s="24" t="str">
        <f>IF('TENAGA KERJA'!B115=0,"",'TENAGA KERJA'!B115)</f>
        <v/>
      </c>
      <c r="C116" s="43">
        <f>'TENAGA KERJA'!K115</f>
        <v>0</v>
      </c>
      <c r="D116" s="46">
        <f>'TENAGA KERJA'!L115</f>
        <v>0</v>
      </c>
      <c r="E116" s="46">
        <f>'TENAGA KERJA'!M115</f>
        <v>0</v>
      </c>
      <c r="F116" s="43">
        <f>'TENAGA KERJA'!N115</f>
        <v>0</v>
      </c>
      <c r="G116" s="43">
        <f>'BPJS TK'!D116</f>
        <v>0</v>
      </c>
      <c r="H116" s="43">
        <f>'BPJS TK'!E116</f>
        <v>0</v>
      </c>
      <c r="I116" s="46">
        <f>'BPJS KES'!D116</f>
        <v>0</v>
      </c>
      <c r="J116" s="43">
        <f t="shared" si="3"/>
        <v>0</v>
      </c>
      <c r="K116" s="47">
        <f>IF('TENAGA KERJA'!H115="KATEGORI A",VLOOKUP(J116,'TER 2024'!$B$2:$E$45,4),IF('TENAGA KERJA'!H115="KATEGORI B",VLOOKUP(J116,'TER 2024'!$B$46:$E$85,4),IF('TENAGA KERJA'!H115="KATEGORI C",VLOOKUP(J116,'TER 2024'!$B$86:$E$126,4),0)))</f>
        <v>0</v>
      </c>
      <c r="L116" s="48">
        <f>IF('TENAGA KERJA'!F115="NPWP",'PPH PSL 21 - GROSS (MULAI 2024)'!J116*K116,IF('TENAGA KERJA'!F115="NON-NPWP",'PPH PSL 21 - GROSS (MULAI 2024)'!J116*K116*120%,0))</f>
        <v>0</v>
      </c>
    </row>
    <row r="117" spans="1:12">
      <c r="A117" s="45" t="str">
        <f>IF('TENAGA KERJA'!A116=0,"",'TENAGA KERJA'!A116)</f>
        <v/>
      </c>
      <c r="B117" s="24" t="str">
        <f>IF('TENAGA KERJA'!B116=0,"",'TENAGA KERJA'!B116)</f>
        <v/>
      </c>
      <c r="C117" s="43">
        <f>'TENAGA KERJA'!K116</f>
        <v>0</v>
      </c>
      <c r="D117" s="46">
        <f>'TENAGA KERJA'!L116</f>
        <v>0</v>
      </c>
      <c r="E117" s="46">
        <f>'TENAGA KERJA'!M116</f>
        <v>0</v>
      </c>
      <c r="F117" s="43">
        <f>'TENAGA KERJA'!N116</f>
        <v>0</v>
      </c>
      <c r="G117" s="43">
        <f>'BPJS TK'!D117</f>
        <v>0</v>
      </c>
      <c r="H117" s="43">
        <f>'BPJS TK'!E117</f>
        <v>0</v>
      </c>
      <c r="I117" s="46">
        <f>'BPJS KES'!D117</f>
        <v>0</v>
      </c>
      <c r="J117" s="43">
        <f t="shared" si="3"/>
        <v>0</v>
      </c>
      <c r="K117" s="47">
        <f>IF('TENAGA KERJA'!H116="KATEGORI A",VLOOKUP(J117,'TER 2024'!$B$2:$E$45,4),IF('TENAGA KERJA'!H116="KATEGORI B",VLOOKUP(J117,'TER 2024'!$B$46:$E$85,4),IF('TENAGA KERJA'!H116="KATEGORI C",VLOOKUP(J117,'TER 2024'!$B$86:$E$126,4),0)))</f>
        <v>0</v>
      </c>
      <c r="L117" s="48">
        <f>IF('TENAGA KERJA'!F116="NPWP",'PPH PSL 21 - GROSS (MULAI 2024)'!J117*K117,IF('TENAGA KERJA'!F116="NON-NPWP",'PPH PSL 21 - GROSS (MULAI 2024)'!J117*K117*120%,0))</f>
        <v>0</v>
      </c>
    </row>
    <row r="118" spans="1:12">
      <c r="A118" s="45" t="str">
        <f>IF('TENAGA KERJA'!A117=0,"",'TENAGA KERJA'!A117)</f>
        <v/>
      </c>
      <c r="B118" s="24" t="str">
        <f>IF('TENAGA KERJA'!B117=0,"",'TENAGA KERJA'!B117)</f>
        <v/>
      </c>
      <c r="C118" s="43">
        <f>'TENAGA KERJA'!K117</f>
        <v>0</v>
      </c>
      <c r="D118" s="46">
        <f>'TENAGA KERJA'!L117</f>
        <v>0</v>
      </c>
      <c r="E118" s="46">
        <f>'TENAGA KERJA'!M117</f>
        <v>0</v>
      </c>
      <c r="F118" s="43">
        <f>'TENAGA KERJA'!N117</f>
        <v>0</v>
      </c>
      <c r="G118" s="43">
        <f>'BPJS TK'!D118</f>
        <v>0</v>
      </c>
      <c r="H118" s="43">
        <f>'BPJS TK'!E118</f>
        <v>0</v>
      </c>
      <c r="I118" s="46">
        <f>'BPJS KES'!D118</f>
        <v>0</v>
      </c>
      <c r="J118" s="43">
        <f t="shared" si="3"/>
        <v>0</v>
      </c>
      <c r="K118" s="47">
        <f>IF('TENAGA KERJA'!H117="KATEGORI A",VLOOKUP(J118,'TER 2024'!$B$2:$E$45,4),IF('TENAGA KERJA'!H117="KATEGORI B",VLOOKUP(J118,'TER 2024'!$B$46:$E$85,4),IF('TENAGA KERJA'!H117="KATEGORI C",VLOOKUP(J118,'TER 2024'!$B$86:$E$126,4),0)))</f>
        <v>0</v>
      </c>
      <c r="L118" s="48">
        <f>IF('TENAGA KERJA'!F117="NPWP",'PPH PSL 21 - GROSS (MULAI 2024)'!J118*K118,IF('TENAGA KERJA'!F117="NON-NPWP",'PPH PSL 21 - GROSS (MULAI 2024)'!J118*K118*120%,0))</f>
        <v>0</v>
      </c>
    </row>
    <row r="119" spans="1:12">
      <c r="A119" s="45" t="str">
        <f>IF('TENAGA KERJA'!A118=0,"",'TENAGA KERJA'!A118)</f>
        <v/>
      </c>
      <c r="B119" s="24" t="str">
        <f>IF('TENAGA KERJA'!B118=0,"",'TENAGA KERJA'!B118)</f>
        <v/>
      </c>
      <c r="C119" s="43">
        <f>'TENAGA KERJA'!K118</f>
        <v>0</v>
      </c>
      <c r="D119" s="46">
        <f>'TENAGA KERJA'!L118</f>
        <v>0</v>
      </c>
      <c r="E119" s="46">
        <f>'TENAGA KERJA'!M118</f>
        <v>0</v>
      </c>
      <c r="F119" s="43">
        <f>'TENAGA KERJA'!N118</f>
        <v>0</v>
      </c>
      <c r="G119" s="43">
        <f>'BPJS TK'!D119</f>
        <v>0</v>
      </c>
      <c r="H119" s="43">
        <f>'BPJS TK'!E119</f>
        <v>0</v>
      </c>
      <c r="I119" s="46">
        <f>'BPJS KES'!D119</f>
        <v>0</v>
      </c>
      <c r="J119" s="43">
        <f t="shared" si="3"/>
        <v>0</v>
      </c>
      <c r="K119" s="47">
        <f>IF('TENAGA KERJA'!H118="KATEGORI A",VLOOKUP(J119,'TER 2024'!$B$2:$E$45,4),IF('TENAGA KERJA'!H118="KATEGORI B",VLOOKUP(J119,'TER 2024'!$B$46:$E$85,4),IF('TENAGA KERJA'!H118="KATEGORI C",VLOOKUP(J119,'TER 2024'!$B$86:$E$126,4),0)))</f>
        <v>0</v>
      </c>
      <c r="L119" s="48">
        <f>IF('TENAGA KERJA'!F118="NPWP",'PPH PSL 21 - GROSS (MULAI 2024)'!J119*K119,IF('TENAGA KERJA'!F118="NON-NPWP",'PPH PSL 21 - GROSS (MULAI 2024)'!J119*K119*120%,0))</f>
        <v>0</v>
      </c>
    </row>
    <row r="120" spans="1:12">
      <c r="A120" s="45" t="str">
        <f>IF('TENAGA KERJA'!A119=0,"",'TENAGA KERJA'!A119)</f>
        <v/>
      </c>
      <c r="B120" s="24" t="str">
        <f>IF('TENAGA KERJA'!B119=0,"",'TENAGA KERJA'!B119)</f>
        <v/>
      </c>
      <c r="C120" s="43">
        <f>'TENAGA KERJA'!K119</f>
        <v>0</v>
      </c>
      <c r="D120" s="46">
        <f>'TENAGA KERJA'!L119</f>
        <v>0</v>
      </c>
      <c r="E120" s="46">
        <f>'TENAGA KERJA'!M119</f>
        <v>0</v>
      </c>
      <c r="F120" s="43">
        <f>'TENAGA KERJA'!N119</f>
        <v>0</v>
      </c>
      <c r="G120" s="43">
        <f>'BPJS TK'!D120</f>
        <v>0</v>
      </c>
      <c r="H120" s="43">
        <f>'BPJS TK'!E120</f>
        <v>0</v>
      </c>
      <c r="I120" s="46">
        <f>'BPJS KES'!D120</f>
        <v>0</v>
      </c>
      <c r="J120" s="43">
        <f t="shared" si="3"/>
        <v>0</v>
      </c>
      <c r="K120" s="47">
        <f>IF('TENAGA KERJA'!H119="KATEGORI A",VLOOKUP(J120,'TER 2024'!$B$2:$E$45,4),IF('TENAGA KERJA'!H119="KATEGORI B",VLOOKUP(J120,'TER 2024'!$B$46:$E$85,4),IF('TENAGA KERJA'!H119="KATEGORI C",VLOOKUP(J120,'TER 2024'!$B$86:$E$126,4),0)))</f>
        <v>0</v>
      </c>
      <c r="L120" s="48">
        <f>IF('TENAGA KERJA'!F119="NPWP",'PPH PSL 21 - GROSS (MULAI 2024)'!J120*K120,IF('TENAGA KERJA'!F119="NON-NPWP",'PPH PSL 21 - GROSS (MULAI 2024)'!J120*K120*120%,0))</f>
        <v>0</v>
      </c>
    </row>
    <row r="121" spans="1:12">
      <c r="A121" s="45" t="str">
        <f>IF('TENAGA KERJA'!A120=0,"",'TENAGA KERJA'!A120)</f>
        <v/>
      </c>
      <c r="B121" s="24" t="str">
        <f>IF('TENAGA KERJA'!B120=0,"",'TENAGA KERJA'!B120)</f>
        <v/>
      </c>
      <c r="C121" s="43">
        <f>'TENAGA KERJA'!K120</f>
        <v>0</v>
      </c>
      <c r="D121" s="46">
        <f>'TENAGA KERJA'!L120</f>
        <v>0</v>
      </c>
      <c r="E121" s="46">
        <f>'TENAGA KERJA'!M120</f>
        <v>0</v>
      </c>
      <c r="F121" s="43">
        <f>'TENAGA KERJA'!N120</f>
        <v>0</v>
      </c>
      <c r="G121" s="43">
        <f>'BPJS TK'!D121</f>
        <v>0</v>
      </c>
      <c r="H121" s="43">
        <f>'BPJS TK'!E121</f>
        <v>0</v>
      </c>
      <c r="I121" s="46">
        <f>'BPJS KES'!D121</f>
        <v>0</v>
      </c>
      <c r="J121" s="43">
        <f t="shared" si="3"/>
        <v>0</v>
      </c>
      <c r="K121" s="47">
        <f>IF('TENAGA KERJA'!H120="KATEGORI A",VLOOKUP(J121,'TER 2024'!$B$2:$E$45,4),IF('TENAGA KERJA'!H120="KATEGORI B",VLOOKUP(J121,'TER 2024'!$B$46:$E$85,4),IF('TENAGA KERJA'!H120="KATEGORI C",VLOOKUP(J121,'TER 2024'!$B$86:$E$126,4),0)))</f>
        <v>0</v>
      </c>
      <c r="L121" s="48">
        <f>IF('TENAGA KERJA'!F120="NPWP",'PPH PSL 21 - GROSS (MULAI 2024)'!J121*K121,IF('TENAGA KERJA'!F120="NON-NPWP",'PPH PSL 21 - GROSS (MULAI 2024)'!J121*K121*120%,0))</f>
        <v>0</v>
      </c>
    </row>
    <row r="122" spans="1:12">
      <c r="A122" s="45" t="str">
        <f>IF('TENAGA KERJA'!A121=0,"",'TENAGA KERJA'!A121)</f>
        <v/>
      </c>
      <c r="B122" s="24" t="str">
        <f>IF('TENAGA KERJA'!B121=0,"",'TENAGA KERJA'!B121)</f>
        <v/>
      </c>
      <c r="C122" s="43">
        <f>'TENAGA KERJA'!K121</f>
        <v>0</v>
      </c>
      <c r="D122" s="46">
        <f>'TENAGA KERJA'!L121</f>
        <v>0</v>
      </c>
      <c r="E122" s="46">
        <f>'TENAGA KERJA'!M121</f>
        <v>0</v>
      </c>
      <c r="F122" s="43">
        <f>'TENAGA KERJA'!N121</f>
        <v>0</v>
      </c>
      <c r="G122" s="43">
        <f>'BPJS TK'!D122</f>
        <v>0</v>
      </c>
      <c r="H122" s="43">
        <f>'BPJS TK'!E122</f>
        <v>0</v>
      </c>
      <c r="I122" s="46">
        <f>'BPJS KES'!D122</f>
        <v>0</v>
      </c>
      <c r="J122" s="43">
        <f t="shared" si="3"/>
        <v>0</v>
      </c>
      <c r="K122" s="47">
        <f>IF('TENAGA KERJA'!H121="KATEGORI A",VLOOKUP(J122,'TER 2024'!$B$2:$E$45,4),IF('TENAGA KERJA'!H121="KATEGORI B",VLOOKUP(J122,'TER 2024'!$B$46:$E$85,4),IF('TENAGA KERJA'!H121="KATEGORI C",VLOOKUP(J122,'TER 2024'!$B$86:$E$126,4),0)))</f>
        <v>0</v>
      </c>
      <c r="L122" s="48">
        <f>IF('TENAGA KERJA'!F121="NPWP",'PPH PSL 21 - GROSS (MULAI 2024)'!J122*K122,IF('TENAGA KERJA'!F121="NON-NPWP",'PPH PSL 21 - GROSS (MULAI 2024)'!J122*K122*120%,0))</f>
        <v>0</v>
      </c>
    </row>
    <row r="123" spans="1:12">
      <c r="A123" s="45" t="str">
        <f>IF('TENAGA KERJA'!A122=0,"",'TENAGA KERJA'!A122)</f>
        <v/>
      </c>
      <c r="B123" s="24" t="str">
        <f>IF('TENAGA KERJA'!B122=0,"",'TENAGA KERJA'!B122)</f>
        <v/>
      </c>
      <c r="C123" s="43">
        <f>'TENAGA KERJA'!K122</f>
        <v>0</v>
      </c>
      <c r="D123" s="46">
        <f>'TENAGA KERJA'!L122</f>
        <v>0</v>
      </c>
      <c r="E123" s="46">
        <f>'TENAGA KERJA'!M122</f>
        <v>0</v>
      </c>
      <c r="F123" s="43">
        <f>'TENAGA KERJA'!N122</f>
        <v>0</v>
      </c>
      <c r="G123" s="43">
        <f>'BPJS TK'!D123</f>
        <v>0</v>
      </c>
      <c r="H123" s="43">
        <f>'BPJS TK'!E123</f>
        <v>0</v>
      </c>
      <c r="I123" s="46">
        <f>'BPJS KES'!D123</f>
        <v>0</v>
      </c>
      <c r="J123" s="43">
        <f t="shared" si="3"/>
        <v>0</v>
      </c>
      <c r="K123" s="47">
        <f>IF('TENAGA KERJA'!H122="KATEGORI A",VLOOKUP(J123,'TER 2024'!$B$2:$E$45,4),IF('TENAGA KERJA'!H122="KATEGORI B",VLOOKUP(J123,'TER 2024'!$B$46:$E$85,4),IF('TENAGA KERJA'!H122="KATEGORI C",VLOOKUP(J123,'TER 2024'!$B$86:$E$126,4),0)))</f>
        <v>0</v>
      </c>
      <c r="L123" s="48">
        <f>IF('TENAGA KERJA'!F122="NPWP",'PPH PSL 21 - GROSS (MULAI 2024)'!J123*K123,IF('TENAGA KERJA'!F122="NON-NPWP",'PPH PSL 21 - GROSS (MULAI 2024)'!J123*K123*120%,0))</f>
        <v>0</v>
      </c>
    </row>
    <row r="124" spans="1:12">
      <c r="A124" s="45" t="str">
        <f>IF('TENAGA KERJA'!A123=0,"",'TENAGA KERJA'!A123)</f>
        <v/>
      </c>
      <c r="B124" s="24" t="str">
        <f>IF('TENAGA KERJA'!B123=0,"",'TENAGA KERJA'!B123)</f>
        <v/>
      </c>
      <c r="C124" s="43">
        <f>'TENAGA KERJA'!K123</f>
        <v>0</v>
      </c>
      <c r="D124" s="46">
        <f>'TENAGA KERJA'!L123</f>
        <v>0</v>
      </c>
      <c r="E124" s="46">
        <f>'TENAGA KERJA'!M123</f>
        <v>0</v>
      </c>
      <c r="F124" s="43">
        <f>'TENAGA KERJA'!N123</f>
        <v>0</v>
      </c>
      <c r="G124" s="43">
        <f>'BPJS TK'!D124</f>
        <v>0</v>
      </c>
      <c r="H124" s="43">
        <f>'BPJS TK'!E124</f>
        <v>0</v>
      </c>
      <c r="I124" s="46">
        <f>'BPJS KES'!D124</f>
        <v>0</v>
      </c>
      <c r="J124" s="43">
        <f t="shared" si="3"/>
        <v>0</v>
      </c>
      <c r="K124" s="47">
        <f>IF('TENAGA KERJA'!H123="KATEGORI A",VLOOKUP(J124,'TER 2024'!$B$2:$E$45,4),IF('TENAGA KERJA'!H123="KATEGORI B",VLOOKUP(J124,'TER 2024'!$B$46:$E$85,4),IF('TENAGA KERJA'!H123="KATEGORI C",VLOOKUP(J124,'TER 2024'!$B$86:$E$126,4),0)))</f>
        <v>0</v>
      </c>
      <c r="L124" s="48">
        <f>IF('TENAGA KERJA'!F123="NPWP",'PPH PSL 21 - GROSS (MULAI 2024)'!J124*K124,IF('TENAGA KERJA'!F123="NON-NPWP",'PPH PSL 21 - GROSS (MULAI 2024)'!J124*K124*120%,0))</f>
        <v>0</v>
      </c>
    </row>
    <row r="125" spans="1:12">
      <c r="A125" s="45" t="str">
        <f>IF('TENAGA KERJA'!A124=0,"",'TENAGA KERJA'!A124)</f>
        <v/>
      </c>
      <c r="B125" s="24" t="str">
        <f>IF('TENAGA KERJA'!B124=0,"",'TENAGA KERJA'!B124)</f>
        <v/>
      </c>
      <c r="C125" s="43">
        <f>'TENAGA KERJA'!K124</f>
        <v>0</v>
      </c>
      <c r="D125" s="46">
        <f>'TENAGA KERJA'!L124</f>
        <v>0</v>
      </c>
      <c r="E125" s="46">
        <f>'TENAGA KERJA'!M124</f>
        <v>0</v>
      </c>
      <c r="F125" s="43">
        <f>'TENAGA KERJA'!N124</f>
        <v>0</v>
      </c>
      <c r="G125" s="43">
        <f>'BPJS TK'!D125</f>
        <v>0</v>
      </c>
      <c r="H125" s="43">
        <f>'BPJS TK'!E125</f>
        <v>0</v>
      </c>
      <c r="I125" s="46">
        <f>'BPJS KES'!D125</f>
        <v>0</v>
      </c>
      <c r="J125" s="43">
        <f t="shared" si="3"/>
        <v>0</v>
      </c>
      <c r="K125" s="47">
        <f>IF('TENAGA KERJA'!H124="KATEGORI A",VLOOKUP(J125,'TER 2024'!$B$2:$E$45,4),IF('TENAGA KERJA'!H124="KATEGORI B",VLOOKUP(J125,'TER 2024'!$B$46:$E$85,4),IF('TENAGA KERJA'!H124="KATEGORI C",VLOOKUP(J125,'TER 2024'!$B$86:$E$126,4),0)))</f>
        <v>0</v>
      </c>
      <c r="L125" s="48">
        <f>IF('TENAGA KERJA'!F124="NPWP",'PPH PSL 21 - GROSS (MULAI 2024)'!J125*K125,IF('TENAGA KERJA'!F124="NON-NPWP",'PPH PSL 21 - GROSS (MULAI 2024)'!J125*K125*120%,0))</f>
        <v>0</v>
      </c>
    </row>
    <row r="126" spans="1:12">
      <c r="A126" s="45" t="str">
        <f>IF('TENAGA KERJA'!A125=0,"",'TENAGA KERJA'!A125)</f>
        <v/>
      </c>
      <c r="B126" s="24" t="str">
        <f>IF('TENAGA KERJA'!B125=0,"",'TENAGA KERJA'!B125)</f>
        <v/>
      </c>
      <c r="C126" s="43">
        <f>'TENAGA KERJA'!K125</f>
        <v>0</v>
      </c>
      <c r="D126" s="46">
        <f>'TENAGA KERJA'!L125</f>
        <v>0</v>
      </c>
      <c r="E126" s="46">
        <f>'TENAGA KERJA'!M125</f>
        <v>0</v>
      </c>
      <c r="F126" s="43">
        <f>'TENAGA KERJA'!N125</f>
        <v>0</v>
      </c>
      <c r="G126" s="43">
        <f>'BPJS TK'!D126</f>
        <v>0</v>
      </c>
      <c r="H126" s="43">
        <f>'BPJS TK'!E126</f>
        <v>0</v>
      </c>
      <c r="I126" s="46">
        <f>'BPJS KES'!D126</f>
        <v>0</v>
      </c>
      <c r="J126" s="43">
        <f t="shared" si="3"/>
        <v>0</v>
      </c>
      <c r="K126" s="47">
        <f>IF('TENAGA KERJA'!H125="KATEGORI A",VLOOKUP(J126,'TER 2024'!$B$2:$E$45,4),IF('TENAGA KERJA'!H125="KATEGORI B",VLOOKUP(J126,'TER 2024'!$B$46:$E$85,4),IF('TENAGA KERJA'!H125="KATEGORI C",VLOOKUP(J126,'TER 2024'!$B$86:$E$126,4),0)))</f>
        <v>0</v>
      </c>
      <c r="L126" s="48">
        <f>IF('TENAGA KERJA'!F125="NPWP",'PPH PSL 21 - GROSS (MULAI 2024)'!J126*K126,IF('TENAGA KERJA'!F125="NON-NPWP",'PPH PSL 21 - GROSS (MULAI 2024)'!J126*K126*120%,0))</f>
        <v>0</v>
      </c>
    </row>
    <row r="127" spans="1:12">
      <c r="A127" s="45" t="str">
        <f>IF('TENAGA KERJA'!A126=0,"",'TENAGA KERJA'!A126)</f>
        <v/>
      </c>
      <c r="B127" s="24" t="str">
        <f>IF('TENAGA KERJA'!B126=0,"",'TENAGA KERJA'!B126)</f>
        <v/>
      </c>
      <c r="C127" s="43">
        <f>'TENAGA KERJA'!K126</f>
        <v>0</v>
      </c>
      <c r="D127" s="46">
        <f>'TENAGA KERJA'!L126</f>
        <v>0</v>
      </c>
      <c r="E127" s="46">
        <f>'TENAGA KERJA'!M126</f>
        <v>0</v>
      </c>
      <c r="F127" s="43">
        <f>'TENAGA KERJA'!N126</f>
        <v>0</v>
      </c>
      <c r="G127" s="43">
        <f>'BPJS TK'!D127</f>
        <v>0</v>
      </c>
      <c r="H127" s="43">
        <f>'BPJS TK'!E127</f>
        <v>0</v>
      </c>
      <c r="I127" s="46">
        <f>'BPJS KES'!D127</f>
        <v>0</v>
      </c>
      <c r="J127" s="43">
        <f t="shared" si="3"/>
        <v>0</v>
      </c>
      <c r="K127" s="47">
        <f>IF('TENAGA KERJA'!H126="KATEGORI A",VLOOKUP(J127,'TER 2024'!$B$2:$E$45,4),IF('TENAGA KERJA'!H126="KATEGORI B",VLOOKUP(J127,'TER 2024'!$B$46:$E$85,4),IF('TENAGA KERJA'!H126="KATEGORI C",VLOOKUP(J127,'TER 2024'!$B$86:$E$126,4),0)))</f>
        <v>0</v>
      </c>
      <c r="L127" s="48">
        <f>IF('TENAGA KERJA'!F126="NPWP",'PPH PSL 21 - GROSS (MULAI 2024)'!J127*K127,IF('TENAGA KERJA'!F126="NON-NPWP",'PPH PSL 21 - GROSS (MULAI 2024)'!J127*K127*120%,0))</f>
        <v>0</v>
      </c>
    </row>
    <row r="128" spans="1:12">
      <c r="A128" s="45" t="str">
        <f>IF('TENAGA KERJA'!A127=0,"",'TENAGA KERJA'!A127)</f>
        <v/>
      </c>
      <c r="B128" s="24" t="str">
        <f>IF('TENAGA KERJA'!B127=0,"",'TENAGA KERJA'!B127)</f>
        <v/>
      </c>
      <c r="C128" s="43">
        <f>'TENAGA KERJA'!K127</f>
        <v>0</v>
      </c>
      <c r="D128" s="46">
        <f>'TENAGA KERJA'!L127</f>
        <v>0</v>
      </c>
      <c r="E128" s="46">
        <f>'TENAGA KERJA'!M127</f>
        <v>0</v>
      </c>
      <c r="F128" s="43">
        <f>'TENAGA KERJA'!N127</f>
        <v>0</v>
      </c>
      <c r="G128" s="43">
        <f>'BPJS TK'!D128</f>
        <v>0</v>
      </c>
      <c r="H128" s="43">
        <f>'BPJS TK'!E128</f>
        <v>0</v>
      </c>
      <c r="I128" s="46">
        <f>'BPJS KES'!D128</f>
        <v>0</v>
      </c>
      <c r="J128" s="43">
        <f t="shared" si="3"/>
        <v>0</v>
      </c>
      <c r="K128" s="47">
        <f>IF('TENAGA KERJA'!H127="KATEGORI A",VLOOKUP(J128,'TER 2024'!$B$2:$E$45,4),IF('TENAGA KERJA'!H127="KATEGORI B",VLOOKUP(J128,'TER 2024'!$B$46:$E$85,4),IF('TENAGA KERJA'!H127="KATEGORI C",VLOOKUP(J128,'TER 2024'!$B$86:$E$126,4),0)))</f>
        <v>0</v>
      </c>
      <c r="L128" s="48">
        <f>IF('TENAGA KERJA'!F127="NPWP",'PPH PSL 21 - GROSS (MULAI 2024)'!J128*K128,IF('TENAGA KERJA'!F127="NON-NPWP",'PPH PSL 21 - GROSS (MULAI 2024)'!J128*K128*120%,0))</f>
        <v>0</v>
      </c>
    </row>
    <row r="129" spans="1:13">
      <c r="A129" s="45" t="str">
        <f>IF('TENAGA KERJA'!A128=0,"",'TENAGA KERJA'!A128)</f>
        <v/>
      </c>
      <c r="B129" s="24" t="str">
        <f>IF('TENAGA KERJA'!B128=0,"",'TENAGA KERJA'!B128)</f>
        <v/>
      </c>
      <c r="C129" s="43">
        <f>'TENAGA KERJA'!K128</f>
        <v>0</v>
      </c>
      <c r="D129" s="46">
        <f>'TENAGA KERJA'!L128</f>
        <v>0</v>
      </c>
      <c r="E129" s="46">
        <f>'TENAGA KERJA'!M128</f>
        <v>0</v>
      </c>
      <c r="F129" s="43">
        <f>'TENAGA KERJA'!N128</f>
        <v>0</v>
      </c>
      <c r="G129" s="43">
        <f>'BPJS TK'!D129</f>
        <v>0</v>
      </c>
      <c r="H129" s="43">
        <f>'BPJS TK'!E129</f>
        <v>0</v>
      </c>
      <c r="I129" s="46">
        <f>'BPJS KES'!D129</f>
        <v>0</v>
      </c>
      <c r="J129" s="43">
        <f t="shared" si="3"/>
        <v>0</v>
      </c>
      <c r="K129" s="47">
        <f>IF('TENAGA KERJA'!H128="KATEGORI A",VLOOKUP(J129,'TER 2024'!$B$2:$E$45,4),IF('TENAGA KERJA'!H128="KATEGORI B",VLOOKUP(J129,'TER 2024'!$B$46:$E$85,4),IF('TENAGA KERJA'!H128="KATEGORI C",VLOOKUP(J129,'TER 2024'!$B$86:$E$126,4),0)))</f>
        <v>0</v>
      </c>
      <c r="L129" s="48">
        <f>IF('TENAGA KERJA'!F128="NPWP",'PPH PSL 21 - GROSS (MULAI 2024)'!J129*K129,IF('TENAGA KERJA'!F128="NON-NPWP",'PPH PSL 21 - GROSS (MULAI 2024)'!J129*K129*120%,0))</f>
        <v>0</v>
      </c>
    </row>
    <row r="130" spans="1:13">
      <c r="A130" s="45" t="str">
        <f>IF('TENAGA KERJA'!A129=0,"",'TENAGA KERJA'!A129)</f>
        <v/>
      </c>
      <c r="B130" s="24" t="str">
        <f>IF('TENAGA KERJA'!B129=0,"",'TENAGA KERJA'!B129)</f>
        <v/>
      </c>
      <c r="C130" s="43">
        <f>'TENAGA KERJA'!K129</f>
        <v>0</v>
      </c>
      <c r="D130" s="46">
        <f>'TENAGA KERJA'!L129</f>
        <v>0</v>
      </c>
      <c r="E130" s="46">
        <f>'TENAGA KERJA'!M129</f>
        <v>0</v>
      </c>
      <c r="F130" s="43">
        <f>'TENAGA KERJA'!N129</f>
        <v>0</v>
      </c>
      <c r="G130" s="43">
        <f>'BPJS TK'!D130</f>
        <v>0</v>
      </c>
      <c r="H130" s="43">
        <f>'BPJS TK'!E130</f>
        <v>0</v>
      </c>
      <c r="I130" s="46">
        <f>'BPJS KES'!D130</f>
        <v>0</v>
      </c>
      <c r="J130" s="43">
        <f t="shared" si="3"/>
        <v>0</v>
      </c>
      <c r="K130" s="47">
        <f>IF('TENAGA KERJA'!H129="KATEGORI A",VLOOKUP(J130,'TER 2024'!$B$2:$E$45,4),IF('TENAGA KERJA'!H129="KATEGORI B",VLOOKUP(J130,'TER 2024'!$B$46:$E$85,4),IF('TENAGA KERJA'!H129="KATEGORI C",VLOOKUP(J130,'TER 2024'!$B$86:$E$126,4),0)))</f>
        <v>0</v>
      </c>
      <c r="L130" s="48">
        <f>IF('TENAGA KERJA'!F129="NPWP",'PPH PSL 21 - GROSS (MULAI 2024)'!J130*K130,IF('TENAGA KERJA'!F129="NON-NPWP",'PPH PSL 21 - GROSS (MULAI 2024)'!J130*K130*120%,0))</f>
        <v>0</v>
      </c>
      <c r="M130" s="50">
        <v>1801157.1222922588</v>
      </c>
    </row>
    <row r="131" spans="1:13">
      <c r="A131" s="45" t="str">
        <f>IF('TENAGA KERJA'!A130=0,"",'TENAGA KERJA'!A130)</f>
        <v/>
      </c>
      <c r="B131" s="24" t="str">
        <f>IF('TENAGA KERJA'!B130=0,"",'TENAGA KERJA'!B130)</f>
        <v/>
      </c>
      <c r="C131" s="43">
        <f>'TENAGA KERJA'!K130</f>
        <v>0</v>
      </c>
      <c r="D131" s="46">
        <f>'TENAGA KERJA'!L130</f>
        <v>0</v>
      </c>
      <c r="E131" s="46">
        <f>'TENAGA KERJA'!M130</f>
        <v>0</v>
      </c>
      <c r="F131" s="43">
        <f>'TENAGA KERJA'!N130</f>
        <v>0</v>
      </c>
      <c r="G131" s="43">
        <f>'BPJS TK'!D131</f>
        <v>16832.899300000001</v>
      </c>
      <c r="H131" s="43">
        <f>'BPJS TK'!E131</f>
        <v>5674.0110000000004</v>
      </c>
      <c r="I131" s="46">
        <f>'BPJS KES'!D131</f>
        <v>175653.48</v>
      </c>
      <c r="J131" s="43">
        <f t="shared" si="3"/>
        <v>198160.39030000003</v>
      </c>
      <c r="K131" s="47">
        <f>IF('TENAGA KERJA'!H130="KATEGORI A",VLOOKUP(J131,'TER 2024'!$B$2:$E$45,4),IF('TENAGA KERJA'!H130="KATEGORI B",VLOOKUP(J131,'TER 2024'!$B$46:$E$85,4),IF('TENAGA KERJA'!H130="KATEGORI C",VLOOKUP(J131,'TER 2024'!$B$86:$E$126,4),0)))</f>
        <v>0</v>
      </c>
      <c r="L131" s="48">
        <f>IF('TENAGA KERJA'!F130="NPWP",'PPH PSL 21 - GROSS (MULAI 2024)'!J131*K131,IF('TENAGA KERJA'!F130="NON-NPWP",'PPH PSL 21 - GROSS (MULAI 2024)'!J131*K131*120%,0))</f>
        <v>0</v>
      </c>
    </row>
    <row r="132" spans="1:13">
      <c r="A132" s="45" t="str">
        <f>IF('TENAGA KERJA'!A131=0,"",'TENAGA KERJA'!A131)</f>
        <v/>
      </c>
      <c r="B132" s="24" t="str">
        <f>IF('TENAGA KERJA'!B131=0,"",'TENAGA KERJA'!B131)</f>
        <v/>
      </c>
      <c r="C132" s="43">
        <f>'TENAGA KERJA'!K131</f>
        <v>0</v>
      </c>
      <c r="D132" s="46">
        <f>'TENAGA KERJA'!L131</f>
        <v>0</v>
      </c>
      <c r="E132" s="46">
        <f>'TENAGA KERJA'!M131</f>
        <v>0</v>
      </c>
      <c r="F132" s="43">
        <f>'TENAGA KERJA'!N131</f>
        <v>0</v>
      </c>
      <c r="G132" s="43">
        <f>'BPJS TK'!D132</f>
        <v>0</v>
      </c>
      <c r="H132" s="43">
        <f>'BPJS TK'!E132</f>
        <v>0</v>
      </c>
      <c r="I132" s="46">
        <f>'BPJS KES'!D132</f>
        <v>0</v>
      </c>
      <c r="J132" s="43">
        <f t="shared" si="3"/>
        <v>0</v>
      </c>
      <c r="K132" s="47">
        <f>IF('TENAGA KERJA'!H131="KATEGORI A",VLOOKUP(J132,'TER 2024'!$B$2:$E$45,4),IF('TENAGA KERJA'!H131="KATEGORI B",VLOOKUP(J132,'TER 2024'!$B$46:$E$85,4),IF('TENAGA KERJA'!H131="KATEGORI C",VLOOKUP(J132,'TER 2024'!$B$86:$E$126,4),0)))</f>
        <v>0</v>
      </c>
      <c r="L132" s="48">
        <f>IF('TENAGA KERJA'!F131="NPWP",'PPH PSL 21 - GROSS (MULAI 2024)'!J132*K132,IF('TENAGA KERJA'!F131="NON-NPWP",'PPH PSL 21 - GROSS (MULAI 2024)'!J132*K132*120%,0))</f>
        <v>0</v>
      </c>
    </row>
    <row r="133" spans="1:13">
      <c r="A133" s="45" t="str">
        <f>IF('TENAGA KERJA'!A132=0,"",'TENAGA KERJA'!A132)</f>
        <v/>
      </c>
      <c r="B133" s="24" t="str">
        <f>IF('TENAGA KERJA'!B132=0,"",'TENAGA KERJA'!B132)</f>
        <v/>
      </c>
      <c r="C133" s="43">
        <f>'TENAGA KERJA'!K132</f>
        <v>0</v>
      </c>
      <c r="D133" s="46">
        <f>'TENAGA KERJA'!L132</f>
        <v>0</v>
      </c>
      <c r="E133" s="46">
        <f>'TENAGA KERJA'!M132</f>
        <v>0</v>
      </c>
      <c r="F133" s="43">
        <f>'TENAGA KERJA'!N132</f>
        <v>0</v>
      </c>
      <c r="G133" s="43">
        <f>'BPJS TK'!D133</f>
        <v>0</v>
      </c>
      <c r="H133" s="43">
        <f>'BPJS TK'!E133</f>
        <v>0</v>
      </c>
      <c r="I133" s="46">
        <f>'BPJS KES'!D133</f>
        <v>0</v>
      </c>
      <c r="J133" s="43">
        <f t="shared" ref="J133:J196" si="4">SUM(C133:I133)</f>
        <v>0</v>
      </c>
      <c r="K133" s="47">
        <f>IF('TENAGA KERJA'!H132="KATEGORI A",VLOOKUP(J133,'TER 2024'!$B$2:$E$45,4),IF('TENAGA KERJA'!H132="KATEGORI B",VLOOKUP(J133,'TER 2024'!$B$46:$E$85,4),IF('TENAGA KERJA'!H132="KATEGORI C",VLOOKUP(J133,'TER 2024'!$B$86:$E$126,4),0)))</f>
        <v>0</v>
      </c>
      <c r="L133" s="48">
        <f>IF('TENAGA KERJA'!F132="NPWP",'PPH PSL 21 - GROSS (MULAI 2024)'!J133*K133,IF('TENAGA KERJA'!F132="NON-NPWP",'PPH PSL 21 - GROSS (MULAI 2024)'!J133*K133*120%,0))</f>
        <v>0</v>
      </c>
    </row>
    <row r="134" spans="1:13">
      <c r="A134" s="45" t="str">
        <f>IF('TENAGA KERJA'!A133=0,"",'TENAGA KERJA'!A133)</f>
        <v/>
      </c>
      <c r="B134" s="24" t="str">
        <f>IF('TENAGA KERJA'!B133=0,"",'TENAGA KERJA'!B133)</f>
        <v/>
      </c>
      <c r="C134" s="43">
        <f>'TENAGA KERJA'!K133</f>
        <v>0</v>
      </c>
      <c r="D134" s="46">
        <f>'TENAGA KERJA'!L133</f>
        <v>0</v>
      </c>
      <c r="E134" s="46">
        <f>'TENAGA KERJA'!M133</f>
        <v>0</v>
      </c>
      <c r="F134" s="43">
        <f>'TENAGA KERJA'!N133</f>
        <v>0</v>
      </c>
      <c r="G134" s="43">
        <f>'BPJS TK'!D134</f>
        <v>0</v>
      </c>
      <c r="H134" s="43">
        <f>'BPJS TK'!E134</f>
        <v>0</v>
      </c>
      <c r="I134" s="46">
        <f>'BPJS KES'!D134</f>
        <v>0</v>
      </c>
      <c r="J134" s="43">
        <f t="shared" si="4"/>
        <v>0</v>
      </c>
      <c r="K134" s="47">
        <f>IF('TENAGA KERJA'!H133="KATEGORI A",VLOOKUP(J134,'TER 2024'!$B$2:$E$45,4),IF('TENAGA KERJA'!H133="KATEGORI B",VLOOKUP(J134,'TER 2024'!$B$46:$E$85,4),IF('TENAGA KERJA'!H133="KATEGORI C",VLOOKUP(J134,'TER 2024'!$B$86:$E$126,4),0)))</f>
        <v>0</v>
      </c>
      <c r="L134" s="48">
        <f>IF('TENAGA KERJA'!F133="NPWP",'PPH PSL 21 - GROSS (MULAI 2024)'!J134*K134,IF('TENAGA KERJA'!F133="NON-NPWP",'PPH PSL 21 - GROSS (MULAI 2024)'!J134*K134*120%,0))</f>
        <v>0</v>
      </c>
    </row>
    <row r="135" spans="1:13">
      <c r="A135" s="45" t="str">
        <f>IF('TENAGA KERJA'!A134=0,"",'TENAGA KERJA'!A134)</f>
        <v/>
      </c>
      <c r="B135" s="24" t="str">
        <f>IF('TENAGA KERJA'!B134=0,"",'TENAGA KERJA'!B134)</f>
        <v/>
      </c>
      <c r="C135" s="43">
        <f>'TENAGA KERJA'!K134</f>
        <v>0</v>
      </c>
      <c r="D135" s="46">
        <f>'TENAGA KERJA'!L134</f>
        <v>0</v>
      </c>
      <c r="E135" s="46">
        <f>'TENAGA KERJA'!M134</f>
        <v>0</v>
      </c>
      <c r="F135" s="43">
        <f>'TENAGA KERJA'!N134</f>
        <v>0</v>
      </c>
      <c r="G135" s="43">
        <f>'BPJS TK'!D135</f>
        <v>0</v>
      </c>
      <c r="H135" s="43">
        <f>'BPJS TK'!E135</f>
        <v>0</v>
      </c>
      <c r="I135" s="46">
        <f>'BPJS KES'!D135</f>
        <v>0</v>
      </c>
      <c r="J135" s="43">
        <f t="shared" si="4"/>
        <v>0</v>
      </c>
      <c r="K135" s="47">
        <f>IF('TENAGA KERJA'!H134="KATEGORI A",VLOOKUP(J135,'TER 2024'!$B$2:$E$45,4),IF('TENAGA KERJA'!H134="KATEGORI B",VLOOKUP(J135,'TER 2024'!$B$46:$E$85,4),IF('TENAGA KERJA'!H134="KATEGORI C",VLOOKUP(J135,'TER 2024'!$B$86:$E$126,4),0)))</f>
        <v>0</v>
      </c>
      <c r="L135" s="48">
        <f>IF('TENAGA KERJA'!F134="NPWP",'PPH PSL 21 - GROSS (MULAI 2024)'!J135*K135,IF('TENAGA KERJA'!F134="NON-NPWP",'PPH PSL 21 - GROSS (MULAI 2024)'!J135*K135*120%,0))</f>
        <v>0</v>
      </c>
    </row>
    <row r="136" spans="1:13">
      <c r="A136" s="45" t="str">
        <f>IF('TENAGA KERJA'!A135=0,"",'TENAGA KERJA'!A135)</f>
        <v/>
      </c>
      <c r="B136" s="24" t="str">
        <f>IF('TENAGA KERJA'!B135=0,"",'TENAGA KERJA'!B135)</f>
        <v/>
      </c>
      <c r="C136" s="43">
        <f>'TENAGA KERJA'!K135</f>
        <v>0</v>
      </c>
      <c r="D136" s="46">
        <f>'TENAGA KERJA'!L135</f>
        <v>0</v>
      </c>
      <c r="E136" s="46">
        <f>'TENAGA KERJA'!M135</f>
        <v>0</v>
      </c>
      <c r="F136" s="43">
        <f>'TENAGA KERJA'!N135</f>
        <v>0</v>
      </c>
      <c r="G136" s="43">
        <f>'BPJS TK'!D136</f>
        <v>0</v>
      </c>
      <c r="H136" s="43">
        <f>'BPJS TK'!E136</f>
        <v>0</v>
      </c>
      <c r="I136" s="46">
        <f>'BPJS KES'!D136</f>
        <v>0</v>
      </c>
      <c r="J136" s="43">
        <f t="shared" si="4"/>
        <v>0</v>
      </c>
      <c r="K136" s="47">
        <f>IF('TENAGA KERJA'!H135="KATEGORI A",VLOOKUP(J136,'TER 2024'!$B$2:$E$45,4),IF('TENAGA KERJA'!H135="KATEGORI B",VLOOKUP(J136,'TER 2024'!$B$46:$E$85,4),IF('TENAGA KERJA'!H135="KATEGORI C",VLOOKUP(J136,'TER 2024'!$B$86:$E$126,4),0)))</f>
        <v>0</v>
      </c>
      <c r="L136" s="48">
        <f>IF('TENAGA KERJA'!F135="NPWP",'PPH PSL 21 - GROSS (MULAI 2024)'!J136*K136,IF('TENAGA KERJA'!F135="NON-NPWP",'PPH PSL 21 - GROSS (MULAI 2024)'!J136*K136*120%,0))</f>
        <v>0</v>
      </c>
    </row>
    <row r="137" spans="1:13">
      <c r="A137" s="45" t="str">
        <f>IF('TENAGA KERJA'!A136=0,"",'TENAGA KERJA'!A136)</f>
        <v/>
      </c>
      <c r="B137" s="24" t="str">
        <f>IF('TENAGA KERJA'!B136=0,"",'TENAGA KERJA'!B136)</f>
        <v/>
      </c>
      <c r="C137" s="43">
        <f>'TENAGA KERJA'!K136</f>
        <v>0</v>
      </c>
      <c r="D137" s="46">
        <f>'TENAGA KERJA'!L136</f>
        <v>0</v>
      </c>
      <c r="E137" s="46">
        <f>'TENAGA KERJA'!M136</f>
        <v>0</v>
      </c>
      <c r="F137" s="43">
        <f>'TENAGA KERJA'!N136</f>
        <v>0</v>
      </c>
      <c r="G137" s="43">
        <f>'BPJS TK'!D137</f>
        <v>0</v>
      </c>
      <c r="H137" s="43">
        <f>'BPJS TK'!E137</f>
        <v>0</v>
      </c>
      <c r="I137" s="46">
        <f>'BPJS KES'!D137</f>
        <v>0</v>
      </c>
      <c r="J137" s="43">
        <f t="shared" si="4"/>
        <v>0</v>
      </c>
      <c r="K137" s="47">
        <f>IF('TENAGA KERJA'!H136="KATEGORI A",VLOOKUP(J137,'TER 2024'!$B$2:$E$45,4),IF('TENAGA KERJA'!H136="KATEGORI B",VLOOKUP(J137,'TER 2024'!$B$46:$E$85,4),IF('TENAGA KERJA'!H136="KATEGORI C",VLOOKUP(J137,'TER 2024'!$B$86:$E$126,4),0)))</f>
        <v>0</v>
      </c>
      <c r="L137" s="48">
        <f>IF('TENAGA KERJA'!F136="NPWP",'PPH PSL 21 - GROSS (MULAI 2024)'!J137*K137,IF('TENAGA KERJA'!F136="NON-NPWP",'PPH PSL 21 - GROSS (MULAI 2024)'!J137*K137*120%,0))</f>
        <v>0</v>
      </c>
      <c r="M137" s="50">
        <v>2908443.4203995639</v>
      </c>
    </row>
    <row r="138" spans="1:13">
      <c r="A138" s="45" t="str">
        <f>IF('TENAGA KERJA'!A137=0,"",'TENAGA KERJA'!A137)</f>
        <v/>
      </c>
      <c r="B138" s="24" t="str">
        <f>IF('TENAGA KERJA'!B137=0,"",'TENAGA KERJA'!B137)</f>
        <v/>
      </c>
      <c r="C138" s="43">
        <f>'TENAGA KERJA'!K137</f>
        <v>0</v>
      </c>
      <c r="D138" s="46">
        <f>'TENAGA KERJA'!L137</f>
        <v>0</v>
      </c>
      <c r="E138" s="46">
        <f>'TENAGA KERJA'!M137</f>
        <v>0</v>
      </c>
      <c r="F138" s="43">
        <f>'TENAGA KERJA'!N137</f>
        <v>0</v>
      </c>
      <c r="G138" s="43">
        <f>'BPJS TK'!D138</f>
        <v>0</v>
      </c>
      <c r="H138" s="43">
        <f>'BPJS TK'!E138</f>
        <v>0</v>
      </c>
      <c r="I138" s="46">
        <f>'BPJS KES'!D138</f>
        <v>0</v>
      </c>
      <c r="J138" s="43">
        <f t="shared" si="4"/>
        <v>0</v>
      </c>
      <c r="K138" s="47">
        <f>IF('TENAGA KERJA'!H137="KATEGORI A",VLOOKUP(J138,'TER 2024'!$B$2:$E$45,4),IF('TENAGA KERJA'!H137="KATEGORI B",VLOOKUP(J138,'TER 2024'!$B$46:$E$85,4),IF('TENAGA KERJA'!H137="KATEGORI C",VLOOKUP(J138,'TER 2024'!$B$86:$E$126,4),0)))</f>
        <v>0</v>
      </c>
      <c r="L138" s="48">
        <f>IF('TENAGA KERJA'!F137="NPWP",'PPH PSL 21 - GROSS (MULAI 2024)'!J138*K138,IF('TENAGA KERJA'!F137="NON-NPWP",'PPH PSL 21 - GROSS (MULAI 2024)'!J138*K138*120%,0))</f>
        <v>0</v>
      </c>
      <c r="M138" s="52">
        <f>SUM(L102:L137)</f>
        <v>0</v>
      </c>
    </row>
    <row r="139" spans="1:13">
      <c r="A139" s="45" t="str">
        <f>IF('TENAGA KERJA'!A138=0,"",'TENAGA KERJA'!A138)</f>
        <v/>
      </c>
      <c r="B139" s="24" t="str">
        <f>IF('TENAGA KERJA'!B138=0,"",'TENAGA KERJA'!B138)</f>
        <v/>
      </c>
      <c r="C139" s="43">
        <f>'TENAGA KERJA'!K138</f>
        <v>0</v>
      </c>
      <c r="D139" s="46">
        <f>'TENAGA KERJA'!L138</f>
        <v>0</v>
      </c>
      <c r="E139" s="46">
        <f>'TENAGA KERJA'!M138</f>
        <v>0</v>
      </c>
      <c r="F139" s="43">
        <f>'TENAGA KERJA'!N138</f>
        <v>0</v>
      </c>
      <c r="G139" s="43">
        <f>'BPJS TK'!D139</f>
        <v>0</v>
      </c>
      <c r="H139" s="43">
        <f>'BPJS TK'!E139</f>
        <v>0</v>
      </c>
      <c r="I139" s="46">
        <f>'BPJS KES'!D139</f>
        <v>0</v>
      </c>
      <c r="J139" s="43">
        <f t="shared" si="4"/>
        <v>0</v>
      </c>
      <c r="K139" s="47">
        <f>IF('TENAGA KERJA'!H138="KATEGORI A",VLOOKUP(J139,'TER 2024'!$B$2:$E$45,4),IF('TENAGA KERJA'!H138="KATEGORI B",VLOOKUP(J139,'TER 2024'!$B$46:$E$85,4),IF('TENAGA KERJA'!H138="KATEGORI C",VLOOKUP(J139,'TER 2024'!$B$86:$E$126,4),0)))</f>
        <v>0</v>
      </c>
      <c r="L139" s="48">
        <f>IF('TENAGA KERJA'!F138="NPWP",'PPH PSL 21 - GROSS (MULAI 2024)'!J139*K139,IF('TENAGA KERJA'!F138="NON-NPWP",'PPH PSL 21 - GROSS (MULAI 2024)'!J139*K139*120%,0))</f>
        <v>0</v>
      </c>
    </row>
    <row r="140" spans="1:13">
      <c r="A140" s="45" t="str">
        <f>IF('TENAGA KERJA'!A139=0,"",'TENAGA KERJA'!A139)</f>
        <v/>
      </c>
      <c r="B140" s="24" t="str">
        <f>IF('TENAGA KERJA'!B139=0,"",'TENAGA KERJA'!B139)</f>
        <v/>
      </c>
      <c r="C140" s="43">
        <f>'TENAGA KERJA'!K139</f>
        <v>0</v>
      </c>
      <c r="D140" s="46">
        <f>'TENAGA KERJA'!L139</f>
        <v>0</v>
      </c>
      <c r="E140" s="46">
        <f>'TENAGA KERJA'!M139</f>
        <v>0</v>
      </c>
      <c r="F140" s="43">
        <f>'TENAGA KERJA'!N139</f>
        <v>0</v>
      </c>
      <c r="G140" s="43">
        <f>'BPJS TK'!D140</f>
        <v>0</v>
      </c>
      <c r="H140" s="43">
        <f>'BPJS TK'!E140</f>
        <v>0</v>
      </c>
      <c r="I140" s="46">
        <f>'BPJS KES'!D140</f>
        <v>0</v>
      </c>
      <c r="J140" s="43">
        <f t="shared" si="4"/>
        <v>0</v>
      </c>
      <c r="K140" s="47">
        <f>IF('TENAGA KERJA'!H139="KATEGORI A",VLOOKUP(J140,'TER 2024'!$B$2:$E$45,4),IF('TENAGA KERJA'!H139="KATEGORI B",VLOOKUP(J140,'TER 2024'!$B$46:$E$85,4),IF('TENAGA KERJA'!H139="KATEGORI C",VLOOKUP(J140,'TER 2024'!$B$86:$E$126,4),0)))</f>
        <v>0</v>
      </c>
      <c r="L140" s="48">
        <f>IF('TENAGA KERJA'!F139="NPWP",'PPH PSL 21 - GROSS (MULAI 2024)'!J140*K140,IF('TENAGA KERJA'!F139="NON-NPWP",'PPH PSL 21 - GROSS (MULAI 2024)'!J140*K140*120%,0))</f>
        <v>0</v>
      </c>
    </row>
    <row r="141" spans="1:13">
      <c r="A141" s="45" t="str">
        <f>IF('TENAGA KERJA'!A140=0,"",'TENAGA KERJA'!A140)</f>
        <v/>
      </c>
      <c r="B141" s="24" t="str">
        <f>IF('TENAGA KERJA'!B140=0,"",'TENAGA KERJA'!B140)</f>
        <v/>
      </c>
      <c r="C141" s="43">
        <f>'TENAGA KERJA'!K140</f>
        <v>0</v>
      </c>
      <c r="D141" s="46">
        <f>'TENAGA KERJA'!L140</f>
        <v>0</v>
      </c>
      <c r="E141" s="46">
        <f>'TENAGA KERJA'!M140</f>
        <v>0</v>
      </c>
      <c r="F141" s="43">
        <f>'TENAGA KERJA'!N140</f>
        <v>0</v>
      </c>
      <c r="G141" s="43">
        <f>'BPJS TK'!D141</f>
        <v>0</v>
      </c>
      <c r="H141" s="43">
        <f>'BPJS TK'!E141</f>
        <v>0</v>
      </c>
      <c r="I141" s="46">
        <f>'BPJS KES'!D141</f>
        <v>0</v>
      </c>
      <c r="J141" s="43">
        <f t="shared" si="4"/>
        <v>0</v>
      </c>
      <c r="K141" s="47">
        <f>IF('TENAGA KERJA'!H140="KATEGORI A",VLOOKUP(J141,'TER 2024'!$B$2:$E$45,4),IF('TENAGA KERJA'!H140="KATEGORI B",VLOOKUP(J141,'TER 2024'!$B$46:$E$85,4),IF('TENAGA KERJA'!H140="KATEGORI C",VLOOKUP(J141,'TER 2024'!$B$86:$E$126,4),0)))</f>
        <v>0</v>
      </c>
      <c r="L141" s="48">
        <f>IF('TENAGA KERJA'!F140="NPWP",'PPH PSL 21 - GROSS (MULAI 2024)'!J141*K141,IF('TENAGA KERJA'!F140="NON-NPWP",'PPH PSL 21 - GROSS (MULAI 2024)'!J141*K141*120%,0))</f>
        <v>0</v>
      </c>
    </row>
    <row r="142" spans="1:13">
      <c r="A142" s="45" t="str">
        <f>IF('TENAGA KERJA'!A141=0,"",'TENAGA KERJA'!A141)</f>
        <v/>
      </c>
      <c r="B142" s="24" t="str">
        <f>IF('TENAGA KERJA'!B141=0,"",'TENAGA KERJA'!B141)</f>
        <v/>
      </c>
      <c r="C142" s="43">
        <f>'TENAGA KERJA'!K141</f>
        <v>0</v>
      </c>
      <c r="D142" s="46">
        <f>'TENAGA KERJA'!L141</f>
        <v>0</v>
      </c>
      <c r="E142" s="46">
        <f>'TENAGA KERJA'!M141</f>
        <v>0</v>
      </c>
      <c r="F142" s="43">
        <f>'TENAGA KERJA'!N141</f>
        <v>0</v>
      </c>
      <c r="G142" s="43">
        <f>'BPJS TK'!D142</f>
        <v>0</v>
      </c>
      <c r="H142" s="43">
        <f>'BPJS TK'!E142</f>
        <v>0</v>
      </c>
      <c r="I142" s="46">
        <f>'BPJS KES'!D142</f>
        <v>0</v>
      </c>
      <c r="J142" s="43">
        <f t="shared" si="4"/>
        <v>0</v>
      </c>
      <c r="K142" s="47">
        <f>IF('TENAGA KERJA'!H141="KATEGORI A",VLOOKUP(J142,'TER 2024'!$B$2:$E$45,4),IF('TENAGA KERJA'!H141="KATEGORI B",VLOOKUP(J142,'TER 2024'!$B$46:$E$85,4),IF('TENAGA KERJA'!H141="KATEGORI C",VLOOKUP(J142,'TER 2024'!$B$86:$E$126,4),0)))</f>
        <v>0</v>
      </c>
      <c r="L142" s="48">
        <f>IF('TENAGA KERJA'!F141="NPWP",'PPH PSL 21 - GROSS (MULAI 2024)'!J142*K142,IF('TENAGA KERJA'!F141="NON-NPWP",'PPH PSL 21 - GROSS (MULAI 2024)'!J142*K142*120%,0))</f>
        <v>0</v>
      </c>
    </row>
    <row r="143" spans="1:13">
      <c r="A143" s="45" t="str">
        <f>IF('TENAGA KERJA'!A142=0,"",'TENAGA KERJA'!A142)</f>
        <v/>
      </c>
      <c r="B143" s="24" t="str">
        <f>IF('TENAGA KERJA'!B142=0,"",'TENAGA KERJA'!B142)</f>
        <v/>
      </c>
      <c r="C143" s="43">
        <f>'TENAGA KERJA'!K142</f>
        <v>0</v>
      </c>
      <c r="D143" s="46">
        <f>'TENAGA KERJA'!L142</f>
        <v>0</v>
      </c>
      <c r="E143" s="46">
        <f>'TENAGA KERJA'!M142</f>
        <v>0</v>
      </c>
      <c r="F143" s="43">
        <f>'TENAGA KERJA'!N142</f>
        <v>0</v>
      </c>
      <c r="G143" s="43">
        <f>'BPJS TK'!D143</f>
        <v>0</v>
      </c>
      <c r="H143" s="43">
        <f>'BPJS TK'!E143</f>
        <v>0</v>
      </c>
      <c r="I143" s="46">
        <f>'BPJS KES'!D143</f>
        <v>0</v>
      </c>
      <c r="J143" s="43">
        <f t="shared" si="4"/>
        <v>0</v>
      </c>
      <c r="K143" s="47">
        <f>IF('TENAGA KERJA'!H142="KATEGORI A",VLOOKUP(J143,'TER 2024'!$B$2:$E$45,4),IF('TENAGA KERJA'!H142="KATEGORI B",VLOOKUP(J143,'TER 2024'!$B$46:$E$85,4),IF('TENAGA KERJA'!H142="KATEGORI C",VLOOKUP(J143,'TER 2024'!$B$86:$E$126,4),0)))</f>
        <v>0</v>
      </c>
      <c r="L143" s="48">
        <f>IF('TENAGA KERJA'!F142="NPWP",'PPH PSL 21 - GROSS (MULAI 2024)'!J143*K143,IF('TENAGA KERJA'!F142="NON-NPWP",'PPH PSL 21 - GROSS (MULAI 2024)'!J143*K143*120%,0))</f>
        <v>0</v>
      </c>
    </row>
    <row r="144" spans="1:13">
      <c r="A144" s="45" t="str">
        <f>IF('TENAGA KERJA'!A143=0,"",'TENAGA KERJA'!A143)</f>
        <v/>
      </c>
      <c r="B144" s="24" t="str">
        <f>IF('TENAGA KERJA'!B143=0,"",'TENAGA KERJA'!B143)</f>
        <v/>
      </c>
      <c r="C144" s="43">
        <f>'TENAGA KERJA'!K143</f>
        <v>0</v>
      </c>
      <c r="D144" s="46">
        <f>'TENAGA KERJA'!L143</f>
        <v>0</v>
      </c>
      <c r="E144" s="46">
        <f>'TENAGA KERJA'!M143</f>
        <v>0</v>
      </c>
      <c r="F144" s="43">
        <f>'TENAGA KERJA'!N143</f>
        <v>0</v>
      </c>
      <c r="G144" s="43">
        <f>'BPJS TK'!D144</f>
        <v>0</v>
      </c>
      <c r="H144" s="43">
        <f>'BPJS TK'!E144</f>
        <v>0</v>
      </c>
      <c r="I144" s="46">
        <f>'BPJS KES'!D144</f>
        <v>0</v>
      </c>
      <c r="J144" s="43">
        <f t="shared" si="4"/>
        <v>0</v>
      </c>
      <c r="K144" s="47">
        <f>IF('TENAGA KERJA'!H143="KATEGORI A",VLOOKUP(J144,'TER 2024'!$B$2:$E$45,4),IF('TENAGA KERJA'!H143="KATEGORI B",VLOOKUP(J144,'TER 2024'!$B$46:$E$85,4),IF('TENAGA KERJA'!H143="KATEGORI C",VLOOKUP(J144,'TER 2024'!$B$86:$E$126,4),0)))</f>
        <v>0</v>
      </c>
      <c r="L144" s="48">
        <f>IF('TENAGA KERJA'!F143="NPWP",'PPH PSL 21 - GROSS (MULAI 2024)'!J144*K144,IF('TENAGA KERJA'!F143="NON-NPWP",'PPH PSL 21 - GROSS (MULAI 2024)'!J144*K144*120%,0))</f>
        <v>0</v>
      </c>
    </row>
    <row r="145" spans="1:12">
      <c r="A145" s="45" t="str">
        <f>IF('TENAGA KERJA'!A144=0,"",'TENAGA KERJA'!A144)</f>
        <v/>
      </c>
      <c r="B145" s="24" t="str">
        <f>IF('TENAGA KERJA'!B144=0,"",'TENAGA KERJA'!B144)</f>
        <v/>
      </c>
      <c r="C145" s="43">
        <f>'TENAGA KERJA'!K144</f>
        <v>0</v>
      </c>
      <c r="D145" s="46">
        <f>'TENAGA KERJA'!L144</f>
        <v>0</v>
      </c>
      <c r="E145" s="46">
        <f>'TENAGA KERJA'!M144</f>
        <v>0</v>
      </c>
      <c r="F145" s="43">
        <f>'TENAGA KERJA'!N144</f>
        <v>0</v>
      </c>
      <c r="G145" s="43">
        <f>'BPJS TK'!D145</f>
        <v>0</v>
      </c>
      <c r="H145" s="43">
        <f>'BPJS TK'!E145</f>
        <v>0</v>
      </c>
      <c r="I145" s="46">
        <f>'BPJS KES'!D145</f>
        <v>0</v>
      </c>
      <c r="J145" s="43">
        <f t="shared" si="4"/>
        <v>0</v>
      </c>
      <c r="K145" s="47">
        <f>IF('TENAGA KERJA'!H144="KATEGORI A",VLOOKUP(J145,'TER 2024'!$B$2:$E$45,4),IF('TENAGA KERJA'!H144="KATEGORI B",VLOOKUP(J145,'TER 2024'!$B$46:$E$85,4),IF('TENAGA KERJA'!H144="KATEGORI C",VLOOKUP(J145,'TER 2024'!$B$86:$E$126,4),0)))</f>
        <v>0</v>
      </c>
      <c r="L145" s="48">
        <f>IF('TENAGA KERJA'!F144="NPWP",'PPH PSL 21 - GROSS (MULAI 2024)'!J145*K145,IF('TENAGA KERJA'!F144="NON-NPWP",'PPH PSL 21 - GROSS (MULAI 2024)'!J145*K145*120%,0))</f>
        <v>0</v>
      </c>
    </row>
    <row r="146" spans="1:12">
      <c r="A146" s="45" t="str">
        <f>IF('TENAGA KERJA'!A145=0,"",'TENAGA KERJA'!A145)</f>
        <v/>
      </c>
      <c r="B146" s="24" t="str">
        <f>IF('TENAGA KERJA'!B145=0,"",'TENAGA KERJA'!B145)</f>
        <v/>
      </c>
      <c r="C146" s="43">
        <f>'TENAGA KERJA'!K145</f>
        <v>0</v>
      </c>
      <c r="D146" s="46">
        <f>'TENAGA KERJA'!L145</f>
        <v>0</v>
      </c>
      <c r="E146" s="46">
        <f>'TENAGA KERJA'!M145</f>
        <v>0</v>
      </c>
      <c r="F146" s="43">
        <f>'TENAGA KERJA'!N145</f>
        <v>0</v>
      </c>
      <c r="G146" s="43">
        <f>'BPJS TK'!D146</f>
        <v>0</v>
      </c>
      <c r="H146" s="43">
        <f>'BPJS TK'!E146</f>
        <v>0</v>
      </c>
      <c r="I146" s="46">
        <f>'BPJS KES'!D146</f>
        <v>0</v>
      </c>
      <c r="J146" s="43">
        <f t="shared" si="4"/>
        <v>0</v>
      </c>
      <c r="K146" s="47">
        <f>IF('TENAGA KERJA'!H145="KATEGORI A",VLOOKUP(J146,'TER 2024'!$B$2:$E$45,4),IF('TENAGA KERJA'!H145="KATEGORI B",VLOOKUP(J146,'TER 2024'!$B$46:$E$85,4),IF('TENAGA KERJA'!H145="KATEGORI C",VLOOKUP(J146,'TER 2024'!$B$86:$E$126,4),0)))</f>
        <v>0</v>
      </c>
      <c r="L146" s="48">
        <f>IF('TENAGA KERJA'!F145="NPWP",'PPH PSL 21 - GROSS (MULAI 2024)'!J146*K146,IF('TENAGA KERJA'!F145="NON-NPWP",'PPH PSL 21 - GROSS (MULAI 2024)'!J146*K146*120%,0))</f>
        <v>0</v>
      </c>
    </row>
    <row r="147" spans="1:12">
      <c r="A147" s="45" t="str">
        <f>IF('TENAGA KERJA'!A146=0,"",'TENAGA KERJA'!A146)</f>
        <v/>
      </c>
      <c r="B147" s="24" t="str">
        <f>IF('TENAGA KERJA'!B146=0,"",'TENAGA KERJA'!B146)</f>
        <v/>
      </c>
      <c r="C147" s="43">
        <f>'TENAGA KERJA'!K146</f>
        <v>0</v>
      </c>
      <c r="D147" s="46">
        <f>'TENAGA KERJA'!L146</f>
        <v>0</v>
      </c>
      <c r="E147" s="46">
        <f>'TENAGA KERJA'!M146</f>
        <v>0</v>
      </c>
      <c r="F147" s="43">
        <f>'TENAGA KERJA'!N146</f>
        <v>0</v>
      </c>
      <c r="G147" s="43">
        <f>'BPJS TK'!D147</f>
        <v>0</v>
      </c>
      <c r="H147" s="43">
        <f>'BPJS TK'!E147</f>
        <v>0</v>
      </c>
      <c r="I147" s="46">
        <f>'BPJS KES'!D147</f>
        <v>0</v>
      </c>
      <c r="J147" s="43">
        <f t="shared" si="4"/>
        <v>0</v>
      </c>
      <c r="K147" s="47">
        <f>IF('TENAGA KERJA'!H146="KATEGORI A",VLOOKUP(J147,'TER 2024'!$B$2:$E$45,4),IF('TENAGA KERJA'!H146="KATEGORI B",VLOOKUP(J147,'TER 2024'!$B$46:$E$85,4),IF('TENAGA KERJA'!H146="KATEGORI C",VLOOKUP(J147,'TER 2024'!$B$86:$E$126,4),0)))</f>
        <v>0</v>
      </c>
      <c r="L147" s="48">
        <f>IF('TENAGA KERJA'!F146="NPWP",'PPH PSL 21 - GROSS (MULAI 2024)'!J147*K147,IF('TENAGA KERJA'!F146="NON-NPWP",'PPH PSL 21 - GROSS (MULAI 2024)'!J147*K147*120%,0))</f>
        <v>0</v>
      </c>
    </row>
    <row r="148" spans="1:12">
      <c r="A148" s="45" t="str">
        <f>IF('TENAGA KERJA'!A147=0,"",'TENAGA KERJA'!A147)</f>
        <v/>
      </c>
      <c r="B148" s="24" t="str">
        <f>IF('TENAGA KERJA'!B147=0,"",'TENAGA KERJA'!B147)</f>
        <v/>
      </c>
      <c r="C148" s="43">
        <f>'TENAGA KERJA'!K147</f>
        <v>0</v>
      </c>
      <c r="D148" s="46">
        <f>'TENAGA KERJA'!L147</f>
        <v>0</v>
      </c>
      <c r="E148" s="46">
        <f>'TENAGA KERJA'!M147</f>
        <v>0</v>
      </c>
      <c r="F148" s="43">
        <f>'TENAGA KERJA'!N147</f>
        <v>0</v>
      </c>
      <c r="G148" s="43">
        <f>'BPJS TK'!D148</f>
        <v>0</v>
      </c>
      <c r="H148" s="43">
        <f>'BPJS TK'!E148</f>
        <v>0</v>
      </c>
      <c r="I148" s="46">
        <f>'BPJS KES'!D148</f>
        <v>0</v>
      </c>
      <c r="J148" s="43">
        <f t="shared" si="4"/>
        <v>0</v>
      </c>
      <c r="K148" s="47">
        <f>IF('TENAGA KERJA'!H147="KATEGORI A",VLOOKUP(J148,'TER 2024'!$B$2:$E$45,4),IF('TENAGA KERJA'!H147="KATEGORI B",VLOOKUP(J148,'TER 2024'!$B$46:$E$85,4),IF('TENAGA KERJA'!H147="KATEGORI C",VLOOKUP(J148,'TER 2024'!$B$86:$E$126,4),0)))</f>
        <v>0</v>
      </c>
      <c r="L148" s="48">
        <f>IF('TENAGA KERJA'!F147="NPWP",'PPH PSL 21 - GROSS (MULAI 2024)'!J148*K148,IF('TENAGA KERJA'!F147="NON-NPWP",'PPH PSL 21 - GROSS (MULAI 2024)'!J148*K148*120%,0))</f>
        <v>0</v>
      </c>
    </row>
    <row r="149" spans="1:12">
      <c r="A149" s="45" t="str">
        <f>IF('TENAGA KERJA'!A148=0,"",'TENAGA KERJA'!A148)</f>
        <v/>
      </c>
      <c r="B149" s="24" t="str">
        <f>IF('TENAGA KERJA'!B148=0,"",'TENAGA KERJA'!B148)</f>
        <v/>
      </c>
      <c r="C149" s="43">
        <f>'TENAGA KERJA'!K148</f>
        <v>0</v>
      </c>
      <c r="D149" s="46">
        <f>'TENAGA KERJA'!L148</f>
        <v>0</v>
      </c>
      <c r="E149" s="46">
        <f>'TENAGA KERJA'!M148</f>
        <v>0</v>
      </c>
      <c r="F149" s="43">
        <f>'TENAGA KERJA'!N148</f>
        <v>0</v>
      </c>
      <c r="G149" s="43">
        <f>'BPJS TK'!D149</f>
        <v>0</v>
      </c>
      <c r="H149" s="43">
        <f>'BPJS TK'!E149</f>
        <v>0</v>
      </c>
      <c r="I149" s="46">
        <f>'BPJS KES'!D149</f>
        <v>0</v>
      </c>
      <c r="J149" s="43">
        <f t="shared" si="4"/>
        <v>0</v>
      </c>
      <c r="K149" s="47">
        <f>IF('TENAGA KERJA'!H148="KATEGORI A",VLOOKUP(J149,'TER 2024'!$B$2:$E$45,4),IF('TENAGA KERJA'!H148="KATEGORI B",VLOOKUP(J149,'TER 2024'!$B$46:$E$85,4),IF('TENAGA KERJA'!H148="KATEGORI C",VLOOKUP(J149,'TER 2024'!$B$86:$E$126,4),0)))</f>
        <v>0</v>
      </c>
      <c r="L149" s="48">
        <f>IF('TENAGA KERJA'!F148="NPWP",'PPH PSL 21 - GROSS (MULAI 2024)'!J149*K149,IF('TENAGA KERJA'!F148="NON-NPWP",'PPH PSL 21 - GROSS (MULAI 2024)'!J149*K149*120%,0))</f>
        <v>0</v>
      </c>
    </row>
    <row r="150" spans="1:12">
      <c r="A150" s="45" t="str">
        <f>IF('TENAGA KERJA'!A149=0,"",'TENAGA KERJA'!A149)</f>
        <v/>
      </c>
      <c r="B150" s="24" t="str">
        <f>IF('TENAGA KERJA'!B149=0,"",'TENAGA KERJA'!B149)</f>
        <v/>
      </c>
      <c r="C150" s="43">
        <f>'TENAGA KERJA'!K149</f>
        <v>0</v>
      </c>
      <c r="D150" s="46">
        <f>'TENAGA KERJA'!L149</f>
        <v>0</v>
      </c>
      <c r="E150" s="46">
        <f>'TENAGA KERJA'!M149</f>
        <v>0</v>
      </c>
      <c r="F150" s="43">
        <f>'TENAGA KERJA'!N149</f>
        <v>0</v>
      </c>
      <c r="G150" s="43">
        <f>'BPJS TK'!D150</f>
        <v>0</v>
      </c>
      <c r="H150" s="43">
        <f>'BPJS TK'!E150</f>
        <v>0</v>
      </c>
      <c r="I150" s="46">
        <f>'BPJS KES'!D150</f>
        <v>0</v>
      </c>
      <c r="J150" s="43">
        <f t="shared" si="4"/>
        <v>0</v>
      </c>
      <c r="K150" s="47">
        <f>IF('TENAGA KERJA'!H149="KATEGORI A",VLOOKUP(J150,'TER 2024'!$B$2:$E$45,4),IF('TENAGA KERJA'!H149="KATEGORI B",VLOOKUP(J150,'TER 2024'!$B$46:$E$85,4),IF('TENAGA KERJA'!H149="KATEGORI C",VLOOKUP(J150,'TER 2024'!$B$86:$E$126,4),0)))</f>
        <v>0</v>
      </c>
      <c r="L150" s="48">
        <f>IF('TENAGA KERJA'!F149="NPWP",'PPH PSL 21 - GROSS (MULAI 2024)'!J150*K150,IF('TENAGA KERJA'!F149="NON-NPWP",'PPH PSL 21 - GROSS (MULAI 2024)'!J150*K150*120%,0))</f>
        <v>0</v>
      </c>
    </row>
    <row r="151" spans="1:12">
      <c r="A151" s="45" t="str">
        <f>IF('TENAGA KERJA'!A150=0,"",'TENAGA KERJA'!A150)</f>
        <v/>
      </c>
      <c r="B151" s="24" t="str">
        <f>IF('TENAGA KERJA'!B150=0,"",'TENAGA KERJA'!B150)</f>
        <v/>
      </c>
      <c r="C151" s="43">
        <f>'TENAGA KERJA'!K150</f>
        <v>0</v>
      </c>
      <c r="D151" s="46">
        <f>'TENAGA KERJA'!L150</f>
        <v>0</v>
      </c>
      <c r="E151" s="46">
        <f>'TENAGA KERJA'!M150</f>
        <v>0</v>
      </c>
      <c r="F151" s="43">
        <f>'TENAGA KERJA'!N150</f>
        <v>0</v>
      </c>
      <c r="G151" s="43">
        <f>'BPJS TK'!D151</f>
        <v>0</v>
      </c>
      <c r="H151" s="43">
        <f>'BPJS TK'!E151</f>
        <v>0</v>
      </c>
      <c r="I151" s="46">
        <f>'BPJS KES'!D151</f>
        <v>0</v>
      </c>
      <c r="J151" s="43">
        <f t="shared" si="4"/>
        <v>0</v>
      </c>
      <c r="K151" s="47">
        <f>IF('TENAGA KERJA'!H150="KATEGORI A",VLOOKUP(J151,'TER 2024'!$B$2:$E$45,4),IF('TENAGA KERJA'!H150="KATEGORI B",VLOOKUP(J151,'TER 2024'!$B$46:$E$85,4),IF('TENAGA KERJA'!H150="KATEGORI C",VLOOKUP(J151,'TER 2024'!$B$86:$E$126,4),0)))</f>
        <v>0</v>
      </c>
      <c r="L151" s="48">
        <f>IF('TENAGA KERJA'!F150="NPWP",'PPH PSL 21 - GROSS (MULAI 2024)'!J151*K151,IF('TENAGA KERJA'!F150="NON-NPWP",'PPH PSL 21 - GROSS (MULAI 2024)'!J151*K151*120%,0))</f>
        <v>0</v>
      </c>
    </row>
    <row r="152" spans="1:12">
      <c r="A152" s="45" t="str">
        <f>IF('TENAGA KERJA'!A151=0,"",'TENAGA KERJA'!A151)</f>
        <v/>
      </c>
      <c r="B152" s="24" t="str">
        <f>IF('TENAGA KERJA'!B151=0,"",'TENAGA KERJA'!B151)</f>
        <v/>
      </c>
      <c r="C152" s="43">
        <f>'TENAGA KERJA'!K151</f>
        <v>0</v>
      </c>
      <c r="D152" s="46">
        <f>'TENAGA KERJA'!L151</f>
        <v>0</v>
      </c>
      <c r="E152" s="46">
        <f>'TENAGA KERJA'!M151</f>
        <v>0</v>
      </c>
      <c r="F152" s="43">
        <f>'TENAGA KERJA'!N151</f>
        <v>0</v>
      </c>
      <c r="G152" s="43">
        <f>'BPJS TK'!D152</f>
        <v>0</v>
      </c>
      <c r="H152" s="43">
        <f>'BPJS TK'!E152</f>
        <v>0</v>
      </c>
      <c r="I152" s="46">
        <f>'BPJS KES'!D152</f>
        <v>0</v>
      </c>
      <c r="J152" s="43">
        <f t="shared" si="4"/>
        <v>0</v>
      </c>
      <c r="K152" s="47">
        <f>IF('TENAGA KERJA'!H151="KATEGORI A",VLOOKUP(J152,'TER 2024'!$B$2:$E$45,4),IF('TENAGA KERJA'!H151="KATEGORI B",VLOOKUP(J152,'TER 2024'!$B$46:$E$85,4),IF('TENAGA KERJA'!H151="KATEGORI C",VLOOKUP(J152,'TER 2024'!$B$86:$E$126,4),0)))</f>
        <v>0</v>
      </c>
      <c r="L152" s="48">
        <f>IF('TENAGA KERJA'!F151="NPWP",'PPH PSL 21 - GROSS (MULAI 2024)'!J152*K152,IF('TENAGA KERJA'!F151="NON-NPWP",'PPH PSL 21 - GROSS (MULAI 2024)'!J152*K152*120%,0))</f>
        <v>0</v>
      </c>
    </row>
    <row r="153" spans="1:12">
      <c r="A153" s="45" t="str">
        <f>IF('TENAGA KERJA'!A152=0,"",'TENAGA KERJA'!A152)</f>
        <v/>
      </c>
      <c r="B153" s="24" t="str">
        <f>IF('TENAGA KERJA'!B152=0,"",'TENAGA KERJA'!B152)</f>
        <v/>
      </c>
      <c r="C153" s="43">
        <f>'TENAGA KERJA'!K152</f>
        <v>0</v>
      </c>
      <c r="D153" s="46">
        <f>'TENAGA KERJA'!L152</f>
        <v>0</v>
      </c>
      <c r="E153" s="46">
        <f>'TENAGA KERJA'!M152</f>
        <v>0</v>
      </c>
      <c r="F153" s="43">
        <f>'TENAGA KERJA'!N152</f>
        <v>0</v>
      </c>
      <c r="G153" s="43">
        <f>'BPJS TK'!D153</f>
        <v>0</v>
      </c>
      <c r="H153" s="43">
        <f>'BPJS TK'!E153</f>
        <v>0</v>
      </c>
      <c r="I153" s="46">
        <f>'BPJS KES'!D153</f>
        <v>0</v>
      </c>
      <c r="J153" s="43">
        <f t="shared" si="4"/>
        <v>0</v>
      </c>
      <c r="K153" s="47">
        <f>IF('TENAGA KERJA'!H152="KATEGORI A",VLOOKUP(J153,'TER 2024'!$B$2:$E$45,4),IF('TENAGA KERJA'!H152="KATEGORI B",VLOOKUP(J153,'TER 2024'!$B$46:$E$85,4),IF('TENAGA KERJA'!H152="KATEGORI C",VLOOKUP(J153,'TER 2024'!$B$86:$E$126,4),0)))</f>
        <v>0</v>
      </c>
      <c r="L153" s="48">
        <f>IF('TENAGA KERJA'!F152="NPWP",'PPH PSL 21 - GROSS (MULAI 2024)'!J153*K153,IF('TENAGA KERJA'!F152="NON-NPWP",'PPH PSL 21 - GROSS (MULAI 2024)'!J153*K153*120%,0))</f>
        <v>0</v>
      </c>
    </row>
    <row r="154" spans="1:12">
      <c r="A154" s="45" t="str">
        <f>IF('TENAGA KERJA'!A153=0,"",'TENAGA KERJA'!A153)</f>
        <v/>
      </c>
      <c r="B154" s="24" t="str">
        <f>IF('TENAGA KERJA'!B153=0,"",'TENAGA KERJA'!B153)</f>
        <v/>
      </c>
      <c r="C154" s="43">
        <f>'TENAGA KERJA'!K153</f>
        <v>0</v>
      </c>
      <c r="D154" s="46">
        <f>'TENAGA KERJA'!L153</f>
        <v>0</v>
      </c>
      <c r="E154" s="46">
        <f>'TENAGA KERJA'!M153</f>
        <v>0</v>
      </c>
      <c r="F154" s="43">
        <f>'TENAGA KERJA'!N153</f>
        <v>0</v>
      </c>
      <c r="G154" s="43">
        <f>'BPJS TK'!D154</f>
        <v>0</v>
      </c>
      <c r="H154" s="43">
        <f>'BPJS TK'!E154</f>
        <v>0</v>
      </c>
      <c r="I154" s="46">
        <f>'BPJS KES'!D154</f>
        <v>0</v>
      </c>
      <c r="J154" s="43">
        <f t="shared" si="4"/>
        <v>0</v>
      </c>
      <c r="K154" s="47">
        <f>IF('TENAGA KERJA'!H153="KATEGORI A",VLOOKUP(J154,'TER 2024'!$B$2:$E$45,4),IF('TENAGA KERJA'!H153="KATEGORI B",VLOOKUP(J154,'TER 2024'!$B$46:$E$85,4),IF('TENAGA KERJA'!H153="KATEGORI C",VLOOKUP(J154,'TER 2024'!$B$86:$E$126,4),0)))</f>
        <v>0</v>
      </c>
      <c r="L154" s="48">
        <f>IF('TENAGA KERJA'!F153="NPWP",'PPH PSL 21 - GROSS (MULAI 2024)'!J154*K154,IF('TENAGA KERJA'!F153="NON-NPWP",'PPH PSL 21 - GROSS (MULAI 2024)'!J154*K154*120%,0))</f>
        <v>0</v>
      </c>
    </row>
    <row r="155" spans="1:12">
      <c r="A155" s="45" t="str">
        <f>IF('TENAGA KERJA'!A154=0,"",'TENAGA KERJA'!A154)</f>
        <v/>
      </c>
      <c r="B155" s="24" t="str">
        <f>IF('TENAGA KERJA'!B154=0,"",'TENAGA KERJA'!B154)</f>
        <v/>
      </c>
      <c r="C155" s="43">
        <f>'TENAGA KERJA'!K154</f>
        <v>0</v>
      </c>
      <c r="D155" s="46">
        <f>'TENAGA KERJA'!L154</f>
        <v>0</v>
      </c>
      <c r="E155" s="46">
        <f>'TENAGA KERJA'!M154</f>
        <v>0</v>
      </c>
      <c r="F155" s="43">
        <f>'TENAGA KERJA'!N154</f>
        <v>0</v>
      </c>
      <c r="G155" s="43">
        <f>'BPJS TK'!D155</f>
        <v>16832.899300000001</v>
      </c>
      <c r="H155" s="43">
        <f>'BPJS TK'!E155</f>
        <v>5674.0110000000004</v>
      </c>
      <c r="I155" s="46">
        <f>'BPJS KES'!D155</f>
        <v>175653.48</v>
      </c>
      <c r="J155" s="43">
        <f t="shared" si="4"/>
        <v>198160.39030000003</v>
      </c>
      <c r="K155" s="47">
        <f>IF('TENAGA KERJA'!H154="KATEGORI A",VLOOKUP(J155,'TER 2024'!$B$2:$E$45,4),IF('TENAGA KERJA'!H154="KATEGORI B",VLOOKUP(J155,'TER 2024'!$B$46:$E$85,4),IF('TENAGA KERJA'!H154="KATEGORI C",VLOOKUP(J155,'TER 2024'!$B$86:$E$126,4),0)))</f>
        <v>0</v>
      </c>
      <c r="L155" s="48">
        <f>IF('TENAGA KERJA'!F154="NPWP",'PPH PSL 21 - GROSS (MULAI 2024)'!J155*K155,IF('TENAGA KERJA'!F154="NON-NPWP",'PPH PSL 21 - GROSS (MULAI 2024)'!J155*K155*120%,0))</f>
        <v>0</v>
      </c>
    </row>
    <row r="156" spans="1:12">
      <c r="A156" s="45" t="str">
        <f>IF('TENAGA KERJA'!A155=0,"",'TENAGA KERJA'!A155)</f>
        <v/>
      </c>
      <c r="B156" s="24" t="str">
        <f>IF('TENAGA KERJA'!B155=0,"",'TENAGA KERJA'!B155)</f>
        <v/>
      </c>
      <c r="C156" s="43">
        <f>'TENAGA KERJA'!K155</f>
        <v>0</v>
      </c>
      <c r="D156" s="46">
        <f>'TENAGA KERJA'!L155</f>
        <v>0</v>
      </c>
      <c r="E156" s="46">
        <f>'TENAGA KERJA'!M155</f>
        <v>0</v>
      </c>
      <c r="F156" s="43">
        <f>'TENAGA KERJA'!N155</f>
        <v>0</v>
      </c>
      <c r="G156" s="43">
        <f>'BPJS TK'!D156</f>
        <v>0</v>
      </c>
      <c r="H156" s="43">
        <f>'BPJS TK'!E156</f>
        <v>0</v>
      </c>
      <c r="I156" s="46">
        <f>'BPJS KES'!D156</f>
        <v>0</v>
      </c>
      <c r="J156" s="43">
        <f t="shared" si="4"/>
        <v>0</v>
      </c>
      <c r="K156" s="47">
        <f>IF('TENAGA KERJA'!H155="KATEGORI A",VLOOKUP(J156,'TER 2024'!$B$2:$E$45,4),IF('TENAGA KERJA'!H155="KATEGORI B",VLOOKUP(J156,'TER 2024'!$B$46:$E$85,4),IF('TENAGA KERJA'!H155="KATEGORI C",VLOOKUP(J156,'TER 2024'!$B$86:$E$126,4),0)))</f>
        <v>0</v>
      </c>
      <c r="L156" s="48">
        <f>IF('TENAGA KERJA'!F155="NPWP",'PPH PSL 21 - GROSS (MULAI 2024)'!J156*K156,IF('TENAGA KERJA'!F155="NON-NPWP",'PPH PSL 21 - GROSS (MULAI 2024)'!J156*K156*120%,0))</f>
        <v>0</v>
      </c>
    </row>
    <row r="157" spans="1:12">
      <c r="A157" s="45" t="str">
        <f>IF('TENAGA KERJA'!A156=0,"",'TENAGA KERJA'!A156)</f>
        <v/>
      </c>
      <c r="B157" s="24" t="str">
        <f>IF('TENAGA KERJA'!B156=0,"",'TENAGA KERJA'!B156)</f>
        <v/>
      </c>
      <c r="C157" s="43">
        <f>'TENAGA KERJA'!K156</f>
        <v>0</v>
      </c>
      <c r="D157" s="46">
        <f>'TENAGA KERJA'!L156</f>
        <v>0</v>
      </c>
      <c r="E157" s="46">
        <f>'TENAGA KERJA'!M156</f>
        <v>0</v>
      </c>
      <c r="F157" s="43">
        <f>'TENAGA KERJA'!N156</f>
        <v>0</v>
      </c>
      <c r="G157" s="43">
        <f>'BPJS TK'!D157</f>
        <v>0</v>
      </c>
      <c r="H157" s="43">
        <f>'BPJS TK'!E157</f>
        <v>0</v>
      </c>
      <c r="I157" s="46">
        <f>'BPJS KES'!D157</f>
        <v>0</v>
      </c>
      <c r="J157" s="43">
        <f t="shared" si="4"/>
        <v>0</v>
      </c>
      <c r="K157" s="47">
        <f>IF('TENAGA KERJA'!H156="KATEGORI A",VLOOKUP(J157,'TER 2024'!$B$2:$E$45,4),IF('TENAGA KERJA'!H156="KATEGORI B",VLOOKUP(J157,'TER 2024'!$B$46:$E$85,4),IF('TENAGA KERJA'!H156="KATEGORI C",VLOOKUP(J157,'TER 2024'!$B$86:$E$126,4),0)))</f>
        <v>0</v>
      </c>
      <c r="L157" s="48">
        <f>IF('TENAGA KERJA'!F156="NPWP",'PPH PSL 21 - GROSS (MULAI 2024)'!J157*K157,IF('TENAGA KERJA'!F156="NON-NPWP",'PPH PSL 21 - GROSS (MULAI 2024)'!J157*K157*120%,0))</f>
        <v>0</v>
      </c>
    </row>
    <row r="158" spans="1:12">
      <c r="A158" s="45" t="str">
        <f>IF('TENAGA KERJA'!A157=0,"",'TENAGA KERJA'!A157)</f>
        <v/>
      </c>
      <c r="B158" s="24" t="str">
        <f>IF('TENAGA KERJA'!B157=0,"",'TENAGA KERJA'!B157)</f>
        <v/>
      </c>
      <c r="C158" s="43">
        <f>'TENAGA KERJA'!K157</f>
        <v>0</v>
      </c>
      <c r="D158" s="46">
        <f>'TENAGA KERJA'!L157</f>
        <v>0</v>
      </c>
      <c r="E158" s="46">
        <f>'TENAGA KERJA'!M157</f>
        <v>0</v>
      </c>
      <c r="F158" s="43">
        <f>'TENAGA KERJA'!N157</f>
        <v>0</v>
      </c>
      <c r="G158" s="43">
        <f>'BPJS TK'!D158</f>
        <v>0</v>
      </c>
      <c r="H158" s="43">
        <f>'BPJS TK'!E158</f>
        <v>0</v>
      </c>
      <c r="I158" s="46">
        <f>'BPJS KES'!D158</f>
        <v>0</v>
      </c>
      <c r="J158" s="43">
        <f t="shared" si="4"/>
        <v>0</v>
      </c>
      <c r="K158" s="47">
        <f>IF('TENAGA KERJA'!H157="KATEGORI A",VLOOKUP(J158,'TER 2024'!$B$2:$E$45,4),IF('TENAGA KERJA'!H157="KATEGORI B",VLOOKUP(J158,'TER 2024'!$B$46:$E$85,4),IF('TENAGA KERJA'!H157="KATEGORI C",VLOOKUP(J158,'TER 2024'!$B$86:$E$126,4),0)))</f>
        <v>0</v>
      </c>
      <c r="L158" s="48">
        <f>IF('TENAGA KERJA'!F157="NPWP",'PPH PSL 21 - GROSS (MULAI 2024)'!J158*K158,IF('TENAGA KERJA'!F157="NON-NPWP",'PPH PSL 21 - GROSS (MULAI 2024)'!J158*K158*120%,0))</f>
        <v>0</v>
      </c>
    </row>
    <row r="159" spans="1:12">
      <c r="A159" s="45" t="str">
        <f>IF('TENAGA KERJA'!A158=0,"",'TENAGA KERJA'!A158)</f>
        <v/>
      </c>
      <c r="B159" s="24" t="str">
        <f>IF('TENAGA KERJA'!B158=0,"",'TENAGA KERJA'!B158)</f>
        <v/>
      </c>
      <c r="C159" s="43">
        <f>'TENAGA KERJA'!K158</f>
        <v>0</v>
      </c>
      <c r="D159" s="46">
        <f>'TENAGA KERJA'!L158</f>
        <v>0</v>
      </c>
      <c r="E159" s="46">
        <f>'TENAGA KERJA'!M158</f>
        <v>0</v>
      </c>
      <c r="F159" s="43">
        <f>'TENAGA KERJA'!N158</f>
        <v>0</v>
      </c>
      <c r="G159" s="43">
        <f>'BPJS TK'!D159</f>
        <v>0</v>
      </c>
      <c r="H159" s="43">
        <f>'BPJS TK'!E159</f>
        <v>0</v>
      </c>
      <c r="I159" s="46">
        <f>'BPJS KES'!D159</f>
        <v>0</v>
      </c>
      <c r="J159" s="43">
        <f t="shared" si="4"/>
        <v>0</v>
      </c>
      <c r="K159" s="47">
        <f>IF('TENAGA KERJA'!H158="KATEGORI A",VLOOKUP(J159,'TER 2024'!$B$2:$E$45,4),IF('TENAGA KERJA'!H158="KATEGORI B",VLOOKUP(J159,'TER 2024'!$B$46:$E$85,4),IF('TENAGA KERJA'!H158="KATEGORI C",VLOOKUP(J159,'TER 2024'!$B$86:$E$126,4),0)))</f>
        <v>0</v>
      </c>
      <c r="L159" s="48">
        <f>IF('TENAGA KERJA'!F158="NPWP",'PPH PSL 21 - GROSS (MULAI 2024)'!J159*K159,IF('TENAGA KERJA'!F158="NON-NPWP",'PPH PSL 21 - GROSS (MULAI 2024)'!J159*K159*120%,0))</f>
        <v>0</v>
      </c>
    </row>
    <row r="160" spans="1:12">
      <c r="A160" s="45" t="str">
        <f>IF('TENAGA KERJA'!A159=0,"",'TENAGA KERJA'!A159)</f>
        <v/>
      </c>
      <c r="B160" s="24" t="str">
        <f>IF('TENAGA KERJA'!B159=0,"",'TENAGA KERJA'!B159)</f>
        <v/>
      </c>
      <c r="C160" s="43">
        <f>'TENAGA KERJA'!K159</f>
        <v>0</v>
      </c>
      <c r="D160" s="46">
        <f>'TENAGA KERJA'!L159</f>
        <v>0</v>
      </c>
      <c r="E160" s="46">
        <f>'TENAGA KERJA'!M159</f>
        <v>0</v>
      </c>
      <c r="F160" s="43">
        <f>'TENAGA KERJA'!N159</f>
        <v>0</v>
      </c>
      <c r="G160" s="43">
        <f>'BPJS TK'!D160</f>
        <v>0</v>
      </c>
      <c r="H160" s="43">
        <f>'BPJS TK'!E160</f>
        <v>0</v>
      </c>
      <c r="I160" s="46">
        <f>'BPJS KES'!D160</f>
        <v>0</v>
      </c>
      <c r="J160" s="43">
        <f t="shared" si="4"/>
        <v>0</v>
      </c>
      <c r="K160" s="47">
        <f>IF('TENAGA KERJA'!H159="KATEGORI A",VLOOKUP(J160,'TER 2024'!$B$2:$E$45,4),IF('TENAGA KERJA'!H159="KATEGORI B",VLOOKUP(J160,'TER 2024'!$B$46:$E$85,4),IF('TENAGA KERJA'!H159="KATEGORI C",VLOOKUP(J160,'TER 2024'!$B$86:$E$126,4),0)))</f>
        <v>0</v>
      </c>
      <c r="L160" s="48">
        <f>IF('TENAGA KERJA'!F159="NPWP",'PPH PSL 21 - GROSS (MULAI 2024)'!J160*K160,IF('TENAGA KERJA'!F159="NON-NPWP",'PPH PSL 21 - GROSS (MULAI 2024)'!J160*K160*120%,0))</f>
        <v>0</v>
      </c>
    </row>
    <row r="161" spans="1:13">
      <c r="A161" s="45" t="str">
        <f>IF('TENAGA KERJA'!A160=0,"",'TENAGA KERJA'!A160)</f>
        <v/>
      </c>
      <c r="B161" s="24" t="str">
        <f>IF('TENAGA KERJA'!B160=0,"",'TENAGA KERJA'!B160)</f>
        <v/>
      </c>
      <c r="C161" s="43">
        <f>'TENAGA KERJA'!K160</f>
        <v>0</v>
      </c>
      <c r="D161" s="46">
        <f>'TENAGA KERJA'!L160</f>
        <v>0</v>
      </c>
      <c r="E161" s="46">
        <f>'TENAGA KERJA'!M160</f>
        <v>0</v>
      </c>
      <c r="F161" s="43">
        <f>'TENAGA KERJA'!N160</f>
        <v>0</v>
      </c>
      <c r="G161" s="43">
        <f>'BPJS TK'!D161</f>
        <v>0</v>
      </c>
      <c r="H161" s="43">
        <f>'BPJS TK'!E161</f>
        <v>0</v>
      </c>
      <c r="I161" s="46">
        <f>'BPJS KES'!D161</f>
        <v>0</v>
      </c>
      <c r="J161" s="43">
        <f t="shared" si="4"/>
        <v>0</v>
      </c>
      <c r="K161" s="47">
        <f>IF('TENAGA KERJA'!H160="KATEGORI A",VLOOKUP(J161,'TER 2024'!$B$2:$E$45,4),IF('TENAGA KERJA'!H160="KATEGORI B",VLOOKUP(J161,'TER 2024'!$B$46:$E$85,4),IF('TENAGA KERJA'!H160="KATEGORI C",VLOOKUP(J161,'TER 2024'!$B$86:$E$126,4),0)))</f>
        <v>0</v>
      </c>
      <c r="L161" s="48">
        <f>IF('TENAGA KERJA'!F160="NPWP",'PPH PSL 21 - GROSS (MULAI 2024)'!J161*K161,IF('TENAGA KERJA'!F160="NON-NPWP",'PPH PSL 21 - GROSS (MULAI 2024)'!J161*K161*120%,0))</f>
        <v>0</v>
      </c>
    </row>
    <row r="162" spans="1:13">
      <c r="A162" s="45" t="str">
        <f>IF('TENAGA KERJA'!A161=0,"",'TENAGA KERJA'!A161)</f>
        <v/>
      </c>
      <c r="B162" s="24" t="str">
        <f>IF('TENAGA KERJA'!B161=0,"",'TENAGA KERJA'!B161)</f>
        <v/>
      </c>
      <c r="C162" s="43">
        <f>'TENAGA KERJA'!K161</f>
        <v>0</v>
      </c>
      <c r="D162" s="46">
        <f>'TENAGA KERJA'!L161</f>
        <v>0</v>
      </c>
      <c r="E162" s="46">
        <f>'TENAGA KERJA'!M161</f>
        <v>0</v>
      </c>
      <c r="F162" s="43">
        <f>'TENAGA KERJA'!N161</f>
        <v>0</v>
      </c>
      <c r="G162" s="43">
        <f>'BPJS TK'!D162</f>
        <v>0</v>
      </c>
      <c r="H162" s="43">
        <f>'BPJS TK'!E162</f>
        <v>0</v>
      </c>
      <c r="I162" s="46">
        <f>'BPJS KES'!D162</f>
        <v>0</v>
      </c>
      <c r="J162" s="43">
        <f t="shared" si="4"/>
        <v>0</v>
      </c>
      <c r="K162" s="47">
        <f>IF('TENAGA KERJA'!H161="KATEGORI A",VLOOKUP(J162,'TER 2024'!$B$2:$E$45,4),IF('TENAGA KERJA'!H161="KATEGORI B",VLOOKUP(J162,'TER 2024'!$B$46:$E$85,4),IF('TENAGA KERJA'!H161="KATEGORI C",VLOOKUP(J162,'TER 2024'!$B$86:$E$126,4),0)))</f>
        <v>0</v>
      </c>
      <c r="L162" s="48">
        <f>IF('TENAGA KERJA'!F161="NPWP",'PPH PSL 21 - GROSS (MULAI 2024)'!J162*K162,IF('TENAGA KERJA'!F161="NON-NPWP",'PPH PSL 21 - GROSS (MULAI 2024)'!J162*K162*120%,0))</f>
        <v>0</v>
      </c>
    </row>
    <row r="163" spans="1:13">
      <c r="A163" s="45" t="str">
        <f>IF('TENAGA KERJA'!A162=0,"",'TENAGA KERJA'!A162)</f>
        <v/>
      </c>
      <c r="B163" s="24" t="str">
        <f>IF('TENAGA KERJA'!B162=0,"",'TENAGA KERJA'!B162)</f>
        <v/>
      </c>
      <c r="C163" s="43">
        <f>'TENAGA KERJA'!K162</f>
        <v>0</v>
      </c>
      <c r="D163" s="46">
        <f>'TENAGA KERJA'!L162</f>
        <v>0</v>
      </c>
      <c r="E163" s="46">
        <f>'TENAGA KERJA'!M162</f>
        <v>0</v>
      </c>
      <c r="F163" s="43">
        <f>'TENAGA KERJA'!N162</f>
        <v>0</v>
      </c>
      <c r="G163" s="43">
        <f>'BPJS TK'!D163</f>
        <v>0</v>
      </c>
      <c r="H163" s="43">
        <f>'BPJS TK'!E163</f>
        <v>0</v>
      </c>
      <c r="I163" s="46">
        <f>'BPJS KES'!D163</f>
        <v>0</v>
      </c>
      <c r="J163" s="43">
        <f t="shared" si="4"/>
        <v>0</v>
      </c>
      <c r="K163" s="47">
        <f>IF('TENAGA KERJA'!H162="KATEGORI A",VLOOKUP(J163,'TER 2024'!$B$2:$E$45,4),IF('TENAGA KERJA'!H162="KATEGORI B",VLOOKUP(J163,'TER 2024'!$B$46:$E$85,4),IF('TENAGA KERJA'!H162="KATEGORI C",VLOOKUP(J163,'TER 2024'!$B$86:$E$126,4),0)))</f>
        <v>0</v>
      </c>
      <c r="L163" s="48">
        <f>IF('TENAGA KERJA'!F162="NPWP",'PPH PSL 21 - GROSS (MULAI 2024)'!J163*K163,IF('TENAGA KERJA'!F162="NON-NPWP",'PPH PSL 21 - GROSS (MULAI 2024)'!J163*K163*120%,0))</f>
        <v>0</v>
      </c>
    </row>
    <row r="164" spans="1:13">
      <c r="A164" s="45" t="str">
        <f>IF('TENAGA KERJA'!A163=0,"",'TENAGA KERJA'!A163)</f>
        <v/>
      </c>
      <c r="B164" s="24" t="str">
        <f>IF('TENAGA KERJA'!B163=0,"",'TENAGA KERJA'!B163)</f>
        <v/>
      </c>
      <c r="C164" s="43">
        <f>'TENAGA KERJA'!K163</f>
        <v>0</v>
      </c>
      <c r="D164" s="46">
        <f>'TENAGA KERJA'!L163</f>
        <v>0</v>
      </c>
      <c r="E164" s="46">
        <f>'TENAGA KERJA'!M163</f>
        <v>0</v>
      </c>
      <c r="F164" s="43">
        <f>'TENAGA KERJA'!N163</f>
        <v>0</v>
      </c>
      <c r="G164" s="43">
        <f>'BPJS TK'!D164</f>
        <v>0</v>
      </c>
      <c r="H164" s="43">
        <f>'BPJS TK'!E164</f>
        <v>0</v>
      </c>
      <c r="I164" s="46">
        <f>'BPJS KES'!D164</f>
        <v>0</v>
      </c>
      <c r="J164" s="43">
        <f t="shared" si="4"/>
        <v>0</v>
      </c>
      <c r="K164" s="47">
        <f>IF('TENAGA KERJA'!H163="KATEGORI A",VLOOKUP(J164,'TER 2024'!$B$2:$E$45,4),IF('TENAGA KERJA'!H163="KATEGORI B",VLOOKUP(J164,'TER 2024'!$B$46:$E$85,4),IF('TENAGA KERJA'!H163="KATEGORI C",VLOOKUP(J164,'TER 2024'!$B$86:$E$126,4),0)))</f>
        <v>0</v>
      </c>
      <c r="L164" s="48">
        <f>IF('TENAGA KERJA'!F163="NPWP",'PPH PSL 21 - GROSS (MULAI 2024)'!J164*K164,IF('TENAGA KERJA'!F163="NON-NPWP",'PPH PSL 21 - GROSS (MULAI 2024)'!J164*K164*120%,0))</f>
        <v>0</v>
      </c>
      <c r="M164" s="52"/>
    </row>
    <row r="165" spans="1:13">
      <c r="A165" s="45" t="str">
        <f>IF('TENAGA KERJA'!A164=0,"",'TENAGA KERJA'!A164)</f>
        <v/>
      </c>
      <c r="B165" s="24" t="str">
        <f>IF('TENAGA KERJA'!B164=0,"",'TENAGA KERJA'!B164)</f>
        <v/>
      </c>
      <c r="C165" s="43">
        <f>'TENAGA KERJA'!K164</f>
        <v>0</v>
      </c>
      <c r="D165" s="46">
        <f>'TENAGA KERJA'!L164</f>
        <v>0</v>
      </c>
      <c r="E165" s="46">
        <f>'TENAGA KERJA'!M164</f>
        <v>0</v>
      </c>
      <c r="F165" s="43">
        <f>'TENAGA KERJA'!N164</f>
        <v>0</v>
      </c>
      <c r="G165" s="43">
        <f>'BPJS TK'!D165</f>
        <v>0</v>
      </c>
      <c r="H165" s="43">
        <f>'BPJS TK'!E165</f>
        <v>0</v>
      </c>
      <c r="I165" s="46">
        <f>'BPJS KES'!D165</f>
        <v>0</v>
      </c>
      <c r="J165" s="43">
        <f t="shared" si="4"/>
        <v>0</v>
      </c>
      <c r="K165" s="47">
        <f>IF('TENAGA KERJA'!H164="KATEGORI A",VLOOKUP(J165,'TER 2024'!$B$2:$E$45,4),IF('TENAGA KERJA'!H164="KATEGORI B",VLOOKUP(J165,'TER 2024'!$B$46:$E$85,4),IF('TENAGA KERJA'!H164="KATEGORI C",VLOOKUP(J165,'TER 2024'!$B$86:$E$126,4),0)))</f>
        <v>0</v>
      </c>
      <c r="L165" s="48">
        <f>IF('TENAGA KERJA'!F164="NPWP",'PPH PSL 21 - GROSS (MULAI 2024)'!J165*K165,IF('TENAGA KERJA'!F164="NON-NPWP",'PPH PSL 21 - GROSS (MULAI 2024)'!J165*K165*120%,0))</f>
        <v>0</v>
      </c>
    </row>
    <row r="166" spans="1:13">
      <c r="A166" s="45" t="str">
        <f>IF('TENAGA KERJA'!A165=0,"",'TENAGA KERJA'!A165)</f>
        <v/>
      </c>
      <c r="B166" s="24" t="str">
        <f>IF('TENAGA KERJA'!B165=0,"",'TENAGA KERJA'!B165)</f>
        <v/>
      </c>
      <c r="C166" s="43">
        <f>'TENAGA KERJA'!K165</f>
        <v>0</v>
      </c>
      <c r="D166" s="46">
        <f>'TENAGA KERJA'!L165</f>
        <v>0</v>
      </c>
      <c r="E166" s="46">
        <f>'TENAGA KERJA'!M165</f>
        <v>0</v>
      </c>
      <c r="F166" s="43">
        <f>'TENAGA KERJA'!N165</f>
        <v>0</v>
      </c>
      <c r="G166" s="43">
        <f>'BPJS TK'!D166</f>
        <v>0</v>
      </c>
      <c r="H166" s="43">
        <f>'BPJS TK'!E166</f>
        <v>0</v>
      </c>
      <c r="I166" s="46">
        <f>'BPJS KES'!D166</f>
        <v>0</v>
      </c>
      <c r="J166" s="43">
        <f t="shared" si="4"/>
        <v>0</v>
      </c>
      <c r="K166" s="47">
        <f>IF('TENAGA KERJA'!H165="KATEGORI A",VLOOKUP(J166,'TER 2024'!$B$2:$E$45,4),IF('TENAGA KERJA'!H165="KATEGORI B",VLOOKUP(J166,'TER 2024'!$B$46:$E$85,4),IF('TENAGA KERJA'!H165="KATEGORI C",VLOOKUP(J166,'TER 2024'!$B$86:$E$126,4),0)))</f>
        <v>0</v>
      </c>
      <c r="L166" s="48">
        <f>IF('TENAGA KERJA'!F165="NPWP",'PPH PSL 21 - GROSS (MULAI 2024)'!J166*K166,IF('TENAGA KERJA'!F165="NON-NPWP",'PPH PSL 21 - GROSS (MULAI 2024)'!J166*K166*120%,0))</f>
        <v>0</v>
      </c>
    </row>
    <row r="167" spans="1:13">
      <c r="A167" s="45" t="str">
        <f>IF('TENAGA KERJA'!A166=0,"",'TENAGA KERJA'!A166)</f>
        <v/>
      </c>
      <c r="B167" s="24" t="str">
        <f>IF('TENAGA KERJA'!B166=0,"",'TENAGA KERJA'!B166)</f>
        <v/>
      </c>
      <c r="C167" s="43">
        <f>'TENAGA KERJA'!K166</f>
        <v>0</v>
      </c>
      <c r="D167" s="46">
        <f>'TENAGA KERJA'!L166</f>
        <v>0</v>
      </c>
      <c r="E167" s="46">
        <f>'TENAGA KERJA'!M166</f>
        <v>0</v>
      </c>
      <c r="F167" s="43">
        <f>'TENAGA KERJA'!N166</f>
        <v>0</v>
      </c>
      <c r="G167" s="43">
        <f>'BPJS TK'!D167</f>
        <v>0</v>
      </c>
      <c r="H167" s="43">
        <f>'BPJS TK'!E167</f>
        <v>0</v>
      </c>
      <c r="I167" s="46">
        <f>'BPJS KES'!D167</f>
        <v>0</v>
      </c>
      <c r="J167" s="43">
        <f t="shared" si="4"/>
        <v>0</v>
      </c>
      <c r="K167" s="47">
        <f>IF('TENAGA KERJA'!H166="KATEGORI A",VLOOKUP(J167,'TER 2024'!$B$2:$E$45,4),IF('TENAGA KERJA'!H166="KATEGORI B",VLOOKUP(J167,'TER 2024'!$B$46:$E$85,4),IF('TENAGA KERJA'!H166="KATEGORI C",VLOOKUP(J167,'TER 2024'!$B$86:$E$126,4),0)))</f>
        <v>0</v>
      </c>
      <c r="L167" s="48">
        <f>IF('TENAGA KERJA'!F166="NPWP",'PPH PSL 21 - GROSS (MULAI 2024)'!J167*K167,IF('TENAGA KERJA'!F166="NON-NPWP",'PPH PSL 21 - GROSS (MULAI 2024)'!J167*K167*120%,0))</f>
        <v>0</v>
      </c>
    </row>
    <row r="168" spans="1:13">
      <c r="A168" s="45" t="str">
        <f>IF('TENAGA KERJA'!A167=0,"",'TENAGA KERJA'!A167)</f>
        <v/>
      </c>
      <c r="B168" s="24" t="str">
        <f>IF('TENAGA KERJA'!B167=0,"",'TENAGA KERJA'!B167)</f>
        <v/>
      </c>
      <c r="C168" s="43">
        <f>'TENAGA KERJA'!K167</f>
        <v>0</v>
      </c>
      <c r="D168" s="46">
        <f>'TENAGA KERJA'!L167</f>
        <v>0</v>
      </c>
      <c r="E168" s="46">
        <f>'TENAGA KERJA'!M167</f>
        <v>0</v>
      </c>
      <c r="F168" s="43">
        <f>'TENAGA KERJA'!N167</f>
        <v>0</v>
      </c>
      <c r="G168" s="43">
        <f>'BPJS TK'!D168</f>
        <v>16832.899300000001</v>
      </c>
      <c r="H168" s="43">
        <f>'BPJS TK'!E168</f>
        <v>5674.0110000000004</v>
      </c>
      <c r="I168" s="46">
        <f>'BPJS KES'!D168</f>
        <v>175653.48</v>
      </c>
      <c r="J168" s="43">
        <f t="shared" si="4"/>
        <v>198160.39030000003</v>
      </c>
      <c r="K168" s="47">
        <f>IF('TENAGA KERJA'!H167="KATEGORI A",VLOOKUP(J168,'TER 2024'!$B$2:$E$45,4),IF('TENAGA KERJA'!H167="KATEGORI B",VLOOKUP(J168,'TER 2024'!$B$46:$E$85,4),IF('TENAGA KERJA'!H167="KATEGORI C",VLOOKUP(J168,'TER 2024'!$B$86:$E$126,4),0)))</f>
        <v>0</v>
      </c>
      <c r="L168" s="48">
        <f>IF('TENAGA KERJA'!F167="NPWP",'PPH PSL 21 - GROSS (MULAI 2024)'!J168*K168,IF('TENAGA KERJA'!F167="NON-NPWP",'PPH PSL 21 - GROSS (MULAI 2024)'!J168*K168*120%,0))</f>
        <v>0</v>
      </c>
    </row>
    <row r="169" spans="1:13">
      <c r="A169" s="45" t="str">
        <f>IF('TENAGA KERJA'!A168=0,"",'TENAGA KERJA'!A168)</f>
        <v/>
      </c>
      <c r="B169" s="24" t="str">
        <f>IF('TENAGA KERJA'!B168=0,"",'TENAGA KERJA'!B168)</f>
        <v/>
      </c>
      <c r="C169" s="43">
        <f>'TENAGA KERJA'!K168</f>
        <v>0</v>
      </c>
      <c r="D169" s="46">
        <f>'TENAGA KERJA'!L168</f>
        <v>0</v>
      </c>
      <c r="E169" s="46">
        <f>'TENAGA KERJA'!M168</f>
        <v>0</v>
      </c>
      <c r="F169" s="43">
        <f>'TENAGA KERJA'!N168</f>
        <v>0</v>
      </c>
      <c r="G169" s="43">
        <f>'BPJS TK'!D169</f>
        <v>0</v>
      </c>
      <c r="H169" s="43">
        <f>'BPJS TK'!E169</f>
        <v>0</v>
      </c>
      <c r="I169" s="46">
        <f>'BPJS KES'!D169</f>
        <v>0</v>
      </c>
      <c r="J169" s="43">
        <f t="shared" si="4"/>
        <v>0</v>
      </c>
      <c r="K169" s="47">
        <f>IF('TENAGA KERJA'!H168="KATEGORI A",VLOOKUP(J169,'TER 2024'!$B$2:$E$45,4),IF('TENAGA KERJA'!H168="KATEGORI B",VLOOKUP(J169,'TER 2024'!$B$46:$E$85,4),IF('TENAGA KERJA'!H168="KATEGORI C",VLOOKUP(J169,'TER 2024'!$B$86:$E$126,4),0)))</f>
        <v>0</v>
      </c>
      <c r="L169" s="48">
        <f>IF('TENAGA KERJA'!F168="NPWP",'PPH PSL 21 - GROSS (MULAI 2024)'!J169*K169,IF('TENAGA KERJA'!F168="NON-NPWP",'PPH PSL 21 - GROSS (MULAI 2024)'!J169*K169*120%,0))</f>
        <v>0</v>
      </c>
    </row>
    <row r="170" spans="1:13">
      <c r="A170" s="45" t="str">
        <f>IF('TENAGA KERJA'!A169=0,"",'TENAGA KERJA'!A169)</f>
        <v/>
      </c>
      <c r="B170" s="24" t="str">
        <f>IF('TENAGA KERJA'!B169=0,"",'TENAGA KERJA'!B169)</f>
        <v/>
      </c>
      <c r="C170" s="43">
        <f>'TENAGA KERJA'!K169</f>
        <v>0</v>
      </c>
      <c r="D170" s="46">
        <f>'TENAGA KERJA'!L169</f>
        <v>0</v>
      </c>
      <c r="E170" s="46">
        <f>'TENAGA KERJA'!M169</f>
        <v>0</v>
      </c>
      <c r="F170" s="43">
        <f>'TENAGA KERJA'!N169</f>
        <v>0</v>
      </c>
      <c r="G170" s="43">
        <f>'BPJS TK'!D170</f>
        <v>0</v>
      </c>
      <c r="H170" s="43">
        <f>'BPJS TK'!E170</f>
        <v>0</v>
      </c>
      <c r="I170" s="46">
        <f>'BPJS KES'!D170</f>
        <v>0</v>
      </c>
      <c r="J170" s="43">
        <f t="shared" si="4"/>
        <v>0</v>
      </c>
      <c r="K170" s="47">
        <f>IF('TENAGA KERJA'!H169="KATEGORI A",VLOOKUP(J170,'TER 2024'!$B$2:$E$45,4),IF('TENAGA KERJA'!H169="KATEGORI B",VLOOKUP(J170,'TER 2024'!$B$46:$E$85,4),IF('TENAGA KERJA'!H169="KATEGORI C",VLOOKUP(J170,'TER 2024'!$B$86:$E$126,4),0)))</f>
        <v>0</v>
      </c>
      <c r="L170" s="48">
        <f>IF('TENAGA KERJA'!F169="NPWP",'PPH PSL 21 - GROSS (MULAI 2024)'!J170*K170,IF('TENAGA KERJA'!F169="NON-NPWP",'PPH PSL 21 - GROSS (MULAI 2024)'!J170*K170*120%,0))</f>
        <v>0</v>
      </c>
    </row>
    <row r="171" spans="1:13">
      <c r="A171" s="45" t="str">
        <f>IF('TENAGA KERJA'!A170=0,"",'TENAGA KERJA'!A170)</f>
        <v/>
      </c>
      <c r="B171" s="24" t="str">
        <f>IF('TENAGA KERJA'!B170=0,"",'TENAGA KERJA'!B170)</f>
        <v/>
      </c>
      <c r="C171" s="43">
        <f>'TENAGA KERJA'!K170</f>
        <v>0</v>
      </c>
      <c r="D171" s="46">
        <f>'TENAGA KERJA'!L170</f>
        <v>0</v>
      </c>
      <c r="E171" s="46">
        <f>'TENAGA KERJA'!M170</f>
        <v>0</v>
      </c>
      <c r="F171" s="43">
        <f>'TENAGA KERJA'!N170</f>
        <v>0</v>
      </c>
      <c r="G171" s="43">
        <f>'BPJS TK'!D171</f>
        <v>0</v>
      </c>
      <c r="H171" s="43">
        <f>'BPJS TK'!E171</f>
        <v>0</v>
      </c>
      <c r="I171" s="46">
        <f>'BPJS KES'!D171</f>
        <v>0</v>
      </c>
      <c r="J171" s="43">
        <f t="shared" si="4"/>
        <v>0</v>
      </c>
      <c r="K171" s="47">
        <f>IF('TENAGA KERJA'!H170="KATEGORI A",VLOOKUP(J171,'TER 2024'!$B$2:$E$45,4),IF('TENAGA KERJA'!H170="KATEGORI B",VLOOKUP(J171,'TER 2024'!$B$46:$E$85,4),IF('TENAGA KERJA'!H170="KATEGORI C",VLOOKUP(J171,'TER 2024'!$B$86:$E$126,4),0)))</f>
        <v>0</v>
      </c>
      <c r="L171" s="48">
        <f>IF('TENAGA KERJA'!F170="NPWP",'PPH PSL 21 - GROSS (MULAI 2024)'!J171*K171,IF('TENAGA KERJA'!F170="NON-NPWP",'PPH PSL 21 - GROSS (MULAI 2024)'!J171*K171*120%,0))</f>
        <v>0</v>
      </c>
    </row>
    <row r="172" spans="1:13">
      <c r="A172" s="45" t="str">
        <f>IF('TENAGA KERJA'!A171=0,"",'TENAGA KERJA'!A171)</f>
        <v/>
      </c>
      <c r="B172" s="24" t="str">
        <f>IF('TENAGA KERJA'!B171=0,"",'TENAGA KERJA'!B171)</f>
        <v/>
      </c>
      <c r="C172" s="43">
        <f>'TENAGA KERJA'!K171</f>
        <v>0</v>
      </c>
      <c r="D172" s="46">
        <f>'TENAGA KERJA'!L171</f>
        <v>0</v>
      </c>
      <c r="E172" s="46">
        <f>'TENAGA KERJA'!M171</f>
        <v>0</v>
      </c>
      <c r="F172" s="43">
        <f>'TENAGA KERJA'!N171</f>
        <v>0</v>
      </c>
      <c r="G172" s="43">
        <f>'BPJS TK'!D172</f>
        <v>0</v>
      </c>
      <c r="H172" s="43">
        <f>'BPJS TK'!E172</f>
        <v>0</v>
      </c>
      <c r="I172" s="46">
        <f>'BPJS KES'!D172</f>
        <v>0</v>
      </c>
      <c r="J172" s="43">
        <f t="shared" si="4"/>
        <v>0</v>
      </c>
      <c r="K172" s="47">
        <f>IF('TENAGA KERJA'!H171="KATEGORI A",VLOOKUP(J172,'TER 2024'!$B$2:$E$45,4),IF('TENAGA KERJA'!H171="KATEGORI B",VLOOKUP(J172,'TER 2024'!$B$46:$E$85,4),IF('TENAGA KERJA'!H171="KATEGORI C",VLOOKUP(J172,'TER 2024'!$B$86:$E$126,4),0)))</f>
        <v>0</v>
      </c>
      <c r="L172" s="48">
        <f>IF('TENAGA KERJA'!F171="NPWP",'PPH PSL 21 - GROSS (MULAI 2024)'!J172*K172,IF('TENAGA KERJA'!F171="NON-NPWP",'PPH PSL 21 - GROSS (MULAI 2024)'!J172*K172*120%,0))</f>
        <v>0</v>
      </c>
    </row>
    <row r="173" spans="1:13">
      <c r="A173" s="45" t="str">
        <f>IF('TENAGA KERJA'!A172=0,"",'TENAGA KERJA'!A172)</f>
        <v/>
      </c>
      <c r="B173" s="24" t="str">
        <f>IF('TENAGA KERJA'!B172=0,"",'TENAGA KERJA'!B172)</f>
        <v/>
      </c>
      <c r="C173" s="43">
        <f>'TENAGA KERJA'!K172</f>
        <v>0</v>
      </c>
      <c r="D173" s="46">
        <f>'TENAGA KERJA'!L172</f>
        <v>0</v>
      </c>
      <c r="E173" s="46">
        <f>'TENAGA KERJA'!M172</f>
        <v>0</v>
      </c>
      <c r="F173" s="43">
        <f>'TENAGA KERJA'!N172</f>
        <v>0</v>
      </c>
      <c r="G173" s="43">
        <f>'BPJS TK'!D173</f>
        <v>0</v>
      </c>
      <c r="H173" s="43">
        <f>'BPJS TK'!E173</f>
        <v>0</v>
      </c>
      <c r="I173" s="46">
        <f>'BPJS KES'!D173</f>
        <v>0</v>
      </c>
      <c r="J173" s="43">
        <f t="shared" si="4"/>
        <v>0</v>
      </c>
      <c r="K173" s="47">
        <f>IF('TENAGA KERJA'!H172="KATEGORI A",VLOOKUP(J173,'TER 2024'!$B$2:$E$45,4),IF('TENAGA KERJA'!H172="KATEGORI B",VLOOKUP(J173,'TER 2024'!$B$46:$E$85,4),IF('TENAGA KERJA'!H172="KATEGORI C",VLOOKUP(J173,'TER 2024'!$B$86:$E$126,4),0)))</f>
        <v>0</v>
      </c>
      <c r="L173" s="48">
        <f>IF('TENAGA KERJA'!F172="NPWP",'PPH PSL 21 - GROSS (MULAI 2024)'!J173*K173,IF('TENAGA KERJA'!F172="NON-NPWP",'PPH PSL 21 - GROSS (MULAI 2024)'!J173*K173*120%,0))</f>
        <v>0</v>
      </c>
    </row>
    <row r="174" spans="1:13">
      <c r="A174" s="45" t="str">
        <f>IF('TENAGA KERJA'!A173=0,"",'TENAGA KERJA'!A173)</f>
        <v/>
      </c>
      <c r="B174" s="24" t="str">
        <f>IF('TENAGA KERJA'!B173=0,"",'TENAGA KERJA'!B173)</f>
        <v/>
      </c>
      <c r="C174" s="43">
        <f>'TENAGA KERJA'!K173</f>
        <v>0</v>
      </c>
      <c r="D174" s="46">
        <f>'TENAGA KERJA'!L173</f>
        <v>0</v>
      </c>
      <c r="E174" s="46">
        <f>'TENAGA KERJA'!M173</f>
        <v>0</v>
      </c>
      <c r="F174" s="43">
        <f>'TENAGA KERJA'!N173</f>
        <v>0</v>
      </c>
      <c r="G174" s="43">
        <f>'BPJS TK'!D174</f>
        <v>0</v>
      </c>
      <c r="H174" s="43">
        <f>'BPJS TK'!E174</f>
        <v>0</v>
      </c>
      <c r="I174" s="46">
        <f>'BPJS KES'!D174</f>
        <v>0</v>
      </c>
      <c r="J174" s="43">
        <f t="shared" si="4"/>
        <v>0</v>
      </c>
      <c r="K174" s="47">
        <f>IF('TENAGA KERJA'!H173="KATEGORI A",VLOOKUP(J174,'TER 2024'!$B$2:$E$45,4),IF('TENAGA KERJA'!H173="KATEGORI B",VLOOKUP(J174,'TER 2024'!$B$46:$E$85,4),IF('TENAGA KERJA'!H173="KATEGORI C",VLOOKUP(J174,'TER 2024'!$B$86:$E$126,4),0)))</f>
        <v>0</v>
      </c>
      <c r="L174" s="48">
        <f>IF('TENAGA KERJA'!F173="NPWP",'PPH PSL 21 - GROSS (MULAI 2024)'!J174*K174,IF('TENAGA KERJA'!F173="NON-NPWP",'PPH PSL 21 - GROSS (MULAI 2024)'!J174*K174*120%,0))</f>
        <v>0</v>
      </c>
    </row>
    <row r="175" spans="1:13">
      <c r="A175" s="45" t="str">
        <f>IF('TENAGA KERJA'!A174=0,"",'TENAGA KERJA'!A174)</f>
        <v/>
      </c>
      <c r="B175" s="24" t="str">
        <f>IF('TENAGA KERJA'!B174=0,"",'TENAGA KERJA'!B174)</f>
        <v/>
      </c>
      <c r="C175" s="43">
        <f>'TENAGA KERJA'!K174</f>
        <v>0</v>
      </c>
      <c r="D175" s="46">
        <f>'TENAGA KERJA'!L174</f>
        <v>0</v>
      </c>
      <c r="E175" s="46">
        <f>'TENAGA KERJA'!M174</f>
        <v>0</v>
      </c>
      <c r="F175" s="43">
        <f>'TENAGA KERJA'!N174</f>
        <v>0</v>
      </c>
      <c r="G175" s="43">
        <f>'BPJS TK'!D175</f>
        <v>0</v>
      </c>
      <c r="H175" s="43">
        <f>'BPJS TK'!E175</f>
        <v>0</v>
      </c>
      <c r="I175" s="46">
        <f>'BPJS KES'!D175</f>
        <v>0</v>
      </c>
      <c r="J175" s="43">
        <f t="shared" si="4"/>
        <v>0</v>
      </c>
      <c r="K175" s="47">
        <f>IF('TENAGA KERJA'!H174="KATEGORI A",VLOOKUP(J175,'TER 2024'!$B$2:$E$45,4),IF('TENAGA KERJA'!H174="KATEGORI B",VLOOKUP(J175,'TER 2024'!$B$46:$E$85,4),IF('TENAGA KERJA'!H174="KATEGORI C",VLOOKUP(J175,'TER 2024'!$B$86:$E$126,4),0)))</f>
        <v>0</v>
      </c>
      <c r="L175" s="48">
        <f>IF('TENAGA KERJA'!F174="NPWP",'PPH PSL 21 - GROSS (MULAI 2024)'!J175*K175,IF('TENAGA KERJA'!F174="NON-NPWP",'PPH PSL 21 - GROSS (MULAI 2024)'!J175*K175*120%,0))</f>
        <v>0</v>
      </c>
    </row>
    <row r="176" spans="1:13">
      <c r="A176" s="45" t="str">
        <f>IF('TENAGA KERJA'!A175=0,"",'TENAGA KERJA'!A175)</f>
        <v/>
      </c>
      <c r="B176" s="24" t="str">
        <f>IF('TENAGA KERJA'!B175=0,"",'TENAGA KERJA'!B175)</f>
        <v/>
      </c>
      <c r="C176" s="43">
        <f>'TENAGA KERJA'!K175</f>
        <v>0</v>
      </c>
      <c r="D176" s="46">
        <f>'TENAGA KERJA'!L175</f>
        <v>0</v>
      </c>
      <c r="E176" s="46">
        <f>'TENAGA KERJA'!M175</f>
        <v>0</v>
      </c>
      <c r="F176" s="43">
        <f>'TENAGA KERJA'!N175</f>
        <v>0</v>
      </c>
      <c r="G176" s="43">
        <f>'BPJS TK'!D176</f>
        <v>0</v>
      </c>
      <c r="H176" s="43">
        <f>'BPJS TK'!E176</f>
        <v>0</v>
      </c>
      <c r="I176" s="46">
        <f>'BPJS KES'!D176</f>
        <v>0</v>
      </c>
      <c r="J176" s="43">
        <f t="shared" si="4"/>
        <v>0</v>
      </c>
      <c r="K176" s="47">
        <f>IF('TENAGA KERJA'!H175="KATEGORI A",VLOOKUP(J176,'TER 2024'!$B$2:$E$45,4),IF('TENAGA KERJA'!H175="KATEGORI B",VLOOKUP(J176,'TER 2024'!$B$46:$E$85,4),IF('TENAGA KERJA'!H175="KATEGORI C",VLOOKUP(J176,'TER 2024'!$B$86:$E$126,4),0)))</f>
        <v>0</v>
      </c>
      <c r="L176" s="48">
        <f>IF('TENAGA KERJA'!F175="NPWP",'PPH PSL 21 - GROSS (MULAI 2024)'!J176*K176,IF('TENAGA KERJA'!F175="NON-NPWP",'PPH PSL 21 - GROSS (MULAI 2024)'!J176*K176*120%,0))</f>
        <v>0</v>
      </c>
    </row>
    <row r="177" spans="1:13">
      <c r="A177" s="45" t="str">
        <f>IF('TENAGA KERJA'!A176=0,"",'TENAGA KERJA'!A176)</f>
        <v/>
      </c>
      <c r="B177" s="24" t="str">
        <f>IF('TENAGA KERJA'!B176=0,"",'TENAGA KERJA'!B176)</f>
        <v/>
      </c>
      <c r="C177" s="43">
        <f>'TENAGA KERJA'!K176</f>
        <v>0</v>
      </c>
      <c r="D177" s="46">
        <f>'TENAGA KERJA'!L176</f>
        <v>0</v>
      </c>
      <c r="E177" s="46">
        <f>'TENAGA KERJA'!M176</f>
        <v>0</v>
      </c>
      <c r="F177" s="43">
        <f>'TENAGA KERJA'!N176</f>
        <v>0</v>
      </c>
      <c r="G177" s="43">
        <f>'BPJS TK'!D177</f>
        <v>0</v>
      </c>
      <c r="H177" s="43">
        <f>'BPJS TK'!E177</f>
        <v>0</v>
      </c>
      <c r="I177" s="46">
        <f>'BPJS KES'!D177</f>
        <v>0</v>
      </c>
      <c r="J177" s="43">
        <f t="shared" si="4"/>
        <v>0</v>
      </c>
      <c r="K177" s="47">
        <f>IF('TENAGA KERJA'!H176="KATEGORI A",VLOOKUP(J177,'TER 2024'!$B$2:$E$45,4),IF('TENAGA KERJA'!H176="KATEGORI B",VLOOKUP(J177,'TER 2024'!$B$46:$E$85,4),IF('TENAGA KERJA'!H176="KATEGORI C",VLOOKUP(J177,'TER 2024'!$B$86:$E$126,4),0)))</f>
        <v>0</v>
      </c>
      <c r="L177" s="48">
        <f>IF('TENAGA KERJA'!F176="NPWP",'PPH PSL 21 - GROSS (MULAI 2024)'!J177*K177,IF('TENAGA KERJA'!F176="NON-NPWP",'PPH PSL 21 - GROSS (MULAI 2024)'!J177*K177*120%,0))</f>
        <v>0</v>
      </c>
      <c r="M177" s="52">
        <f>SUM(L141:L176)-L168</f>
        <v>0</v>
      </c>
    </row>
    <row r="178" spans="1:13">
      <c r="A178" s="45" t="str">
        <f>IF('TENAGA KERJA'!A177=0,"",'TENAGA KERJA'!A177)</f>
        <v/>
      </c>
      <c r="B178" s="24" t="str">
        <f>IF('TENAGA KERJA'!B177=0,"",'TENAGA KERJA'!B177)</f>
        <v/>
      </c>
      <c r="C178" s="43">
        <f>'TENAGA KERJA'!K177</f>
        <v>0</v>
      </c>
      <c r="D178" s="46">
        <f>'TENAGA KERJA'!L177</f>
        <v>0</v>
      </c>
      <c r="E178" s="46">
        <f>'TENAGA KERJA'!M177</f>
        <v>0</v>
      </c>
      <c r="F178" s="43">
        <f>'TENAGA KERJA'!N177</f>
        <v>0</v>
      </c>
      <c r="G178" s="43">
        <f>'BPJS TK'!D178</f>
        <v>0</v>
      </c>
      <c r="H178" s="43">
        <f>'BPJS TK'!E178</f>
        <v>0</v>
      </c>
      <c r="I178" s="46">
        <f>'BPJS KES'!D178</f>
        <v>0</v>
      </c>
      <c r="J178" s="43">
        <f t="shared" si="4"/>
        <v>0</v>
      </c>
      <c r="K178" s="47">
        <f>IF('TENAGA KERJA'!H177="KATEGORI A",VLOOKUP(J178,'TER 2024'!$B$2:$E$45,4),IF('TENAGA KERJA'!H177="KATEGORI B",VLOOKUP(J178,'TER 2024'!$B$46:$E$85,4),IF('TENAGA KERJA'!H177="KATEGORI C",VLOOKUP(J178,'TER 2024'!$B$86:$E$126,4),0)))</f>
        <v>0</v>
      </c>
      <c r="L178" s="48">
        <f>IF('TENAGA KERJA'!F177="NPWP",'PPH PSL 21 - GROSS (MULAI 2024)'!J178*K178,IF('TENAGA KERJA'!F177="NON-NPWP",'PPH PSL 21 - GROSS (MULAI 2024)'!J178*K178*120%,0))</f>
        <v>0</v>
      </c>
    </row>
    <row r="179" spans="1:13">
      <c r="A179" s="45" t="str">
        <f>IF('TENAGA KERJA'!A178=0,"",'TENAGA KERJA'!A178)</f>
        <v/>
      </c>
      <c r="B179" s="24" t="str">
        <f>IF('TENAGA KERJA'!B178=0,"",'TENAGA KERJA'!B178)</f>
        <v/>
      </c>
      <c r="C179" s="43">
        <f>'TENAGA KERJA'!K178</f>
        <v>0</v>
      </c>
      <c r="D179" s="46">
        <f>'TENAGA KERJA'!L178</f>
        <v>0</v>
      </c>
      <c r="E179" s="46">
        <f>'TENAGA KERJA'!M178</f>
        <v>0</v>
      </c>
      <c r="F179" s="43">
        <f>'TENAGA KERJA'!N178</f>
        <v>0</v>
      </c>
      <c r="G179" s="43">
        <f>'BPJS TK'!D179</f>
        <v>20749.4244</v>
      </c>
      <c r="H179" s="43">
        <f>'BPJS TK'!E179</f>
        <v>6994.1880000000001</v>
      </c>
      <c r="I179" s="46">
        <f>'BPJS KES'!D179</f>
        <v>175653.48</v>
      </c>
      <c r="J179" s="43">
        <f t="shared" si="4"/>
        <v>203397.09240000002</v>
      </c>
      <c r="K179" s="47">
        <f>IF('TENAGA KERJA'!H178="KATEGORI A",VLOOKUP(J179,'TER 2024'!$B$2:$E$45,4),IF('TENAGA KERJA'!H178="KATEGORI B",VLOOKUP(J179,'TER 2024'!$B$46:$E$85,4),IF('TENAGA KERJA'!H178="KATEGORI C",VLOOKUP(J179,'TER 2024'!$B$86:$E$126,4),0)))</f>
        <v>0</v>
      </c>
      <c r="L179" s="48">
        <f>IF('TENAGA KERJA'!F178="NPWP",'PPH PSL 21 - GROSS (MULAI 2024)'!J179*K179,IF('TENAGA KERJA'!F178="NON-NPWP",'PPH PSL 21 - GROSS (MULAI 2024)'!J179*K179*120%,0))</f>
        <v>0</v>
      </c>
    </row>
    <row r="180" spans="1:13">
      <c r="A180" s="45" t="str">
        <f>IF('TENAGA KERJA'!A179=0,"",'TENAGA KERJA'!A179)</f>
        <v/>
      </c>
      <c r="B180" s="24" t="str">
        <f>IF('TENAGA KERJA'!B179=0,"",'TENAGA KERJA'!B179)</f>
        <v/>
      </c>
      <c r="C180" s="43">
        <f>'TENAGA KERJA'!K179</f>
        <v>0</v>
      </c>
      <c r="D180" s="46">
        <f>'TENAGA KERJA'!L179</f>
        <v>0</v>
      </c>
      <c r="E180" s="46">
        <f>'TENAGA KERJA'!M179</f>
        <v>0</v>
      </c>
      <c r="F180" s="43">
        <f>'TENAGA KERJA'!N179</f>
        <v>0</v>
      </c>
      <c r="G180" s="43">
        <f>'BPJS TK'!D180</f>
        <v>0</v>
      </c>
      <c r="H180" s="43">
        <f>'BPJS TK'!E180</f>
        <v>0</v>
      </c>
      <c r="I180" s="46">
        <f>'BPJS KES'!D180</f>
        <v>0</v>
      </c>
      <c r="J180" s="43">
        <f t="shared" si="4"/>
        <v>0</v>
      </c>
      <c r="K180" s="47">
        <f>IF('TENAGA KERJA'!H179="KATEGORI A",VLOOKUP(J180,'TER 2024'!$B$2:$E$45,4),IF('TENAGA KERJA'!H179="KATEGORI B",VLOOKUP(J180,'TER 2024'!$B$46:$E$85,4),IF('TENAGA KERJA'!H179="KATEGORI C",VLOOKUP(J180,'TER 2024'!$B$86:$E$126,4),0)))</f>
        <v>0</v>
      </c>
      <c r="L180" s="48">
        <f>IF('TENAGA KERJA'!F179="NPWP",'PPH PSL 21 - GROSS (MULAI 2024)'!J180*K180,IF('TENAGA KERJA'!F179="NON-NPWP",'PPH PSL 21 - GROSS (MULAI 2024)'!J180*K180*120%,0))</f>
        <v>0</v>
      </c>
    </row>
    <row r="181" spans="1:13">
      <c r="A181" s="45" t="str">
        <f>IF('TENAGA KERJA'!A180=0,"",'TENAGA KERJA'!A180)</f>
        <v/>
      </c>
      <c r="B181" s="24" t="str">
        <f>IF('TENAGA KERJA'!B180=0,"",'TENAGA KERJA'!B180)</f>
        <v/>
      </c>
      <c r="C181" s="43">
        <f>'TENAGA KERJA'!K180</f>
        <v>0</v>
      </c>
      <c r="D181" s="46">
        <f>'TENAGA KERJA'!L180</f>
        <v>0</v>
      </c>
      <c r="E181" s="46">
        <f>'TENAGA KERJA'!M180</f>
        <v>0</v>
      </c>
      <c r="F181" s="43">
        <f>'TENAGA KERJA'!N180</f>
        <v>0</v>
      </c>
      <c r="G181" s="43">
        <f>'BPJS TK'!D181</f>
        <v>0</v>
      </c>
      <c r="H181" s="43">
        <f>'BPJS TK'!E181</f>
        <v>0</v>
      </c>
      <c r="I181" s="46">
        <f>'BPJS KES'!D181</f>
        <v>0</v>
      </c>
      <c r="J181" s="43">
        <f t="shared" si="4"/>
        <v>0</v>
      </c>
      <c r="K181" s="47">
        <f>IF('TENAGA KERJA'!H180="KATEGORI A",VLOOKUP(J181,'TER 2024'!$B$2:$E$45,4),IF('TENAGA KERJA'!H180="KATEGORI B",VLOOKUP(J181,'TER 2024'!$B$46:$E$85,4),IF('TENAGA KERJA'!H180="KATEGORI C",VLOOKUP(J181,'TER 2024'!$B$86:$E$126,4),0)))</f>
        <v>0</v>
      </c>
      <c r="L181" s="48">
        <f>IF('TENAGA KERJA'!F180="NPWP",'PPH PSL 21 - GROSS (MULAI 2024)'!J181*K181,IF('TENAGA KERJA'!F180="NON-NPWP",'PPH PSL 21 - GROSS (MULAI 2024)'!J181*K181*120%,0))</f>
        <v>0</v>
      </c>
    </row>
    <row r="182" spans="1:13">
      <c r="A182" s="45" t="str">
        <f>IF('TENAGA KERJA'!A181=0,"",'TENAGA KERJA'!A181)</f>
        <v/>
      </c>
      <c r="B182" s="24" t="str">
        <f>IF('TENAGA KERJA'!B181=0,"",'TENAGA KERJA'!B181)</f>
        <v/>
      </c>
      <c r="C182" s="43">
        <f>'TENAGA KERJA'!K181</f>
        <v>0</v>
      </c>
      <c r="D182" s="46">
        <f>'TENAGA KERJA'!L181</f>
        <v>0</v>
      </c>
      <c r="E182" s="46">
        <f>'TENAGA KERJA'!M181</f>
        <v>0</v>
      </c>
      <c r="F182" s="43">
        <f>'TENAGA KERJA'!N181</f>
        <v>0</v>
      </c>
      <c r="G182" s="43">
        <f>'BPJS TK'!D182</f>
        <v>0</v>
      </c>
      <c r="H182" s="43">
        <f>'BPJS TK'!E182</f>
        <v>0</v>
      </c>
      <c r="I182" s="46">
        <f>'BPJS KES'!D182</f>
        <v>0</v>
      </c>
      <c r="J182" s="43">
        <f t="shared" si="4"/>
        <v>0</v>
      </c>
      <c r="K182" s="47">
        <f>IF('TENAGA KERJA'!H181="KATEGORI A",VLOOKUP(J182,'TER 2024'!$B$2:$E$45,4),IF('TENAGA KERJA'!H181="KATEGORI B",VLOOKUP(J182,'TER 2024'!$B$46:$E$85,4),IF('TENAGA KERJA'!H181="KATEGORI C",VLOOKUP(J182,'TER 2024'!$B$86:$E$126,4),0)))</f>
        <v>0</v>
      </c>
      <c r="L182" s="48">
        <f>IF('TENAGA KERJA'!F181="NPWP",'PPH PSL 21 - GROSS (MULAI 2024)'!J182*K182,IF('TENAGA KERJA'!F181="NON-NPWP",'PPH PSL 21 - GROSS (MULAI 2024)'!J182*K182*120%,0))</f>
        <v>0</v>
      </c>
    </row>
    <row r="183" spans="1:13">
      <c r="A183" s="45" t="str">
        <f>IF('TENAGA KERJA'!A182=0,"",'TENAGA KERJA'!A182)</f>
        <v/>
      </c>
      <c r="B183" s="24" t="str">
        <f>IF('TENAGA KERJA'!B182=0,"",'TENAGA KERJA'!B182)</f>
        <v/>
      </c>
      <c r="C183" s="43">
        <f>'TENAGA KERJA'!K182</f>
        <v>0</v>
      </c>
      <c r="D183" s="46">
        <f>'TENAGA KERJA'!L182</f>
        <v>0</v>
      </c>
      <c r="E183" s="46">
        <f>'TENAGA KERJA'!M182</f>
        <v>0</v>
      </c>
      <c r="F183" s="43">
        <f>'TENAGA KERJA'!N182</f>
        <v>0</v>
      </c>
      <c r="G183" s="43">
        <f>'BPJS TK'!D183</f>
        <v>0</v>
      </c>
      <c r="H183" s="43">
        <f>'BPJS TK'!E183</f>
        <v>0</v>
      </c>
      <c r="I183" s="46">
        <f>'BPJS KES'!D183</f>
        <v>0</v>
      </c>
      <c r="J183" s="43">
        <f t="shared" si="4"/>
        <v>0</v>
      </c>
      <c r="K183" s="47">
        <f>IF('TENAGA KERJA'!H182="KATEGORI A",VLOOKUP(J183,'TER 2024'!$B$2:$E$45,4),IF('TENAGA KERJA'!H182="KATEGORI B",VLOOKUP(J183,'TER 2024'!$B$46:$E$85,4),IF('TENAGA KERJA'!H182="KATEGORI C",VLOOKUP(J183,'TER 2024'!$B$86:$E$126,4),0)))</f>
        <v>0</v>
      </c>
      <c r="L183" s="48">
        <f>IF('TENAGA KERJA'!F182="NPWP",'PPH PSL 21 - GROSS (MULAI 2024)'!J183*K183,IF('TENAGA KERJA'!F182="NON-NPWP",'PPH PSL 21 - GROSS (MULAI 2024)'!J183*K183*120%,0))</f>
        <v>0</v>
      </c>
    </row>
    <row r="184" spans="1:13">
      <c r="A184" s="45" t="str">
        <f>IF('TENAGA KERJA'!A183=0,"",'TENAGA KERJA'!A183)</f>
        <v/>
      </c>
      <c r="B184" s="24" t="str">
        <f>IF('TENAGA KERJA'!B183=0,"",'TENAGA KERJA'!B183)</f>
        <v/>
      </c>
      <c r="C184" s="43">
        <f>'TENAGA KERJA'!K183</f>
        <v>0</v>
      </c>
      <c r="D184" s="46">
        <f>'TENAGA KERJA'!L183</f>
        <v>0</v>
      </c>
      <c r="E184" s="46">
        <f>'TENAGA KERJA'!M183</f>
        <v>0</v>
      </c>
      <c r="F184" s="43">
        <f>'TENAGA KERJA'!N183</f>
        <v>0</v>
      </c>
      <c r="G184" s="43">
        <f>'BPJS TK'!D184</f>
        <v>0</v>
      </c>
      <c r="H184" s="43">
        <f>'BPJS TK'!E184</f>
        <v>0</v>
      </c>
      <c r="I184" s="46">
        <f>'BPJS KES'!D184</f>
        <v>0</v>
      </c>
      <c r="J184" s="43">
        <f t="shared" si="4"/>
        <v>0</v>
      </c>
      <c r="K184" s="47">
        <f>IF('TENAGA KERJA'!H183="KATEGORI A",VLOOKUP(J184,'TER 2024'!$B$2:$E$45,4),IF('TENAGA KERJA'!H183="KATEGORI B",VLOOKUP(J184,'TER 2024'!$B$46:$E$85,4),IF('TENAGA KERJA'!H183="KATEGORI C",VLOOKUP(J184,'TER 2024'!$B$86:$E$126,4),0)))</f>
        <v>0</v>
      </c>
      <c r="L184" s="48">
        <f>IF('TENAGA KERJA'!F183="NPWP",'PPH PSL 21 - GROSS (MULAI 2024)'!J184*K184,IF('TENAGA KERJA'!F183="NON-NPWP",'PPH PSL 21 - GROSS (MULAI 2024)'!J184*K184*120%,0))</f>
        <v>0</v>
      </c>
    </row>
    <row r="185" spans="1:13">
      <c r="A185" s="45" t="str">
        <f>IF('TENAGA KERJA'!A184=0,"",'TENAGA KERJA'!A184)</f>
        <v/>
      </c>
      <c r="B185" s="24" t="str">
        <f>IF('TENAGA KERJA'!B184=0,"",'TENAGA KERJA'!B184)</f>
        <v/>
      </c>
      <c r="C185" s="43">
        <f>'TENAGA KERJA'!K184</f>
        <v>0</v>
      </c>
      <c r="D185" s="46">
        <f>'TENAGA KERJA'!L184</f>
        <v>0</v>
      </c>
      <c r="E185" s="46">
        <f>'TENAGA KERJA'!M184</f>
        <v>0</v>
      </c>
      <c r="F185" s="43">
        <f>'TENAGA KERJA'!N184</f>
        <v>0</v>
      </c>
      <c r="G185" s="43">
        <f>'BPJS TK'!D185</f>
        <v>0</v>
      </c>
      <c r="H185" s="43">
        <f>'BPJS TK'!E185</f>
        <v>0</v>
      </c>
      <c r="I185" s="46">
        <f>'BPJS KES'!D185</f>
        <v>0</v>
      </c>
      <c r="J185" s="43">
        <f t="shared" si="4"/>
        <v>0</v>
      </c>
      <c r="K185" s="47">
        <f>IF('TENAGA KERJA'!H184="KATEGORI A",VLOOKUP(J185,'TER 2024'!$B$2:$E$45,4),IF('TENAGA KERJA'!H184="KATEGORI B",VLOOKUP(J185,'TER 2024'!$B$46:$E$85,4),IF('TENAGA KERJA'!H184="KATEGORI C",VLOOKUP(J185,'TER 2024'!$B$86:$E$126,4),0)))</f>
        <v>0</v>
      </c>
      <c r="L185" s="48">
        <f>IF('TENAGA KERJA'!F184="NPWP",'PPH PSL 21 - GROSS (MULAI 2024)'!J185*K185,IF('TENAGA KERJA'!F184="NON-NPWP",'PPH PSL 21 - GROSS (MULAI 2024)'!J185*K185*120%,0))</f>
        <v>0</v>
      </c>
    </row>
    <row r="186" spans="1:13">
      <c r="A186" s="45" t="str">
        <f>IF('TENAGA KERJA'!A185=0,"",'TENAGA KERJA'!A185)</f>
        <v/>
      </c>
      <c r="B186" s="24" t="str">
        <f>IF('TENAGA KERJA'!B185=0,"",'TENAGA KERJA'!B185)</f>
        <v/>
      </c>
      <c r="C186" s="43">
        <f>'TENAGA KERJA'!K185</f>
        <v>0</v>
      </c>
      <c r="D186" s="46">
        <f>'TENAGA KERJA'!L185</f>
        <v>0</v>
      </c>
      <c r="E186" s="46">
        <f>'TENAGA KERJA'!M185</f>
        <v>0</v>
      </c>
      <c r="F186" s="43">
        <f>'TENAGA KERJA'!N185</f>
        <v>0</v>
      </c>
      <c r="G186" s="43">
        <f>'BPJS TK'!D186</f>
        <v>0</v>
      </c>
      <c r="H186" s="43">
        <f>'BPJS TK'!E186</f>
        <v>0</v>
      </c>
      <c r="I186" s="46">
        <f>'BPJS KES'!D186</f>
        <v>0</v>
      </c>
      <c r="J186" s="43">
        <f t="shared" si="4"/>
        <v>0</v>
      </c>
      <c r="K186" s="47">
        <f>IF('TENAGA KERJA'!H185="KATEGORI A",VLOOKUP(J186,'TER 2024'!$B$2:$E$45,4),IF('TENAGA KERJA'!H185="KATEGORI B",VLOOKUP(J186,'TER 2024'!$B$46:$E$85,4),IF('TENAGA KERJA'!H185="KATEGORI C",VLOOKUP(J186,'TER 2024'!$B$86:$E$126,4),0)))</f>
        <v>0</v>
      </c>
      <c r="L186" s="48">
        <f>IF('TENAGA KERJA'!F185="NPWP",'PPH PSL 21 - GROSS (MULAI 2024)'!J186*K186,IF('TENAGA KERJA'!F185="NON-NPWP",'PPH PSL 21 - GROSS (MULAI 2024)'!J186*K186*120%,0))</f>
        <v>0</v>
      </c>
    </row>
    <row r="187" spans="1:13">
      <c r="A187" s="45" t="str">
        <f>IF('TENAGA KERJA'!A186=0,"",'TENAGA KERJA'!A186)</f>
        <v/>
      </c>
      <c r="B187" s="24" t="str">
        <f>IF('TENAGA KERJA'!B186=0,"",'TENAGA KERJA'!B186)</f>
        <v/>
      </c>
      <c r="C187" s="43">
        <f>'TENAGA KERJA'!K186</f>
        <v>0</v>
      </c>
      <c r="D187" s="46">
        <f>'TENAGA KERJA'!L186</f>
        <v>0</v>
      </c>
      <c r="E187" s="46">
        <f>'TENAGA KERJA'!M186</f>
        <v>0</v>
      </c>
      <c r="F187" s="43">
        <f>'TENAGA KERJA'!N186</f>
        <v>0</v>
      </c>
      <c r="G187" s="43">
        <f>'BPJS TK'!D187</f>
        <v>0</v>
      </c>
      <c r="H187" s="43">
        <f>'BPJS TK'!E187</f>
        <v>0</v>
      </c>
      <c r="I187" s="46">
        <f>'BPJS KES'!D187</f>
        <v>0</v>
      </c>
      <c r="J187" s="43">
        <f t="shared" si="4"/>
        <v>0</v>
      </c>
      <c r="K187" s="47">
        <f>IF('TENAGA KERJA'!H186="KATEGORI A",VLOOKUP(J187,'TER 2024'!$B$2:$E$45,4),IF('TENAGA KERJA'!H186="KATEGORI B",VLOOKUP(J187,'TER 2024'!$B$46:$E$85,4),IF('TENAGA KERJA'!H186="KATEGORI C",VLOOKUP(J187,'TER 2024'!$B$86:$E$126,4),0)))</f>
        <v>0</v>
      </c>
      <c r="L187" s="48">
        <f>IF('TENAGA KERJA'!F186="NPWP",'PPH PSL 21 - GROSS (MULAI 2024)'!J187*K187,IF('TENAGA KERJA'!F186="NON-NPWP",'PPH PSL 21 - GROSS (MULAI 2024)'!J187*K187*120%,0))</f>
        <v>0</v>
      </c>
    </row>
    <row r="188" spans="1:13">
      <c r="A188" s="45" t="str">
        <f>IF('TENAGA KERJA'!A187=0,"",'TENAGA KERJA'!A187)</f>
        <v/>
      </c>
      <c r="B188" s="24" t="str">
        <f>IF('TENAGA KERJA'!B187=0,"",'TENAGA KERJA'!B187)</f>
        <v/>
      </c>
      <c r="C188" s="43">
        <f>'TENAGA KERJA'!K187</f>
        <v>0</v>
      </c>
      <c r="D188" s="46">
        <f>'TENAGA KERJA'!L187</f>
        <v>0</v>
      </c>
      <c r="E188" s="46">
        <f>'TENAGA KERJA'!M187</f>
        <v>0</v>
      </c>
      <c r="F188" s="43">
        <f>'TENAGA KERJA'!N187</f>
        <v>0</v>
      </c>
      <c r="G188" s="43">
        <f>'BPJS TK'!D188</f>
        <v>0</v>
      </c>
      <c r="H188" s="43">
        <f>'BPJS TK'!E188</f>
        <v>0</v>
      </c>
      <c r="I188" s="46">
        <f>'BPJS KES'!D188</f>
        <v>0</v>
      </c>
      <c r="J188" s="43">
        <f t="shared" si="4"/>
        <v>0</v>
      </c>
      <c r="K188" s="47">
        <f>IF('TENAGA KERJA'!H187="KATEGORI A",VLOOKUP(J188,'TER 2024'!$B$2:$E$45,4),IF('TENAGA KERJA'!H187="KATEGORI B",VLOOKUP(J188,'TER 2024'!$B$46:$E$85,4),IF('TENAGA KERJA'!H187="KATEGORI C",VLOOKUP(J188,'TER 2024'!$B$86:$E$126,4),0)))</f>
        <v>0</v>
      </c>
      <c r="L188" s="48">
        <f>IF('TENAGA KERJA'!F187="NPWP",'PPH PSL 21 - GROSS (MULAI 2024)'!J188*K188,IF('TENAGA KERJA'!F187="NON-NPWP",'PPH PSL 21 - GROSS (MULAI 2024)'!J188*K188*120%,0))</f>
        <v>0</v>
      </c>
    </row>
    <row r="189" spans="1:13">
      <c r="A189" s="45" t="str">
        <f>IF('TENAGA KERJA'!A188=0,"",'TENAGA KERJA'!A188)</f>
        <v/>
      </c>
      <c r="B189" s="24" t="str">
        <f>IF('TENAGA KERJA'!B188=0,"",'TENAGA KERJA'!B188)</f>
        <v/>
      </c>
      <c r="C189" s="43">
        <f>'TENAGA KERJA'!K188</f>
        <v>0</v>
      </c>
      <c r="D189" s="46">
        <f>'TENAGA KERJA'!L188</f>
        <v>0</v>
      </c>
      <c r="E189" s="46">
        <f>'TENAGA KERJA'!M188</f>
        <v>0</v>
      </c>
      <c r="F189" s="43">
        <f>'TENAGA KERJA'!N188</f>
        <v>0</v>
      </c>
      <c r="G189" s="43">
        <f>'BPJS TK'!D189</f>
        <v>0</v>
      </c>
      <c r="H189" s="43">
        <f>'BPJS TK'!E189</f>
        <v>0</v>
      </c>
      <c r="I189" s="46">
        <f>'BPJS KES'!D189</f>
        <v>0</v>
      </c>
      <c r="J189" s="43">
        <f t="shared" si="4"/>
        <v>0</v>
      </c>
      <c r="K189" s="47">
        <f>IF('TENAGA KERJA'!H188="KATEGORI A",VLOOKUP(J189,'TER 2024'!$B$2:$E$45,4),IF('TENAGA KERJA'!H188="KATEGORI B",VLOOKUP(J189,'TER 2024'!$B$46:$E$85,4),IF('TENAGA KERJA'!H188="KATEGORI C",VLOOKUP(J189,'TER 2024'!$B$86:$E$126,4),0)))</f>
        <v>0</v>
      </c>
      <c r="L189" s="48">
        <f>IF('TENAGA KERJA'!F188="NPWP",'PPH PSL 21 - GROSS (MULAI 2024)'!J189*K189,IF('TENAGA KERJA'!F188="NON-NPWP",'PPH PSL 21 - GROSS (MULAI 2024)'!J189*K189*120%,0))</f>
        <v>0</v>
      </c>
    </row>
    <row r="190" spans="1:13">
      <c r="A190" s="45" t="str">
        <f>IF('TENAGA KERJA'!A189=0,"",'TENAGA KERJA'!A189)</f>
        <v/>
      </c>
      <c r="B190" s="24" t="str">
        <f>IF('TENAGA KERJA'!B189=0,"",'TENAGA KERJA'!B189)</f>
        <v/>
      </c>
      <c r="C190" s="43">
        <f>'TENAGA KERJA'!K189</f>
        <v>0</v>
      </c>
      <c r="D190" s="46">
        <f>'TENAGA KERJA'!L189</f>
        <v>0</v>
      </c>
      <c r="E190" s="46">
        <f>'TENAGA KERJA'!M189</f>
        <v>0</v>
      </c>
      <c r="F190" s="43">
        <f>'TENAGA KERJA'!N189</f>
        <v>0</v>
      </c>
      <c r="G190" s="43">
        <f>'BPJS TK'!D190</f>
        <v>0</v>
      </c>
      <c r="H190" s="43">
        <f>'BPJS TK'!E190</f>
        <v>0</v>
      </c>
      <c r="I190" s="46">
        <f>'BPJS KES'!D190</f>
        <v>0</v>
      </c>
      <c r="J190" s="43">
        <f t="shared" si="4"/>
        <v>0</v>
      </c>
      <c r="K190" s="47">
        <f>IF('TENAGA KERJA'!H189="KATEGORI A",VLOOKUP(J190,'TER 2024'!$B$2:$E$45,4),IF('TENAGA KERJA'!H189="KATEGORI B",VLOOKUP(J190,'TER 2024'!$B$46:$E$85,4),IF('TENAGA KERJA'!H189="KATEGORI C",VLOOKUP(J190,'TER 2024'!$B$86:$E$126,4),0)))</f>
        <v>0</v>
      </c>
      <c r="L190" s="48">
        <f>IF('TENAGA KERJA'!F189="NPWP",'PPH PSL 21 - GROSS (MULAI 2024)'!J190*K190,IF('TENAGA KERJA'!F189="NON-NPWP",'PPH PSL 21 - GROSS (MULAI 2024)'!J190*K190*120%,0))</f>
        <v>0</v>
      </c>
    </row>
    <row r="191" spans="1:13">
      <c r="A191" s="45" t="str">
        <f>IF('TENAGA KERJA'!A190=0,"",'TENAGA KERJA'!A190)</f>
        <v/>
      </c>
      <c r="B191" s="24" t="str">
        <f>IF('TENAGA KERJA'!B190=0,"",'TENAGA KERJA'!B190)</f>
        <v/>
      </c>
      <c r="C191" s="43">
        <f>'TENAGA KERJA'!K190</f>
        <v>0</v>
      </c>
      <c r="D191" s="46">
        <f>'TENAGA KERJA'!L190</f>
        <v>0</v>
      </c>
      <c r="E191" s="46">
        <f>'TENAGA KERJA'!M190</f>
        <v>0</v>
      </c>
      <c r="F191" s="43">
        <f>'TENAGA KERJA'!N190</f>
        <v>0</v>
      </c>
      <c r="G191" s="43">
        <f>'BPJS TK'!D191</f>
        <v>0</v>
      </c>
      <c r="H191" s="43">
        <f>'BPJS TK'!E191</f>
        <v>0</v>
      </c>
      <c r="I191" s="46">
        <f>'BPJS KES'!D191</f>
        <v>0</v>
      </c>
      <c r="J191" s="43">
        <f t="shared" si="4"/>
        <v>0</v>
      </c>
      <c r="K191" s="47">
        <f>IF('TENAGA KERJA'!H190="KATEGORI A",VLOOKUP(J191,'TER 2024'!$B$2:$E$45,4),IF('TENAGA KERJA'!H190="KATEGORI B",VLOOKUP(J191,'TER 2024'!$B$46:$E$85,4),IF('TENAGA KERJA'!H190="KATEGORI C",VLOOKUP(J191,'TER 2024'!$B$86:$E$126,4),0)))</f>
        <v>0</v>
      </c>
      <c r="L191" s="48">
        <f>IF('TENAGA KERJA'!F190="NPWP",'PPH PSL 21 - GROSS (MULAI 2024)'!J191*K191,IF('TENAGA KERJA'!F190="NON-NPWP",'PPH PSL 21 - GROSS (MULAI 2024)'!J191*K191*120%,0))</f>
        <v>0</v>
      </c>
    </row>
    <row r="192" spans="1:13">
      <c r="A192" s="45" t="str">
        <f>IF('TENAGA KERJA'!A191=0,"",'TENAGA KERJA'!A191)</f>
        <v/>
      </c>
      <c r="B192" s="24" t="str">
        <f>IF('TENAGA KERJA'!B191=0,"",'TENAGA KERJA'!B191)</f>
        <v/>
      </c>
      <c r="C192" s="43">
        <f>'TENAGA KERJA'!K191</f>
        <v>0</v>
      </c>
      <c r="D192" s="46">
        <f>'TENAGA KERJA'!L191</f>
        <v>0</v>
      </c>
      <c r="E192" s="46">
        <f>'TENAGA KERJA'!M191</f>
        <v>0</v>
      </c>
      <c r="F192" s="43">
        <f>'TENAGA KERJA'!N191</f>
        <v>0</v>
      </c>
      <c r="G192" s="43">
        <f>'BPJS TK'!D192</f>
        <v>0</v>
      </c>
      <c r="H192" s="43">
        <f>'BPJS TK'!E192</f>
        <v>0</v>
      </c>
      <c r="I192" s="46">
        <f>'BPJS KES'!D192</f>
        <v>0</v>
      </c>
      <c r="J192" s="43">
        <f t="shared" si="4"/>
        <v>0</v>
      </c>
      <c r="K192" s="47">
        <f>IF('TENAGA KERJA'!H191="KATEGORI A",VLOOKUP(J192,'TER 2024'!$B$2:$E$45,4),IF('TENAGA KERJA'!H191="KATEGORI B",VLOOKUP(J192,'TER 2024'!$B$46:$E$85,4),IF('TENAGA KERJA'!H191="KATEGORI C",VLOOKUP(J192,'TER 2024'!$B$86:$E$126,4),0)))</f>
        <v>0</v>
      </c>
      <c r="L192" s="48">
        <f>IF('TENAGA KERJA'!F191="NPWP",'PPH PSL 21 - GROSS (MULAI 2024)'!J192*K192,IF('TENAGA KERJA'!F191="NON-NPWP",'PPH PSL 21 - GROSS (MULAI 2024)'!J192*K192*120%,0))</f>
        <v>0</v>
      </c>
    </row>
    <row r="193" spans="1:12">
      <c r="A193" s="45" t="str">
        <f>IF('TENAGA KERJA'!A192=0,"",'TENAGA KERJA'!A192)</f>
        <v/>
      </c>
      <c r="B193" s="24" t="str">
        <f>IF('TENAGA KERJA'!B192=0,"",'TENAGA KERJA'!B192)</f>
        <v/>
      </c>
      <c r="C193" s="43">
        <f>'TENAGA KERJA'!K192</f>
        <v>0</v>
      </c>
      <c r="D193" s="46">
        <f>'TENAGA KERJA'!L192</f>
        <v>0</v>
      </c>
      <c r="E193" s="46">
        <f>'TENAGA KERJA'!M192</f>
        <v>0</v>
      </c>
      <c r="F193" s="43">
        <f>'TENAGA KERJA'!N192</f>
        <v>0</v>
      </c>
      <c r="G193" s="43">
        <f>'BPJS TK'!D193</f>
        <v>0</v>
      </c>
      <c r="H193" s="43">
        <f>'BPJS TK'!E193</f>
        <v>0</v>
      </c>
      <c r="I193" s="46">
        <f>'BPJS KES'!D193</f>
        <v>0</v>
      </c>
      <c r="J193" s="43">
        <f t="shared" si="4"/>
        <v>0</v>
      </c>
      <c r="K193" s="47">
        <f>IF('TENAGA KERJA'!H192="KATEGORI A",VLOOKUP(J193,'TER 2024'!$B$2:$E$45,4),IF('TENAGA KERJA'!H192="KATEGORI B",VLOOKUP(J193,'TER 2024'!$B$46:$E$85,4),IF('TENAGA KERJA'!H192="KATEGORI C",VLOOKUP(J193,'TER 2024'!$B$86:$E$126,4),0)))</f>
        <v>0</v>
      </c>
      <c r="L193" s="48">
        <f>IF('TENAGA KERJA'!F192="NPWP",'PPH PSL 21 - GROSS (MULAI 2024)'!J193*K193,IF('TENAGA KERJA'!F192="NON-NPWP",'PPH PSL 21 - GROSS (MULAI 2024)'!J193*K193*120%,0))</f>
        <v>0</v>
      </c>
    </row>
    <row r="194" spans="1:12">
      <c r="A194" s="45" t="str">
        <f>IF('TENAGA KERJA'!A193=0,"",'TENAGA KERJA'!A193)</f>
        <v/>
      </c>
      <c r="B194" s="24" t="str">
        <f>IF('TENAGA KERJA'!B193=0,"",'TENAGA KERJA'!B193)</f>
        <v/>
      </c>
      <c r="C194" s="43">
        <f>'TENAGA KERJA'!K193</f>
        <v>0</v>
      </c>
      <c r="D194" s="46">
        <f>'TENAGA KERJA'!L193</f>
        <v>0</v>
      </c>
      <c r="E194" s="46">
        <f>'TENAGA KERJA'!M193</f>
        <v>0</v>
      </c>
      <c r="F194" s="43">
        <f>'TENAGA KERJA'!N193</f>
        <v>0</v>
      </c>
      <c r="G194" s="43">
        <f>'BPJS TK'!D194</f>
        <v>0</v>
      </c>
      <c r="H194" s="43">
        <f>'BPJS TK'!E194</f>
        <v>0</v>
      </c>
      <c r="I194" s="46">
        <f>'BPJS KES'!D194</f>
        <v>0</v>
      </c>
      <c r="J194" s="43">
        <f t="shared" si="4"/>
        <v>0</v>
      </c>
      <c r="K194" s="47">
        <f>IF('TENAGA KERJA'!H193="KATEGORI A",VLOOKUP(J194,'TER 2024'!$B$2:$E$45,4),IF('TENAGA KERJA'!H193="KATEGORI B",VLOOKUP(J194,'TER 2024'!$B$46:$E$85,4),IF('TENAGA KERJA'!H193="KATEGORI C",VLOOKUP(J194,'TER 2024'!$B$86:$E$126,4),0)))</f>
        <v>0</v>
      </c>
      <c r="L194" s="48">
        <f>IF('TENAGA KERJA'!F193="NPWP",'PPH PSL 21 - GROSS (MULAI 2024)'!J194*K194,IF('TENAGA KERJA'!F193="NON-NPWP",'PPH PSL 21 - GROSS (MULAI 2024)'!J194*K194*120%,0))</f>
        <v>0</v>
      </c>
    </row>
    <row r="195" spans="1:12">
      <c r="A195" s="45" t="str">
        <f>IF('TENAGA KERJA'!A194=0,"",'TENAGA KERJA'!A194)</f>
        <v/>
      </c>
      <c r="B195" s="24" t="str">
        <f>IF('TENAGA KERJA'!B194=0,"",'TENAGA KERJA'!B194)</f>
        <v/>
      </c>
      <c r="C195" s="43">
        <f>'TENAGA KERJA'!K194</f>
        <v>0</v>
      </c>
      <c r="D195" s="46">
        <f>'TENAGA KERJA'!L194</f>
        <v>0</v>
      </c>
      <c r="E195" s="46">
        <f>'TENAGA KERJA'!M194</f>
        <v>0</v>
      </c>
      <c r="F195" s="43">
        <f>'TENAGA KERJA'!N194</f>
        <v>0</v>
      </c>
      <c r="G195" s="43">
        <f>'BPJS TK'!D195</f>
        <v>0</v>
      </c>
      <c r="H195" s="43">
        <f>'BPJS TK'!E195</f>
        <v>0</v>
      </c>
      <c r="I195" s="46">
        <f>'BPJS KES'!D195</f>
        <v>0</v>
      </c>
      <c r="J195" s="43">
        <f t="shared" si="4"/>
        <v>0</v>
      </c>
      <c r="K195" s="47">
        <f>IF('TENAGA KERJA'!H194="KATEGORI A",VLOOKUP(J195,'TER 2024'!$B$2:$E$45,4),IF('TENAGA KERJA'!H194="KATEGORI B",VLOOKUP(J195,'TER 2024'!$B$46:$E$85,4),IF('TENAGA KERJA'!H194="KATEGORI C",VLOOKUP(J195,'TER 2024'!$B$86:$E$126,4),0)))</f>
        <v>0</v>
      </c>
      <c r="L195" s="48">
        <f>IF('TENAGA KERJA'!F194="NPWP",'PPH PSL 21 - GROSS (MULAI 2024)'!J195*K195,IF('TENAGA KERJA'!F194="NON-NPWP",'PPH PSL 21 - GROSS (MULAI 2024)'!J195*K195*120%,0))</f>
        <v>0</v>
      </c>
    </row>
    <row r="196" spans="1:12">
      <c r="A196" s="45" t="str">
        <f>IF('TENAGA KERJA'!A195=0,"",'TENAGA KERJA'!A195)</f>
        <v/>
      </c>
      <c r="B196" s="24" t="str">
        <f>IF('TENAGA KERJA'!B195=0,"",'TENAGA KERJA'!B195)</f>
        <v/>
      </c>
      <c r="C196" s="43">
        <f>'TENAGA KERJA'!K195</f>
        <v>0</v>
      </c>
      <c r="D196" s="46">
        <f>'TENAGA KERJA'!L195</f>
        <v>0</v>
      </c>
      <c r="E196" s="46">
        <f>'TENAGA KERJA'!M195</f>
        <v>0</v>
      </c>
      <c r="F196" s="43">
        <f>'TENAGA KERJA'!N195</f>
        <v>0</v>
      </c>
      <c r="G196" s="43">
        <f>'BPJS TK'!D196</f>
        <v>0</v>
      </c>
      <c r="H196" s="43">
        <f>'BPJS TK'!E196</f>
        <v>0</v>
      </c>
      <c r="I196" s="46">
        <f>'BPJS KES'!D196</f>
        <v>0</v>
      </c>
      <c r="J196" s="43">
        <f t="shared" si="4"/>
        <v>0</v>
      </c>
      <c r="K196" s="47">
        <f>IF('TENAGA KERJA'!H195="KATEGORI A",VLOOKUP(J196,'TER 2024'!$B$2:$E$45,4),IF('TENAGA KERJA'!H195="KATEGORI B",VLOOKUP(J196,'TER 2024'!$B$46:$E$85,4),IF('TENAGA KERJA'!H195="KATEGORI C",VLOOKUP(J196,'TER 2024'!$B$86:$E$126,4),0)))</f>
        <v>0</v>
      </c>
      <c r="L196" s="48">
        <f>IF('TENAGA KERJA'!F195="NPWP",'PPH PSL 21 - GROSS (MULAI 2024)'!J196*K196,IF('TENAGA KERJA'!F195="NON-NPWP",'PPH PSL 21 - GROSS (MULAI 2024)'!J196*K196*120%,0))</f>
        <v>0</v>
      </c>
    </row>
    <row r="197" spans="1:12">
      <c r="A197" s="45" t="str">
        <f>IF('TENAGA KERJA'!A196=0,"",'TENAGA KERJA'!A196)</f>
        <v/>
      </c>
      <c r="B197" s="24" t="str">
        <f>IF('TENAGA KERJA'!B196=0,"",'TENAGA KERJA'!B196)</f>
        <v/>
      </c>
      <c r="C197" s="43">
        <f>'TENAGA KERJA'!K196</f>
        <v>0</v>
      </c>
      <c r="D197" s="46">
        <f>'TENAGA KERJA'!L196</f>
        <v>0</v>
      </c>
      <c r="E197" s="46">
        <f>'TENAGA KERJA'!M196</f>
        <v>0</v>
      </c>
      <c r="F197" s="43">
        <f>'TENAGA KERJA'!N196</f>
        <v>0</v>
      </c>
      <c r="G197" s="43">
        <f>'BPJS TK'!D197</f>
        <v>0</v>
      </c>
      <c r="H197" s="43">
        <f>'BPJS TK'!E197</f>
        <v>0</v>
      </c>
      <c r="I197" s="46">
        <f>'BPJS KES'!D197</f>
        <v>0</v>
      </c>
      <c r="J197" s="43">
        <f t="shared" ref="J197:J210" si="5">SUM(C197:I197)</f>
        <v>0</v>
      </c>
      <c r="K197" s="47">
        <f>IF('TENAGA KERJA'!H196="KATEGORI A",VLOOKUP(J197,'TER 2024'!$B$2:$E$45,4),IF('TENAGA KERJA'!H196="KATEGORI B",VLOOKUP(J197,'TER 2024'!$B$46:$E$85,4),IF('TENAGA KERJA'!H196="KATEGORI C",VLOOKUP(J197,'TER 2024'!$B$86:$E$126,4),0)))</f>
        <v>0</v>
      </c>
      <c r="L197" s="48">
        <f>IF('TENAGA KERJA'!F196="NPWP",'PPH PSL 21 - GROSS (MULAI 2024)'!J197*K197,IF('TENAGA KERJA'!F196="NON-NPWP",'PPH PSL 21 - GROSS (MULAI 2024)'!J197*K197*120%,0))</f>
        <v>0</v>
      </c>
    </row>
    <row r="198" spans="1:12">
      <c r="A198" s="45" t="str">
        <f>IF('TENAGA KERJA'!A197=0,"",'TENAGA KERJA'!A197)</f>
        <v/>
      </c>
      <c r="B198" s="24" t="str">
        <f>IF('TENAGA KERJA'!B197=0,"",'TENAGA KERJA'!B197)</f>
        <v/>
      </c>
      <c r="C198" s="43">
        <f>'TENAGA KERJA'!K197</f>
        <v>0</v>
      </c>
      <c r="D198" s="46">
        <f>'TENAGA KERJA'!L197</f>
        <v>0</v>
      </c>
      <c r="E198" s="46">
        <f>'TENAGA KERJA'!M197</f>
        <v>0</v>
      </c>
      <c r="F198" s="43">
        <f>'TENAGA KERJA'!N197</f>
        <v>0</v>
      </c>
      <c r="G198" s="43">
        <f>'BPJS TK'!D198</f>
        <v>0</v>
      </c>
      <c r="H198" s="43">
        <f>'BPJS TK'!E198</f>
        <v>0</v>
      </c>
      <c r="I198" s="46">
        <f>'BPJS KES'!D198</f>
        <v>0</v>
      </c>
      <c r="J198" s="43">
        <f t="shared" si="5"/>
        <v>0</v>
      </c>
      <c r="K198" s="47">
        <f>IF('TENAGA KERJA'!H197="KATEGORI A",VLOOKUP(J198,'TER 2024'!$B$2:$E$45,4),IF('TENAGA KERJA'!H197="KATEGORI B",VLOOKUP(J198,'TER 2024'!$B$46:$E$85,4),IF('TENAGA KERJA'!H197="KATEGORI C",VLOOKUP(J198,'TER 2024'!$B$86:$E$126,4),0)))</f>
        <v>0</v>
      </c>
      <c r="L198" s="48">
        <f>IF('TENAGA KERJA'!F197="NPWP",'PPH PSL 21 - GROSS (MULAI 2024)'!J198*K198,IF('TENAGA KERJA'!F197="NON-NPWP",'PPH PSL 21 - GROSS (MULAI 2024)'!J198*K198*120%,0))</f>
        <v>0</v>
      </c>
    </row>
    <row r="199" spans="1:12">
      <c r="A199" s="45" t="str">
        <f>IF('TENAGA KERJA'!A198=0,"",'TENAGA KERJA'!A198)</f>
        <v/>
      </c>
      <c r="B199" s="24" t="str">
        <f>IF('TENAGA KERJA'!B198=0,"",'TENAGA KERJA'!B198)</f>
        <v/>
      </c>
      <c r="C199" s="43">
        <f>'TENAGA KERJA'!K198</f>
        <v>0</v>
      </c>
      <c r="D199" s="46">
        <f>'TENAGA KERJA'!L198</f>
        <v>0</v>
      </c>
      <c r="E199" s="46">
        <f>'TENAGA KERJA'!M198</f>
        <v>0</v>
      </c>
      <c r="F199" s="43">
        <f>'TENAGA KERJA'!N198</f>
        <v>0</v>
      </c>
      <c r="G199" s="43">
        <f>'BPJS TK'!D199</f>
        <v>0</v>
      </c>
      <c r="H199" s="43">
        <f>'BPJS TK'!E199</f>
        <v>0</v>
      </c>
      <c r="I199" s="46">
        <f>'BPJS KES'!D199</f>
        <v>0</v>
      </c>
      <c r="J199" s="43">
        <f t="shared" si="5"/>
        <v>0</v>
      </c>
      <c r="K199" s="47">
        <f>IF('TENAGA KERJA'!H198="KATEGORI A",VLOOKUP(J199,'TER 2024'!$B$2:$E$45,4),IF('TENAGA KERJA'!H198="KATEGORI B",VLOOKUP(J199,'TER 2024'!$B$46:$E$85,4),IF('TENAGA KERJA'!H198="KATEGORI C",VLOOKUP(J199,'TER 2024'!$B$86:$E$126,4),0)))</f>
        <v>0</v>
      </c>
      <c r="L199" s="48">
        <f>IF('TENAGA KERJA'!F198="NPWP",'PPH PSL 21 - GROSS (MULAI 2024)'!J199*K199,IF('TENAGA KERJA'!F198="NON-NPWP",'PPH PSL 21 - GROSS (MULAI 2024)'!J199*K199*120%,0))</f>
        <v>0</v>
      </c>
    </row>
    <row r="200" spans="1:12">
      <c r="A200" s="45" t="str">
        <f>IF('TENAGA KERJA'!A199=0,"",'TENAGA KERJA'!A199)</f>
        <v/>
      </c>
      <c r="B200" s="24" t="str">
        <f>IF('TENAGA KERJA'!B199=0,"",'TENAGA KERJA'!B199)</f>
        <v/>
      </c>
      <c r="C200" s="43">
        <f>'TENAGA KERJA'!K199</f>
        <v>0</v>
      </c>
      <c r="D200" s="46">
        <f>'TENAGA KERJA'!L199</f>
        <v>0</v>
      </c>
      <c r="E200" s="46">
        <f>'TENAGA KERJA'!M199</f>
        <v>0</v>
      </c>
      <c r="F200" s="43">
        <f>'TENAGA KERJA'!N199</f>
        <v>0</v>
      </c>
      <c r="G200" s="43">
        <f>'BPJS TK'!D200</f>
        <v>0</v>
      </c>
      <c r="H200" s="43">
        <f>'BPJS TK'!E200</f>
        <v>0</v>
      </c>
      <c r="I200" s="46">
        <f>'BPJS KES'!D200</f>
        <v>0</v>
      </c>
      <c r="J200" s="43">
        <f t="shared" si="5"/>
        <v>0</v>
      </c>
      <c r="K200" s="47">
        <f>IF('TENAGA KERJA'!H199="KATEGORI A",VLOOKUP(J200,'TER 2024'!$B$2:$E$45,4),IF('TENAGA KERJA'!H199="KATEGORI B",VLOOKUP(J200,'TER 2024'!$B$46:$E$85,4),IF('TENAGA KERJA'!H199="KATEGORI C",VLOOKUP(J200,'TER 2024'!$B$86:$E$126,4),0)))</f>
        <v>0</v>
      </c>
      <c r="L200" s="48">
        <f>IF('TENAGA KERJA'!F199="NPWP",'PPH PSL 21 - GROSS (MULAI 2024)'!J200*K200,IF('TENAGA KERJA'!F199="NON-NPWP",'PPH PSL 21 - GROSS (MULAI 2024)'!J200*K200*120%,0))</f>
        <v>0</v>
      </c>
    </row>
    <row r="201" spans="1:12">
      <c r="A201" s="45" t="str">
        <f>IF('TENAGA KERJA'!A200=0,"",'TENAGA KERJA'!A200)</f>
        <v/>
      </c>
      <c r="B201" s="24" t="str">
        <f>IF('TENAGA KERJA'!B200=0,"",'TENAGA KERJA'!B200)</f>
        <v/>
      </c>
      <c r="C201" s="43">
        <f>'TENAGA KERJA'!K200</f>
        <v>0</v>
      </c>
      <c r="D201" s="46">
        <f>'TENAGA KERJA'!L200</f>
        <v>0</v>
      </c>
      <c r="E201" s="46">
        <f>'TENAGA KERJA'!M200</f>
        <v>0</v>
      </c>
      <c r="F201" s="43">
        <f>'TENAGA KERJA'!N200</f>
        <v>0</v>
      </c>
      <c r="G201" s="43">
        <f>'BPJS TK'!D201</f>
        <v>0</v>
      </c>
      <c r="H201" s="43">
        <f>'BPJS TK'!E201</f>
        <v>0</v>
      </c>
      <c r="I201" s="46">
        <f>'BPJS KES'!D201</f>
        <v>0</v>
      </c>
      <c r="J201" s="43">
        <f t="shared" si="5"/>
        <v>0</v>
      </c>
      <c r="K201" s="47">
        <f>IF('TENAGA KERJA'!H200="KATEGORI A",VLOOKUP(J201,'TER 2024'!$B$2:$E$45,4),IF('TENAGA KERJA'!H200="KATEGORI B",VLOOKUP(J201,'TER 2024'!$B$46:$E$85,4),IF('TENAGA KERJA'!H200="KATEGORI C",VLOOKUP(J201,'TER 2024'!$B$86:$E$126,4),0)))</f>
        <v>0</v>
      </c>
      <c r="L201" s="48">
        <f>IF('TENAGA KERJA'!F200="NPWP",'PPH PSL 21 - GROSS (MULAI 2024)'!J201*K201,IF('TENAGA KERJA'!F200="NON-NPWP",'PPH PSL 21 - GROSS (MULAI 2024)'!J201*K201*120%,0))</f>
        <v>0</v>
      </c>
    </row>
    <row r="202" spans="1:12">
      <c r="A202" s="45" t="str">
        <f>IF('TENAGA KERJA'!A201=0,"",'TENAGA KERJA'!A201)</f>
        <v/>
      </c>
      <c r="B202" s="24" t="str">
        <f>IF('TENAGA KERJA'!B201=0,"",'TENAGA KERJA'!B201)</f>
        <v/>
      </c>
      <c r="C202" s="43">
        <f>'TENAGA KERJA'!K201</f>
        <v>0</v>
      </c>
      <c r="D202" s="46">
        <f>'TENAGA KERJA'!L201</f>
        <v>0</v>
      </c>
      <c r="E202" s="46">
        <f>'TENAGA KERJA'!M201</f>
        <v>0</v>
      </c>
      <c r="F202" s="43">
        <f>'TENAGA KERJA'!N201</f>
        <v>0</v>
      </c>
      <c r="G202" s="43">
        <f>'BPJS TK'!D202</f>
        <v>0</v>
      </c>
      <c r="H202" s="43">
        <f>'BPJS TK'!E202</f>
        <v>0</v>
      </c>
      <c r="I202" s="46">
        <f>'BPJS KES'!D202</f>
        <v>0</v>
      </c>
      <c r="J202" s="43">
        <f t="shared" si="5"/>
        <v>0</v>
      </c>
      <c r="K202" s="47">
        <f>IF('TENAGA KERJA'!H201="KATEGORI A",VLOOKUP(J202,'TER 2024'!$B$2:$E$45,4),IF('TENAGA KERJA'!H201="KATEGORI B",VLOOKUP(J202,'TER 2024'!$B$46:$E$85,4),IF('TENAGA KERJA'!H201="KATEGORI C",VLOOKUP(J202,'TER 2024'!$B$86:$E$126,4),0)))</f>
        <v>0</v>
      </c>
      <c r="L202" s="48">
        <f>IF('TENAGA KERJA'!F201="NPWP",'PPH PSL 21 - GROSS (MULAI 2024)'!J202*K202,IF('TENAGA KERJA'!F201="NON-NPWP",'PPH PSL 21 - GROSS (MULAI 2024)'!J202*K202*120%,0))</f>
        <v>0</v>
      </c>
    </row>
    <row r="203" spans="1:12">
      <c r="A203" s="45" t="str">
        <f>IF('TENAGA KERJA'!A202=0,"",'TENAGA KERJA'!A202)</f>
        <v/>
      </c>
      <c r="B203" s="24" t="str">
        <f>IF('TENAGA KERJA'!B202=0,"",'TENAGA KERJA'!B202)</f>
        <v/>
      </c>
      <c r="C203" s="43">
        <f>'TENAGA KERJA'!K202</f>
        <v>0</v>
      </c>
      <c r="D203" s="46">
        <f>'TENAGA KERJA'!L202</f>
        <v>0</v>
      </c>
      <c r="E203" s="46">
        <f>'TENAGA KERJA'!M202</f>
        <v>0</v>
      </c>
      <c r="F203" s="43">
        <f>'TENAGA KERJA'!N202</f>
        <v>0</v>
      </c>
      <c r="G203" s="43">
        <f>'BPJS TK'!D203</f>
        <v>0</v>
      </c>
      <c r="H203" s="43">
        <f>'BPJS TK'!E203</f>
        <v>0</v>
      </c>
      <c r="I203" s="46">
        <f>'BPJS KES'!D203</f>
        <v>0</v>
      </c>
      <c r="J203" s="43">
        <f t="shared" si="5"/>
        <v>0</v>
      </c>
      <c r="K203" s="47">
        <f>IF('TENAGA KERJA'!H202="KATEGORI A",VLOOKUP(J203,'TER 2024'!$B$2:$E$45,4),IF('TENAGA KERJA'!H202="KATEGORI B",VLOOKUP(J203,'TER 2024'!$B$46:$E$85,4),IF('TENAGA KERJA'!H202="KATEGORI C",VLOOKUP(J203,'TER 2024'!$B$86:$E$126,4),0)))</f>
        <v>0</v>
      </c>
      <c r="L203" s="48">
        <f>IF('TENAGA KERJA'!F202="NPWP",'PPH PSL 21 - GROSS (MULAI 2024)'!J203*K203,IF('TENAGA KERJA'!F202="NON-NPWP",'PPH PSL 21 - GROSS (MULAI 2024)'!J203*K203*120%,0))</f>
        <v>0</v>
      </c>
    </row>
    <row r="204" spans="1:12">
      <c r="A204" s="45" t="str">
        <f>IF('TENAGA KERJA'!A203=0,"",'TENAGA KERJA'!A203)</f>
        <v/>
      </c>
      <c r="B204" s="24" t="str">
        <f>IF('TENAGA KERJA'!B203=0,"",'TENAGA KERJA'!B203)</f>
        <v/>
      </c>
      <c r="C204" s="43">
        <f>'TENAGA KERJA'!K203</f>
        <v>0</v>
      </c>
      <c r="D204" s="46">
        <f>'TENAGA KERJA'!L203</f>
        <v>0</v>
      </c>
      <c r="E204" s="46">
        <f>'TENAGA KERJA'!M203</f>
        <v>0</v>
      </c>
      <c r="F204" s="43">
        <f>'TENAGA KERJA'!N203</f>
        <v>0</v>
      </c>
      <c r="G204" s="43">
        <f>'BPJS TK'!D204</f>
        <v>0</v>
      </c>
      <c r="H204" s="43">
        <f>'BPJS TK'!E204</f>
        <v>0</v>
      </c>
      <c r="I204" s="46">
        <f>'BPJS KES'!D204</f>
        <v>0</v>
      </c>
      <c r="J204" s="43">
        <f t="shared" si="5"/>
        <v>0</v>
      </c>
      <c r="K204" s="47">
        <f>IF('TENAGA KERJA'!H203="KATEGORI A",VLOOKUP(J204,'TER 2024'!$B$2:$E$45,4),IF('TENAGA KERJA'!H203="KATEGORI B",VLOOKUP(J204,'TER 2024'!$B$46:$E$85,4),IF('TENAGA KERJA'!H203="KATEGORI C",VLOOKUP(J204,'TER 2024'!$B$86:$E$126,4),0)))</f>
        <v>0</v>
      </c>
      <c r="L204" s="48">
        <f>IF('TENAGA KERJA'!F203="NPWP",'PPH PSL 21 - GROSS (MULAI 2024)'!J204*K204,IF('TENAGA KERJA'!F203="NON-NPWP",'PPH PSL 21 - GROSS (MULAI 2024)'!J204*K204*120%,0))</f>
        <v>0</v>
      </c>
    </row>
    <row r="205" spans="1:12">
      <c r="A205" s="45" t="str">
        <f>IF('TENAGA KERJA'!A204=0,"",'TENAGA KERJA'!A204)</f>
        <v/>
      </c>
      <c r="B205" s="24" t="str">
        <f>IF('TENAGA KERJA'!B204=0,"",'TENAGA KERJA'!B204)</f>
        <v/>
      </c>
      <c r="C205" s="43">
        <f>'TENAGA KERJA'!K204</f>
        <v>0</v>
      </c>
      <c r="D205" s="46">
        <f>'TENAGA KERJA'!L204</f>
        <v>0</v>
      </c>
      <c r="E205" s="46">
        <f>'TENAGA KERJA'!M204</f>
        <v>0</v>
      </c>
      <c r="F205" s="43">
        <f>'TENAGA KERJA'!N204</f>
        <v>0</v>
      </c>
      <c r="G205" s="43">
        <f>'BPJS TK'!D205</f>
        <v>0</v>
      </c>
      <c r="H205" s="43">
        <f>'BPJS TK'!E205</f>
        <v>0</v>
      </c>
      <c r="I205" s="46">
        <f>'BPJS KES'!D205</f>
        <v>0</v>
      </c>
      <c r="J205" s="43">
        <f t="shared" si="5"/>
        <v>0</v>
      </c>
      <c r="K205" s="47">
        <f>IF('TENAGA KERJA'!H204="KATEGORI A",VLOOKUP(J205,'TER 2024'!$B$2:$E$45,4),IF('TENAGA KERJA'!H204="KATEGORI B",VLOOKUP(J205,'TER 2024'!$B$46:$E$85,4),IF('TENAGA KERJA'!H204="KATEGORI C",VLOOKUP(J205,'TER 2024'!$B$86:$E$126,4),0)))</f>
        <v>0</v>
      </c>
      <c r="L205" s="48">
        <f>IF('TENAGA KERJA'!F204="NPWP",'PPH PSL 21 - GROSS (MULAI 2024)'!J205*K205,IF('TENAGA KERJA'!F204="NON-NPWP",'PPH PSL 21 - GROSS (MULAI 2024)'!J205*K205*120%,0))</f>
        <v>0</v>
      </c>
    </row>
    <row r="206" spans="1:12">
      <c r="A206" s="45" t="str">
        <f>IF('TENAGA KERJA'!A205=0,"",'TENAGA KERJA'!A205)</f>
        <v/>
      </c>
      <c r="B206" s="24" t="str">
        <f>IF('TENAGA KERJA'!B205=0,"",'TENAGA KERJA'!B205)</f>
        <v/>
      </c>
      <c r="C206" s="43">
        <f>'TENAGA KERJA'!K205</f>
        <v>0</v>
      </c>
      <c r="D206" s="46">
        <f>'TENAGA KERJA'!L205</f>
        <v>0</v>
      </c>
      <c r="E206" s="46">
        <f>'TENAGA KERJA'!M205</f>
        <v>0</v>
      </c>
      <c r="F206" s="43">
        <f>'TENAGA KERJA'!N205</f>
        <v>0</v>
      </c>
      <c r="G206" s="43">
        <f>'BPJS TK'!D206</f>
        <v>0</v>
      </c>
      <c r="H206" s="43">
        <f>'BPJS TK'!E206</f>
        <v>0</v>
      </c>
      <c r="I206" s="46">
        <f>'BPJS KES'!D206</f>
        <v>0</v>
      </c>
      <c r="J206" s="43">
        <f t="shared" si="5"/>
        <v>0</v>
      </c>
      <c r="K206" s="47">
        <f>IF('TENAGA KERJA'!H205="KATEGORI A",VLOOKUP(J206,'TER 2024'!$B$2:$E$45,4),IF('TENAGA KERJA'!H205="KATEGORI B",VLOOKUP(J206,'TER 2024'!$B$46:$E$85,4),IF('TENAGA KERJA'!H205="KATEGORI C",VLOOKUP(J206,'TER 2024'!$B$86:$E$126,4),0)))</f>
        <v>0</v>
      </c>
      <c r="L206" s="48">
        <f>IF('TENAGA KERJA'!F205="NPWP",'PPH PSL 21 - GROSS (MULAI 2024)'!J206*K206,IF('TENAGA KERJA'!F205="NON-NPWP",'PPH PSL 21 - GROSS (MULAI 2024)'!J206*K206*120%,0))</f>
        <v>0</v>
      </c>
    </row>
    <row r="207" spans="1:12">
      <c r="A207" s="45" t="str">
        <f>IF('TENAGA KERJA'!A206=0,"",'TENAGA KERJA'!A206)</f>
        <v/>
      </c>
      <c r="B207" s="24" t="str">
        <f>IF('TENAGA KERJA'!B206=0,"",'TENAGA KERJA'!B206)</f>
        <v/>
      </c>
      <c r="C207" s="43">
        <f>'TENAGA KERJA'!K206</f>
        <v>0</v>
      </c>
      <c r="D207" s="46">
        <f>'TENAGA KERJA'!L206</f>
        <v>0</v>
      </c>
      <c r="E207" s="46">
        <f>'TENAGA KERJA'!M206</f>
        <v>0</v>
      </c>
      <c r="F207" s="43">
        <f>'TENAGA KERJA'!N206</f>
        <v>0</v>
      </c>
      <c r="G207" s="43">
        <f>'BPJS TK'!D207</f>
        <v>0</v>
      </c>
      <c r="H207" s="43">
        <f>'BPJS TK'!E207</f>
        <v>0</v>
      </c>
      <c r="I207" s="46">
        <f>'BPJS KES'!D207</f>
        <v>0</v>
      </c>
      <c r="J207" s="43">
        <f t="shared" si="5"/>
        <v>0</v>
      </c>
      <c r="K207" s="47">
        <f>IF('TENAGA KERJA'!H206="KATEGORI A",VLOOKUP(J207,'TER 2024'!$B$2:$E$45,4),IF('TENAGA KERJA'!H206="KATEGORI B",VLOOKUP(J207,'TER 2024'!$B$46:$E$85,4),IF('TENAGA KERJA'!H206="KATEGORI C",VLOOKUP(J207,'TER 2024'!$B$86:$E$126,4),0)))</f>
        <v>0</v>
      </c>
      <c r="L207" s="48">
        <f>IF('TENAGA KERJA'!F206="NPWP",'PPH PSL 21 - GROSS (MULAI 2024)'!J207*K207,IF('TENAGA KERJA'!F206="NON-NPWP",'PPH PSL 21 - GROSS (MULAI 2024)'!J207*K207*120%,0))</f>
        <v>0</v>
      </c>
    </row>
    <row r="208" spans="1:12">
      <c r="A208" s="45" t="str">
        <f>IF('TENAGA KERJA'!A207=0,"",'TENAGA KERJA'!A207)</f>
        <v/>
      </c>
      <c r="B208" s="24" t="str">
        <f>IF('TENAGA KERJA'!B207=0,"",'TENAGA KERJA'!B207)</f>
        <v/>
      </c>
      <c r="C208" s="43">
        <f>'TENAGA KERJA'!K207</f>
        <v>0</v>
      </c>
      <c r="D208" s="46">
        <f>'TENAGA KERJA'!L207</f>
        <v>0</v>
      </c>
      <c r="E208" s="46">
        <f>'TENAGA KERJA'!M207</f>
        <v>0</v>
      </c>
      <c r="F208" s="43">
        <f>'TENAGA KERJA'!N207</f>
        <v>0</v>
      </c>
      <c r="G208" s="43">
        <f>'BPJS TK'!D208</f>
        <v>0</v>
      </c>
      <c r="H208" s="43">
        <f>'BPJS TK'!E208</f>
        <v>0</v>
      </c>
      <c r="I208" s="46">
        <f>'BPJS KES'!D208</f>
        <v>0</v>
      </c>
      <c r="J208" s="43">
        <f t="shared" si="5"/>
        <v>0</v>
      </c>
      <c r="K208" s="47">
        <f>IF('TENAGA KERJA'!H207="KATEGORI A",VLOOKUP(J208,'TER 2024'!$B$2:$E$45,4),IF('TENAGA KERJA'!H207="KATEGORI B",VLOOKUP(J208,'TER 2024'!$B$46:$E$85,4),IF('TENAGA KERJA'!H207="KATEGORI C",VLOOKUP(J208,'TER 2024'!$B$86:$E$126,4),0)))</f>
        <v>0</v>
      </c>
      <c r="L208" s="48">
        <f>IF('TENAGA KERJA'!F207="NPWP",'PPH PSL 21 - GROSS (MULAI 2024)'!J208*K208,IF('TENAGA KERJA'!F207="NON-NPWP",'PPH PSL 21 - GROSS (MULAI 2024)'!J208*K208*120%,0))</f>
        <v>0</v>
      </c>
    </row>
    <row r="209" spans="1:12">
      <c r="A209" s="45" t="str">
        <f>IF('TENAGA KERJA'!A208=0,"",'TENAGA KERJA'!A208)</f>
        <v/>
      </c>
      <c r="B209" s="24" t="str">
        <f>IF('TENAGA KERJA'!B208=0,"",'TENAGA KERJA'!B208)</f>
        <v/>
      </c>
      <c r="C209" s="43">
        <f>'TENAGA KERJA'!K208</f>
        <v>0</v>
      </c>
      <c r="D209" s="46">
        <f>'TENAGA KERJA'!L208</f>
        <v>0</v>
      </c>
      <c r="E209" s="46">
        <f>'TENAGA KERJA'!M208</f>
        <v>0</v>
      </c>
      <c r="F209" s="43">
        <f>'TENAGA KERJA'!N208</f>
        <v>0</v>
      </c>
      <c r="G209" s="43">
        <f>'BPJS TK'!D209</f>
        <v>0</v>
      </c>
      <c r="H209" s="43">
        <f>'BPJS TK'!E209</f>
        <v>0</v>
      </c>
      <c r="I209" s="46">
        <f>'BPJS KES'!D209</f>
        <v>0</v>
      </c>
      <c r="J209" s="43">
        <f t="shared" si="5"/>
        <v>0</v>
      </c>
      <c r="K209" s="47">
        <f>IF('TENAGA KERJA'!H208="KATEGORI A",VLOOKUP(J209,'TER 2024'!$B$2:$E$45,4),IF('TENAGA KERJA'!H208="KATEGORI B",VLOOKUP(J209,'TER 2024'!$B$46:$E$85,4),IF('TENAGA KERJA'!H208="KATEGORI C",VLOOKUP(J209,'TER 2024'!$B$86:$E$126,4),0)))</f>
        <v>0</v>
      </c>
      <c r="L209" s="48">
        <f>IF('TENAGA KERJA'!F208="NPWP",'PPH PSL 21 - GROSS (MULAI 2024)'!J209*K209,IF('TENAGA KERJA'!F208="NON-NPWP",'PPH PSL 21 - GROSS (MULAI 2024)'!J209*K209*120%,0))</f>
        <v>0</v>
      </c>
    </row>
    <row r="210" spans="1:12">
      <c r="A210" s="45" t="str">
        <f>IF('TENAGA KERJA'!A209=0,"",'TENAGA KERJA'!A209)</f>
        <v/>
      </c>
      <c r="B210" s="24" t="str">
        <f>IF('TENAGA KERJA'!B209=0,"",'TENAGA KERJA'!B209)</f>
        <v/>
      </c>
      <c r="C210" s="43">
        <f>'TENAGA KERJA'!K209</f>
        <v>0</v>
      </c>
      <c r="D210" s="46">
        <f>'TENAGA KERJA'!L209</f>
        <v>0</v>
      </c>
      <c r="E210" s="46">
        <f>'TENAGA KERJA'!M209</f>
        <v>0</v>
      </c>
      <c r="F210" s="43">
        <f>'TENAGA KERJA'!N209</f>
        <v>0</v>
      </c>
      <c r="G210" s="43">
        <f>'BPJS TK'!D210</f>
        <v>0</v>
      </c>
      <c r="H210" s="43">
        <f>'BPJS TK'!E210</f>
        <v>0</v>
      </c>
      <c r="I210" s="46">
        <f>'BPJS KES'!D210</f>
        <v>0</v>
      </c>
      <c r="J210" s="43">
        <f t="shared" si="5"/>
        <v>0</v>
      </c>
      <c r="K210" s="47">
        <f>IF('TENAGA KERJA'!H209="KATEGORI A",VLOOKUP(J210,'TER 2024'!$B$2:$E$45,4),IF('TENAGA KERJA'!H209="KATEGORI B",VLOOKUP(J210,'TER 2024'!$B$46:$E$85,4),IF('TENAGA KERJA'!H209="KATEGORI C",VLOOKUP(J210,'TER 2024'!$B$86:$E$126,4),0)))</f>
        <v>0</v>
      </c>
      <c r="L210" s="48">
        <f>IF('TENAGA KERJA'!F209="NPWP",'PPH PSL 21 - GROSS (MULAI 2024)'!J210*K210,IF('TENAGA KERJA'!F209="NON-NPWP",'PPH PSL 21 - GROSS (MULAI 2024)'!J210*K210*120%,0))</f>
        <v>0</v>
      </c>
    </row>
    <row r="211" spans="1:12">
      <c r="A211" s="137" t="str">
        <f>IF('TENAGA KERJA'!A210=0,"",'TENAGA KERJA'!A210)</f>
        <v/>
      </c>
      <c r="B211" s="136" t="str">
        <f>IF('TENAGA KERJA'!B210=0,"",'TENAGA KERJA'!B210)</f>
        <v/>
      </c>
      <c r="C211" s="165">
        <f>SUM(C3:C210)</f>
        <v>67649414</v>
      </c>
      <c r="D211" s="165">
        <f t="shared" ref="D211:L211" si="6">SUM(D3:D210)</f>
        <v>31460000</v>
      </c>
      <c r="E211" s="165">
        <f t="shared" si="6"/>
        <v>19282680.017341044</v>
      </c>
      <c r="F211" s="165">
        <f t="shared" si="6"/>
        <v>32950000</v>
      </c>
      <c r="G211" s="165">
        <f t="shared" si="6"/>
        <v>986987.70550000062</v>
      </c>
      <c r="H211" s="165">
        <f t="shared" si="6"/>
        <v>332692.48500000004</v>
      </c>
      <c r="I211" s="165">
        <f t="shared" si="6"/>
        <v>4918297.4400000023</v>
      </c>
      <c r="J211" s="165">
        <f t="shared" si="6"/>
        <v>157580071.64784107</v>
      </c>
      <c r="K211" s="165">
        <f t="shared" si="6"/>
        <v>0.22250000000000009</v>
      </c>
      <c r="L211" s="165">
        <f t="shared" si="6"/>
        <v>1551423.5600787443</v>
      </c>
    </row>
    <row r="212" spans="1:12">
      <c r="F212" s="26"/>
      <c r="K212" s="22"/>
      <c r="L212" s="50"/>
    </row>
    <row r="213" spans="1:12">
      <c r="F213" s="26"/>
      <c r="K213" s="22"/>
    </row>
    <row r="214" spans="1:12">
      <c r="F214" s="26"/>
      <c r="K214" s="22"/>
      <c r="L214" s="50"/>
    </row>
    <row r="215" spans="1:12">
      <c r="F215" s="26"/>
      <c r="K215" s="22"/>
      <c r="L215" s="51"/>
    </row>
    <row r="216" spans="1:12">
      <c r="F216" s="26"/>
      <c r="K216" s="22"/>
    </row>
    <row r="217" spans="1:12">
      <c r="F217" s="26"/>
      <c r="K217" s="22"/>
    </row>
    <row r="218" spans="1:12">
      <c r="F218" s="26"/>
      <c r="K218" s="22"/>
    </row>
    <row r="219" spans="1:12">
      <c r="F219" s="26"/>
      <c r="K219" s="22"/>
    </row>
    <row r="220" spans="1:12">
      <c r="F220" s="26"/>
      <c r="K220" s="22"/>
    </row>
    <row r="221" spans="1:12">
      <c r="F221" s="26"/>
      <c r="K221" s="22"/>
    </row>
    <row r="222" spans="1:12">
      <c r="F222" s="26"/>
      <c r="K222" s="22"/>
    </row>
    <row r="223" spans="1:12">
      <c r="F223" s="26"/>
      <c r="K223" s="22"/>
    </row>
    <row r="224" spans="1:12">
      <c r="F224" s="26"/>
      <c r="K224" s="22"/>
    </row>
    <row r="225" spans="6:11">
      <c r="F225" s="26"/>
      <c r="K225" s="22"/>
    </row>
    <row r="226" spans="6:11">
      <c r="F226" s="26"/>
      <c r="K226" s="22"/>
    </row>
    <row r="227" spans="6:11">
      <c r="F227" s="26"/>
      <c r="K227" s="22"/>
    </row>
    <row r="228" spans="6:11">
      <c r="F228" s="26"/>
      <c r="K228" s="22"/>
    </row>
    <row r="229" spans="6:11">
      <c r="F229" s="26"/>
      <c r="K229" s="22"/>
    </row>
    <row r="230" spans="6:11">
      <c r="F230" s="26"/>
      <c r="K230" s="22"/>
    </row>
    <row r="231" spans="6:11">
      <c r="F231" s="26"/>
      <c r="K231" s="22"/>
    </row>
    <row r="232" spans="6:11">
      <c r="F232" s="26"/>
      <c r="K232" s="22"/>
    </row>
    <row r="233" spans="6:11">
      <c r="F233" s="26"/>
      <c r="K233" s="22"/>
    </row>
    <row r="234" spans="6:11">
      <c r="F234" s="26"/>
      <c r="K234" s="22"/>
    </row>
    <row r="235" spans="6:11">
      <c r="F235" s="26"/>
      <c r="K235" s="22"/>
    </row>
    <row r="236" spans="6:11">
      <c r="F236" s="26"/>
      <c r="K236" s="22"/>
    </row>
    <row r="237" spans="6:11">
      <c r="F237" s="26"/>
      <c r="K237" s="22"/>
    </row>
    <row r="238" spans="6:11">
      <c r="F238" s="26"/>
      <c r="K238" s="22"/>
    </row>
    <row r="239" spans="6:11">
      <c r="F239" s="26"/>
      <c r="K239" s="22"/>
    </row>
  </sheetData>
  <mergeCells count="10">
    <mergeCell ref="L1:L2"/>
    <mergeCell ref="G1:I1"/>
    <mergeCell ref="J1:J2"/>
    <mergeCell ref="F1:F2"/>
    <mergeCell ref="K1:K2"/>
    <mergeCell ref="A1:A2"/>
    <mergeCell ref="B1:B2"/>
    <mergeCell ref="C1:C2"/>
    <mergeCell ref="D1:D2"/>
    <mergeCell ref="E1:E2"/>
  </mergeCells>
  <printOptions horizontalCentered="1"/>
  <pageMargins left="0" right="0" top="0" bottom="0" header="0" footer="0"/>
  <pageSetup paperSize="9" scale="45" fitToWidth="2" fitToHeight="2" orientation="landscape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outlinePr summaryBelow="0" summaryRight="0"/>
  </sheetPr>
  <dimension ref="A1:Z213"/>
  <sheetViews>
    <sheetView showGridLines="0" zoomScale="106" zoomScaleNormal="106" zoomScaleSheetLayoutView="80" workbookViewId="0">
      <pane xSplit="2" ySplit="2" topLeftCell="C86" activePane="bottomRight" state="frozen"/>
      <selection pane="topRight" activeCell="C1" sqref="C1"/>
      <selection pane="bottomLeft" activeCell="A3" sqref="A3"/>
      <selection pane="bottomRight" activeCell="B215" sqref="B215"/>
    </sheetView>
  </sheetViews>
  <sheetFormatPr defaultColWidth="12.69921875" defaultRowHeight="18"/>
  <cols>
    <col min="1" max="1" width="6.296875" style="22" customWidth="1"/>
    <col min="2" max="2" width="39.5" style="22" customWidth="1"/>
    <col min="3" max="3" width="13.19921875" style="25" customWidth="1"/>
    <col min="4" max="4" width="18.19921875" style="25" customWidth="1"/>
    <col min="5" max="5" width="12.3984375" style="25" customWidth="1"/>
    <col min="6" max="6" width="20.69921875" style="25" customWidth="1"/>
    <col min="7" max="8" width="20.69921875" style="42" customWidth="1"/>
    <col min="9" max="11" width="20.69921875" style="25" customWidth="1"/>
    <col min="12" max="12" width="16" style="25" customWidth="1"/>
    <col min="13" max="13" width="13.19921875" style="25" customWidth="1"/>
    <col min="14" max="14" width="11.19921875" style="25" customWidth="1"/>
    <col min="15" max="15" width="13.796875" style="25" customWidth="1"/>
    <col min="16" max="16" width="16.19921875" style="25" customWidth="1"/>
    <col min="17" max="17" width="17" style="25" customWidth="1"/>
    <col min="18" max="18" width="16.3984375" style="25" customWidth="1"/>
    <col min="19" max="19" width="15" style="25" customWidth="1"/>
    <col min="20" max="20" width="16.59765625" style="25" customWidth="1"/>
    <col min="21" max="21" width="13.296875" style="42" customWidth="1"/>
    <col min="22" max="22" width="13.19921875" style="42" customWidth="1"/>
    <col min="23" max="23" width="16" style="42" customWidth="1"/>
    <col min="24" max="24" width="16" style="199" customWidth="1"/>
    <col min="25" max="25" width="15.3984375" style="22" bestFit="1" customWidth="1"/>
    <col min="26" max="16384" width="12.69921875" style="22"/>
  </cols>
  <sheetData>
    <row r="1" spans="1:24" ht="15.45" customHeight="1">
      <c r="A1" s="235" t="s">
        <v>22</v>
      </c>
      <c r="B1" s="235" t="s">
        <v>42</v>
      </c>
      <c r="C1" s="235" t="s">
        <v>79</v>
      </c>
      <c r="D1" s="235" t="s">
        <v>25</v>
      </c>
      <c r="E1" s="235" t="s">
        <v>26</v>
      </c>
      <c r="F1" s="233" t="s">
        <v>49</v>
      </c>
      <c r="G1" s="248"/>
      <c r="H1" s="248"/>
      <c r="I1" s="249"/>
      <c r="J1" s="242" t="s">
        <v>50</v>
      </c>
      <c r="K1" s="250" t="s">
        <v>6</v>
      </c>
      <c r="L1" s="248"/>
      <c r="M1" s="248"/>
      <c r="N1" s="248"/>
      <c r="O1" s="249"/>
      <c r="P1" s="235" t="s">
        <v>51</v>
      </c>
      <c r="Q1" s="242" t="s">
        <v>52</v>
      </c>
      <c r="R1" s="240" t="s">
        <v>80</v>
      </c>
      <c r="S1" s="248"/>
      <c r="T1" s="248"/>
      <c r="U1" s="249"/>
      <c r="V1" s="251" t="s">
        <v>53</v>
      </c>
      <c r="W1" s="245" t="s">
        <v>54</v>
      </c>
      <c r="X1" s="195"/>
    </row>
    <row r="2" spans="1:24">
      <c r="A2" s="228"/>
      <c r="B2" s="228"/>
      <c r="C2" s="247"/>
      <c r="D2" s="247"/>
      <c r="E2" s="247"/>
      <c r="F2" s="33" t="s">
        <v>43</v>
      </c>
      <c r="G2" s="34" t="s">
        <v>55</v>
      </c>
      <c r="H2" s="35" t="s">
        <v>31</v>
      </c>
      <c r="I2" s="36" t="s">
        <v>61</v>
      </c>
      <c r="J2" s="247"/>
      <c r="K2" s="37" t="s">
        <v>46</v>
      </c>
      <c r="L2" s="37" t="s">
        <v>47</v>
      </c>
      <c r="M2" s="37" t="s">
        <v>56</v>
      </c>
      <c r="N2" s="37" t="s">
        <v>57</v>
      </c>
      <c r="O2" s="37" t="s">
        <v>58</v>
      </c>
      <c r="P2" s="247"/>
      <c r="Q2" s="247"/>
      <c r="R2" s="30" t="s">
        <v>44</v>
      </c>
      <c r="S2" s="30" t="s">
        <v>45</v>
      </c>
      <c r="T2" s="30" t="s">
        <v>48</v>
      </c>
      <c r="U2" s="38" t="s">
        <v>59</v>
      </c>
      <c r="V2" s="252"/>
      <c r="W2" s="246"/>
      <c r="X2" s="196"/>
    </row>
    <row r="3" spans="1:24">
      <c r="A3" s="23">
        <f>IF('TENAGA KERJA'!A2=0,"",'TENAGA KERJA'!A2)</f>
        <v>1</v>
      </c>
      <c r="B3" s="28" t="str">
        <f>IF('TENAGA KERJA'!B2=0,"",'TENAGA KERJA'!B2)</f>
        <v>ABDUL HALIM</v>
      </c>
      <c r="C3" s="23" t="str">
        <f>IF('TENAGA KERJA'!C2=0,"",'TENAGA KERJA'!C2)</f>
        <v>222020</v>
      </c>
      <c r="D3" s="23" t="str">
        <f>IF('TENAGA KERJA'!D2=0,"",'TENAGA KERJA'!D2)</f>
        <v/>
      </c>
      <c r="E3" s="23">
        <f>IF('TENAGA KERJA'!E2=0,"",'TENAGA KERJA'!E2)</f>
        <v>1</v>
      </c>
      <c r="F3" s="39">
        <f>'TENAGA KERJA'!K2</f>
        <v>2961337</v>
      </c>
      <c r="G3" s="40">
        <f>'TENAGA KERJA'!L2</f>
        <v>1430000</v>
      </c>
      <c r="H3" s="40">
        <f>'TENAGA KERJA'!M2</f>
        <v>1154947.0144508672</v>
      </c>
      <c r="I3" s="39">
        <f>'TENAGA KERJA'!N2</f>
        <v>1550000</v>
      </c>
      <c r="J3" s="39">
        <f t="shared" ref="J3" si="0">SUM(F3:I3)</f>
        <v>7096284.0144508667</v>
      </c>
      <c r="K3" s="39">
        <f>'BPJS TK'!D3</f>
        <v>39082.899299999997</v>
      </c>
      <c r="L3" s="39">
        <f>'BPJS TK'!E3</f>
        <v>13174.011</v>
      </c>
      <c r="M3" s="39">
        <f>'BPJS TK'!F3</f>
        <v>162479.46899999998</v>
      </c>
      <c r="N3" s="39">
        <f>'BPJS TK'!H3</f>
        <v>0</v>
      </c>
      <c r="O3" s="39">
        <f>'BPJS KES'!D3</f>
        <v>175653.48</v>
      </c>
      <c r="P3" s="39">
        <f t="shared" ref="P3" si="1">SUM(K3:O3)</f>
        <v>390389.85930000001</v>
      </c>
      <c r="Q3" s="39">
        <f t="shared" ref="Q3" si="2">J3+P3</f>
        <v>7486673.8737508664</v>
      </c>
      <c r="R3" s="39">
        <f>'BPJS TK'!G3</f>
        <v>87826.74</v>
      </c>
      <c r="S3" s="39">
        <f>'BPJS TK'!I3</f>
        <v>0</v>
      </c>
      <c r="T3" s="39">
        <f>'BPJS KES'!E3</f>
        <v>43913.37</v>
      </c>
      <c r="U3" s="40">
        <f>'PPH PSL 21 - GROSS (MULAI 2024)'!L3</f>
        <v>36620.972023754337</v>
      </c>
      <c r="V3" s="41">
        <f t="shared" ref="V3" si="3">SUM(R3:U3)</f>
        <v>168361.08202375437</v>
      </c>
      <c r="W3" s="49">
        <f t="shared" ref="W3:W66" si="4">J3-V3</f>
        <v>6927922.932427112</v>
      </c>
      <c r="X3" s="197"/>
    </row>
    <row r="4" spans="1:24">
      <c r="A4" s="23">
        <f>IF('TENAGA KERJA'!A3=0,"",'TENAGA KERJA'!A3)</f>
        <v>2</v>
      </c>
      <c r="B4" s="28" t="str">
        <f>IF('TENAGA KERJA'!B3=0,"",'TENAGA KERJA'!B3)</f>
        <v>SRI ASLINDA</v>
      </c>
      <c r="C4" s="23" t="str">
        <f>IF('TENAGA KERJA'!C3=0,"",'TENAGA KERJA'!C3)</f>
        <v>K252070</v>
      </c>
      <c r="D4" s="23" t="str">
        <f>IF('TENAGA KERJA'!D3=0,"",'TENAGA KERJA'!D3)</f>
        <v/>
      </c>
      <c r="E4" s="23">
        <f>IF('TENAGA KERJA'!E3=0,"",'TENAGA KERJA'!E3)</f>
        <v>2</v>
      </c>
      <c r="F4" s="39">
        <f>'TENAGA KERJA'!K3</f>
        <v>2961337</v>
      </c>
      <c r="G4" s="40">
        <f>'TENAGA KERJA'!L3</f>
        <v>1430000</v>
      </c>
      <c r="H4" s="40">
        <f>'TENAGA KERJA'!M3</f>
        <v>300000</v>
      </c>
      <c r="I4" s="39">
        <f>'TENAGA KERJA'!N3</f>
        <v>1550000</v>
      </c>
      <c r="J4" s="39">
        <f t="shared" ref="J4" si="5">SUM(F4:I4)</f>
        <v>6241337</v>
      </c>
      <c r="K4" s="39">
        <f>'BPJS TK'!D4</f>
        <v>39082.899299999997</v>
      </c>
      <c r="L4" s="39">
        <f>'BPJS TK'!E4</f>
        <v>13174.011</v>
      </c>
      <c r="M4" s="39">
        <f>'BPJS TK'!F4</f>
        <v>162479.46899999998</v>
      </c>
      <c r="N4" s="39">
        <f>'BPJS TK'!H4</f>
        <v>0</v>
      </c>
      <c r="O4" s="39">
        <f>'BPJS KES'!D4</f>
        <v>175653.48</v>
      </c>
      <c r="P4" s="39">
        <f t="shared" ref="P4" si="6">SUM(K4:O4)</f>
        <v>390389.85930000001</v>
      </c>
      <c r="Q4" s="39">
        <f t="shared" ref="Q4" si="7">J4+P4</f>
        <v>6631726.8592999997</v>
      </c>
      <c r="R4" s="39">
        <f>'BPJS TK'!G4</f>
        <v>87826.74</v>
      </c>
      <c r="S4" s="39">
        <f>'BPJS TK'!I4</f>
        <v>0</v>
      </c>
      <c r="T4" s="39">
        <f>'BPJS KES'!E4</f>
        <v>43913.37</v>
      </c>
      <c r="U4" s="40">
        <f>'PPH PSL 21 - GROSS (MULAI 2024)'!L4</f>
        <v>64692.473903000006</v>
      </c>
      <c r="V4" s="41">
        <f t="shared" ref="V4" si="8">SUM(R4:U4)</f>
        <v>196432.58390300002</v>
      </c>
      <c r="W4" s="49">
        <f t="shared" si="4"/>
        <v>6044904.4160970002</v>
      </c>
      <c r="X4" s="197"/>
    </row>
    <row r="5" spans="1:24">
      <c r="A5" s="23">
        <f>IF('TENAGA KERJA'!A4=0,"",'TENAGA KERJA'!A4)</f>
        <v>3</v>
      </c>
      <c r="B5" s="28" t="str">
        <f>IF('TENAGA KERJA'!B4=0,"",'TENAGA KERJA'!B4)</f>
        <v>RAFLY RAHMADAN GOBEL</v>
      </c>
      <c r="C5" s="23" t="str">
        <f>IF('TENAGA KERJA'!C4=0,"",'TENAGA KERJA'!C4)</f>
        <v>K262009</v>
      </c>
      <c r="D5" s="23" t="str">
        <f>IF('TENAGA KERJA'!D4=0,"",'TENAGA KERJA'!D4)</f>
        <v/>
      </c>
      <c r="E5" s="23">
        <f>IF('TENAGA KERJA'!E4=0,"",'TENAGA KERJA'!E4)</f>
        <v>3</v>
      </c>
      <c r="F5" s="39">
        <f>'TENAGA KERJA'!K4</f>
        <v>2961337</v>
      </c>
      <c r="G5" s="40">
        <f>'TENAGA KERJA'!L4</f>
        <v>1430000</v>
      </c>
      <c r="H5" s="40">
        <f>'TENAGA KERJA'!M4</f>
        <v>1231097.3670520231</v>
      </c>
      <c r="I5" s="39">
        <f>'TENAGA KERJA'!N4</f>
        <v>1550000</v>
      </c>
      <c r="J5" s="39">
        <f t="shared" ref="J5:J68" si="9">SUM(F5:I5)</f>
        <v>7172434.3670520233</v>
      </c>
      <c r="K5" s="39">
        <f>'BPJS TK'!D5</f>
        <v>39082.899299999997</v>
      </c>
      <c r="L5" s="39">
        <f>'BPJS TK'!E5</f>
        <v>13174.011</v>
      </c>
      <c r="M5" s="39">
        <f>'BPJS TK'!F5</f>
        <v>162479.46899999998</v>
      </c>
      <c r="N5" s="39">
        <f>'BPJS TK'!H5</f>
        <v>0</v>
      </c>
      <c r="O5" s="39">
        <f>'BPJS KES'!D5</f>
        <v>175653.48</v>
      </c>
      <c r="P5" s="39">
        <f t="shared" ref="P5:P68" si="10">SUM(K5:O5)</f>
        <v>390389.85930000001</v>
      </c>
      <c r="Q5" s="39">
        <f t="shared" ref="Q5:Q68" si="11">J5+P5</f>
        <v>7562824.226352023</v>
      </c>
      <c r="R5" s="39">
        <f>'BPJS TK'!G5</f>
        <v>87826.74</v>
      </c>
      <c r="S5" s="39">
        <f>'BPJS TK'!I5</f>
        <v>0</v>
      </c>
      <c r="T5" s="39">
        <f>'BPJS KES'!E5</f>
        <v>43913.37</v>
      </c>
      <c r="U5" s="40">
        <f>'PPH PSL 21 - GROSS (MULAI 2024)'!L5</f>
        <v>92504.309466900304</v>
      </c>
      <c r="V5" s="41">
        <f t="shared" ref="V5:V68" si="12">SUM(R5:U5)</f>
        <v>224244.41946690032</v>
      </c>
      <c r="W5" s="49">
        <f t="shared" si="4"/>
        <v>6948189.9475851227</v>
      </c>
      <c r="X5" s="197"/>
    </row>
    <row r="6" spans="1:24">
      <c r="A6" s="23">
        <f>IF('TENAGA KERJA'!A5=0,"",'TENAGA KERJA'!A5)</f>
        <v>4</v>
      </c>
      <c r="B6" s="28" t="str">
        <f>IF('TENAGA KERJA'!B5=0,"",'TENAGA KERJA'!B5)</f>
        <v>RAHMAT HIDAYAT</v>
      </c>
      <c r="C6" s="23" t="str">
        <f>IF('TENAGA KERJA'!C5=0,"",'TENAGA KERJA'!C5)</f>
        <v>K262015</v>
      </c>
      <c r="D6" s="23" t="str">
        <f>IF('TENAGA KERJA'!D5=0,"",'TENAGA KERJA'!D5)</f>
        <v/>
      </c>
      <c r="E6" s="23">
        <f>IF('TENAGA KERJA'!E5=0,"",'TENAGA KERJA'!E5)</f>
        <v>4</v>
      </c>
      <c r="F6" s="39">
        <f>'TENAGA KERJA'!K5</f>
        <v>2961337</v>
      </c>
      <c r="G6" s="40">
        <f>'TENAGA KERJA'!L5</f>
        <v>1430000</v>
      </c>
      <c r="H6" s="40">
        <f>'TENAGA KERJA'!M5</f>
        <v>1637232.5809248555</v>
      </c>
      <c r="I6" s="39">
        <f>'TENAGA KERJA'!N5</f>
        <v>1550000</v>
      </c>
      <c r="J6" s="39">
        <f t="shared" si="9"/>
        <v>7578569.5809248555</v>
      </c>
      <c r="K6" s="39">
        <f>'BPJS TK'!D6</f>
        <v>39082.899299999997</v>
      </c>
      <c r="L6" s="39">
        <f>'BPJS TK'!E6</f>
        <v>13174.011</v>
      </c>
      <c r="M6" s="39">
        <f>'BPJS TK'!F6</f>
        <v>162479.46899999998</v>
      </c>
      <c r="N6" s="39">
        <f>'BPJS TK'!H6</f>
        <v>0</v>
      </c>
      <c r="O6" s="39">
        <f>'BPJS KES'!D6</f>
        <v>175653.48</v>
      </c>
      <c r="P6" s="39">
        <f t="shared" si="10"/>
        <v>390389.85930000001</v>
      </c>
      <c r="Q6" s="39">
        <f t="shared" si="11"/>
        <v>7968959.4402248552</v>
      </c>
      <c r="R6" s="39">
        <f>'BPJS TK'!G6</f>
        <v>87826.74</v>
      </c>
      <c r="S6" s="39">
        <f>'BPJS TK'!I6</f>
        <v>0</v>
      </c>
      <c r="T6" s="39">
        <f>'BPJS KES'!E6</f>
        <v>43913.37</v>
      </c>
      <c r="U6" s="40">
        <f>'PPH PSL 21 - GROSS (MULAI 2024)'!L6</f>
        <v>117097.19956837283</v>
      </c>
      <c r="V6" s="41">
        <f t="shared" si="12"/>
        <v>248837.30956837285</v>
      </c>
      <c r="W6" s="49">
        <f t="shared" si="4"/>
        <v>7329732.271356483</v>
      </c>
      <c r="X6" s="197"/>
    </row>
    <row r="7" spans="1:24">
      <c r="A7" s="23">
        <f>IF('TENAGA KERJA'!A6=0,"",'TENAGA KERJA'!A6)</f>
        <v>5</v>
      </c>
      <c r="B7" s="28" t="str">
        <f>IF('TENAGA KERJA'!B6=0,"",'TENAGA KERJA'!B6)</f>
        <v>ARYABAYA SRIPATI</v>
      </c>
      <c r="C7" s="23" t="str">
        <f>IF('TENAGA KERJA'!C6=0,"",'TENAGA KERJA'!C6)</f>
        <v>K262020</v>
      </c>
      <c r="D7" s="23" t="str">
        <f>IF('TENAGA KERJA'!D6=0,"",'TENAGA KERJA'!D6)</f>
        <v/>
      </c>
      <c r="E7" s="23">
        <f>IF('TENAGA KERJA'!E6=0,"",'TENAGA KERJA'!E6)</f>
        <v>5</v>
      </c>
      <c r="F7" s="39">
        <f>'TENAGA KERJA'!K6</f>
        <v>2961337</v>
      </c>
      <c r="G7" s="40">
        <f>'TENAGA KERJA'!L6</f>
        <v>1430000</v>
      </c>
      <c r="H7" s="40">
        <f>'TENAGA KERJA'!M6</f>
        <v>342676.58670520229</v>
      </c>
      <c r="I7" s="39">
        <f>'TENAGA KERJA'!N6</f>
        <v>1550000</v>
      </c>
      <c r="J7" s="39">
        <f t="shared" si="9"/>
        <v>6284013.5867052022</v>
      </c>
      <c r="K7" s="39">
        <f>'BPJS TK'!D7</f>
        <v>39082.899299999997</v>
      </c>
      <c r="L7" s="39">
        <f>'BPJS TK'!E7</f>
        <v>13174.011</v>
      </c>
      <c r="M7" s="39">
        <f>'BPJS TK'!F7</f>
        <v>162479.46899999998</v>
      </c>
      <c r="N7" s="39">
        <f>'BPJS TK'!H7</f>
        <v>0</v>
      </c>
      <c r="O7" s="39">
        <f>'BPJS KES'!D7</f>
        <v>175653.48</v>
      </c>
      <c r="P7" s="39">
        <f t="shared" si="10"/>
        <v>390389.85930000001</v>
      </c>
      <c r="Q7" s="39">
        <f t="shared" si="11"/>
        <v>6674403.4460052019</v>
      </c>
      <c r="R7" s="39">
        <f>'BPJS TK'!G7</f>
        <v>87826.74</v>
      </c>
      <c r="S7" s="39">
        <f>'BPJS TK'!I7</f>
        <v>0</v>
      </c>
      <c r="T7" s="39">
        <f>'BPJS KES'!E7</f>
        <v>43913.37</v>
      </c>
      <c r="U7" s="40">
        <f>'PPH PSL 21 - GROSS (MULAI 2024)'!L7</f>
        <v>65119.239770052023</v>
      </c>
      <c r="V7" s="41">
        <f t="shared" si="12"/>
        <v>196859.34977005204</v>
      </c>
      <c r="W7" s="49">
        <f t="shared" si="4"/>
        <v>6087154.2369351499</v>
      </c>
      <c r="X7" s="197"/>
    </row>
    <row r="8" spans="1:24">
      <c r="A8" s="23">
        <f>IF('TENAGA KERJA'!A7=0,"",'TENAGA KERJA'!A7)</f>
        <v>6</v>
      </c>
      <c r="B8" s="28" t="str">
        <f>IF('TENAGA KERJA'!B7=0,"",'TENAGA KERJA'!B7)</f>
        <v>REZA NURHIDAYAT</v>
      </c>
      <c r="C8" s="23" t="str">
        <f>IF('TENAGA KERJA'!C7=0,"",'TENAGA KERJA'!C7)</f>
        <v>K262021</v>
      </c>
      <c r="D8" s="23" t="str">
        <f>IF('TENAGA KERJA'!D7=0,"",'TENAGA KERJA'!D7)</f>
        <v/>
      </c>
      <c r="E8" s="23">
        <f>IF('TENAGA KERJA'!E7=0,"",'TENAGA KERJA'!E7)</f>
        <v>6</v>
      </c>
      <c r="F8" s="39">
        <f>'TENAGA KERJA'!K7</f>
        <v>2961337</v>
      </c>
      <c r="G8" s="40">
        <f>'TENAGA KERJA'!L7</f>
        <v>1430000</v>
      </c>
      <c r="H8" s="40">
        <f>'TENAGA KERJA'!M7</f>
        <v>850345.60404624278</v>
      </c>
      <c r="I8" s="39">
        <f>'TENAGA KERJA'!N7</f>
        <v>1550000</v>
      </c>
      <c r="J8" s="39">
        <f t="shared" si="9"/>
        <v>6791682.6040462423</v>
      </c>
      <c r="K8" s="39">
        <f>'BPJS TK'!D8</f>
        <v>39082.899299999997</v>
      </c>
      <c r="L8" s="39">
        <f>'BPJS TK'!E8</f>
        <v>13174.011</v>
      </c>
      <c r="M8" s="39">
        <f>'BPJS TK'!F8</f>
        <v>162479.46899999998</v>
      </c>
      <c r="N8" s="39">
        <f>'BPJS TK'!H8</f>
        <v>0</v>
      </c>
      <c r="O8" s="39">
        <f>'BPJS KES'!D8</f>
        <v>175653.48</v>
      </c>
      <c r="P8" s="39">
        <f t="shared" si="10"/>
        <v>390389.85930000001</v>
      </c>
      <c r="Q8" s="39">
        <f t="shared" si="11"/>
        <v>7182072.463346242</v>
      </c>
      <c r="R8" s="39">
        <f>'BPJS TK'!G8</f>
        <v>87826.74</v>
      </c>
      <c r="S8" s="39">
        <f>'BPJS TK'!I8</f>
        <v>0</v>
      </c>
      <c r="T8" s="39">
        <f>'BPJS KES'!E8</f>
        <v>43913.37</v>
      </c>
      <c r="U8" s="40">
        <f>'PPH PSL 21 - GROSS (MULAI 2024)'!L8</f>
        <v>87744.912429328033</v>
      </c>
      <c r="V8" s="41">
        <f t="shared" si="12"/>
        <v>219485.02242932806</v>
      </c>
      <c r="W8" s="49">
        <f t="shared" si="4"/>
        <v>6572197.5816169139</v>
      </c>
      <c r="X8" s="197"/>
    </row>
    <row r="9" spans="1:24">
      <c r="A9" s="23">
        <f>IF('TENAGA KERJA'!A8=0,"",'TENAGA KERJA'!A8)</f>
        <v>7</v>
      </c>
      <c r="B9" s="28" t="str">
        <f>IF('TENAGA KERJA'!B8=0,"",'TENAGA KERJA'!B8)</f>
        <v>MUHAMMAD ANSHAR A</v>
      </c>
      <c r="C9" s="23" t="str">
        <f>IF('TENAGA KERJA'!C8=0,"",'TENAGA KERJA'!C8)</f>
        <v>K262022</v>
      </c>
      <c r="D9" s="23" t="str">
        <f>IF('TENAGA KERJA'!D8=0,"",'TENAGA KERJA'!D8)</f>
        <v/>
      </c>
      <c r="E9" s="23">
        <f>IF('TENAGA KERJA'!E8=0,"",'TENAGA KERJA'!E8)</f>
        <v>7</v>
      </c>
      <c r="F9" s="39">
        <f>'TENAGA KERJA'!K8</f>
        <v>2961337</v>
      </c>
      <c r="G9" s="40">
        <f>'TENAGA KERJA'!L8</f>
        <v>1430000</v>
      </c>
      <c r="H9" s="40">
        <f>'TENAGA KERJA'!M8</f>
        <v>1091488.387283237</v>
      </c>
      <c r="I9" s="39">
        <f>'TENAGA KERJA'!N8</f>
        <v>1550000</v>
      </c>
      <c r="J9" s="39">
        <f t="shared" si="9"/>
        <v>7032825.3872832367</v>
      </c>
      <c r="K9" s="39">
        <f>'BPJS TK'!D9</f>
        <v>39082.899299999997</v>
      </c>
      <c r="L9" s="39">
        <f>'BPJS TK'!E9</f>
        <v>13174.011</v>
      </c>
      <c r="M9" s="39">
        <f>'BPJS TK'!F9</f>
        <v>162479.46899999998</v>
      </c>
      <c r="N9" s="39">
        <f>'BPJS TK'!H9</f>
        <v>0</v>
      </c>
      <c r="O9" s="39">
        <f>'BPJS KES'!D9</f>
        <v>175653.48</v>
      </c>
      <c r="P9" s="39">
        <f t="shared" si="10"/>
        <v>390389.85930000001</v>
      </c>
      <c r="Q9" s="39">
        <f t="shared" si="11"/>
        <v>7423215.2465832364</v>
      </c>
      <c r="R9" s="39">
        <f>'BPJS TK'!G9</f>
        <v>87826.74</v>
      </c>
      <c r="S9" s="39">
        <f>'BPJS TK'!I9</f>
        <v>0</v>
      </c>
      <c r="T9" s="39">
        <f>'BPJS KES'!E9</f>
        <v>43913.37</v>
      </c>
      <c r="U9" s="40">
        <f>'PPH PSL 21 - GROSS (MULAI 2024)'!L9</f>
        <v>54455.518331874271</v>
      </c>
      <c r="V9" s="41">
        <f t="shared" si="12"/>
        <v>186195.62833187429</v>
      </c>
      <c r="W9" s="49">
        <f t="shared" si="4"/>
        <v>6846629.7589513622</v>
      </c>
      <c r="X9" s="197"/>
    </row>
    <row r="10" spans="1:24">
      <c r="A10" s="23">
        <f>IF('TENAGA KERJA'!A9=0,"",'TENAGA KERJA'!A9)</f>
        <v>8</v>
      </c>
      <c r="B10" s="28" t="str">
        <f>IF('TENAGA KERJA'!B9=0,"",'TENAGA KERJA'!B9)</f>
        <v>IKA JULITA</v>
      </c>
      <c r="C10" s="23" t="str">
        <f>IF('TENAGA KERJA'!C9=0,"",'TENAGA KERJA'!C9)</f>
        <v>K262023</v>
      </c>
      <c r="D10" s="23" t="str">
        <f>IF('TENAGA KERJA'!D9=0,"",'TENAGA KERJA'!D9)</f>
        <v/>
      </c>
      <c r="E10" s="23">
        <f>IF('TENAGA KERJA'!E9=0,"",'TENAGA KERJA'!E9)</f>
        <v>8</v>
      </c>
      <c r="F10" s="39">
        <f>'TENAGA KERJA'!K9</f>
        <v>2961337</v>
      </c>
      <c r="G10" s="40">
        <f>'TENAGA KERJA'!L9</f>
        <v>1430000</v>
      </c>
      <c r="H10" s="40">
        <f>'TENAGA KERJA'!M9</f>
        <v>300000</v>
      </c>
      <c r="I10" s="39">
        <f>'TENAGA KERJA'!N9</f>
        <v>1550000</v>
      </c>
      <c r="J10" s="39">
        <f t="shared" si="9"/>
        <v>6241337</v>
      </c>
      <c r="K10" s="39">
        <f>'BPJS TK'!D10</f>
        <v>39082.899299999997</v>
      </c>
      <c r="L10" s="39">
        <f>'BPJS TK'!E10</f>
        <v>13174.011</v>
      </c>
      <c r="M10" s="39">
        <f>'BPJS TK'!F10</f>
        <v>162479.46899999998</v>
      </c>
      <c r="N10" s="39">
        <f>'BPJS TK'!H10</f>
        <v>0</v>
      </c>
      <c r="O10" s="39">
        <f>'BPJS KES'!D10</f>
        <v>175653.48</v>
      </c>
      <c r="P10" s="39">
        <f t="shared" si="10"/>
        <v>390389.85930000001</v>
      </c>
      <c r="Q10" s="39">
        <f t="shared" si="11"/>
        <v>6631726.8592999997</v>
      </c>
      <c r="R10" s="39">
        <f>'BPJS TK'!G10</f>
        <v>87826.74</v>
      </c>
      <c r="S10" s="39">
        <f>'BPJS TK'!I10</f>
        <v>0</v>
      </c>
      <c r="T10" s="39">
        <f>'BPJS KES'!E10</f>
        <v>43913.37</v>
      </c>
      <c r="U10" s="40">
        <f>'PPH PSL 21 - GROSS (MULAI 2024)'!L10</f>
        <v>64692.473903000006</v>
      </c>
      <c r="V10" s="41">
        <f t="shared" si="12"/>
        <v>196432.58390300002</v>
      </c>
      <c r="W10" s="49">
        <f t="shared" si="4"/>
        <v>6044904.4160970002</v>
      </c>
      <c r="X10" s="197"/>
    </row>
    <row r="11" spans="1:24">
      <c r="A11" s="23">
        <f>IF('TENAGA KERJA'!A10=0,"",'TENAGA KERJA'!A10)</f>
        <v>9</v>
      </c>
      <c r="B11" s="28" t="str">
        <f>IF('TENAGA KERJA'!B10=0,"",'TENAGA KERJA'!B10)</f>
        <v>FAJAR SHADIQ HERNANDA</v>
      </c>
      <c r="C11" s="23" t="str">
        <f>IF('TENAGA KERJA'!C10=0,"",'TENAGA KERJA'!C10)</f>
        <v>K262024</v>
      </c>
      <c r="D11" s="23" t="str">
        <f>IF('TENAGA KERJA'!D10=0,"",'TENAGA KERJA'!D10)</f>
        <v/>
      </c>
      <c r="E11" s="23">
        <f>IF('TENAGA KERJA'!E10=0,"",'TENAGA KERJA'!E10)</f>
        <v>9</v>
      </c>
      <c r="F11" s="39">
        <f>'TENAGA KERJA'!K10</f>
        <v>2961337</v>
      </c>
      <c r="G11" s="40">
        <f>'TENAGA KERJA'!L10</f>
        <v>1430000</v>
      </c>
      <c r="H11" s="40">
        <f>'TENAGA KERJA'!M10</f>
        <v>342676.58670520229</v>
      </c>
      <c r="I11" s="39">
        <f>'TENAGA KERJA'!N10</f>
        <v>1550000</v>
      </c>
      <c r="J11" s="39">
        <f t="shared" si="9"/>
        <v>6284013.5867052022</v>
      </c>
      <c r="K11" s="39">
        <f>'BPJS TK'!D11</f>
        <v>39082.899299999997</v>
      </c>
      <c r="L11" s="39">
        <f>'BPJS TK'!E11</f>
        <v>13174.011</v>
      </c>
      <c r="M11" s="39">
        <f>'BPJS TK'!F11</f>
        <v>162479.46899999998</v>
      </c>
      <c r="N11" s="39">
        <f>'BPJS TK'!H11</f>
        <v>0</v>
      </c>
      <c r="O11" s="39">
        <f>'BPJS KES'!D11</f>
        <v>175653.48</v>
      </c>
      <c r="P11" s="39">
        <f t="shared" si="10"/>
        <v>390389.85930000001</v>
      </c>
      <c r="Q11" s="39">
        <f t="shared" si="11"/>
        <v>6674403.4460052019</v>
      </c>
      <c r="R11" s="39">
        <f>'BPJS TK'!G11</f>
        <v>87826.74</v>
      </c>
      <c r="S11" s="39">
        <f>'BPJS TK'!I11</f>
        <v>0</v>
      </c>
      <c r="T11" s="39">
        <f>'BPJS KES'!E11</f>
        <v>43913.37</v>
      </c>
      <c r="U11" s="40">
        <f>'PPH PSL 21 - GROSS (MULAI 2024)'!L11</f>
        <v>65119.239770052023</v>
      </c>
      <c r="V11" s="41">
        <f t="shared" si="12"/>
        <v>196859.34977005204</v>
      </c>
      <c r="W11" s="49">
        <f t="shared" si="4"/>
        <v>6087154.2369351499</v>
      </c>
      <c r="X11" s="197"/>
    </row>
    <row r="12" spans="1:24">
      <c r="A12" s="23">
        <f>IF('TENAGA KERJA'!A11=0,"",'TENAGA KERJA'!A11)</f>
        <v>10</v>
      </c>
      <c r="B12" s="28" t="str">
        <f>IF('TENAGA KERJA'!B11=0,"",'TENAGA KERJA'!B11)</f>
        <v>BAGUS DWI ARISTA</v>
      </c>
      <c r="C12" s="23" t="str">
        <f>IF('TENAGA KERJA'!C11=0,"",'TENAGA KERJA'!C11)</f>
        <v>K262027</v>
      </c>
      <c r="D12" s="23" t="str">
        <f>IF('TENAGA KERJA'!D11=0,"",'TENAGA KERJA'!D11)</f>
        <v/>
      </c>
      <c r="E12" s="23">
        <f>IF('TENAGA KERJA'!E11=0,"",'TENAGA KERJA'!E11)</f>
        <v>10</v>
      </c>
      <c r="F12" s="39">
        <f>'TENAGA KERJA'!K11</f>
        <v>2961337</v>
      </c>
      <c r="G12" s="40">
        <f>'TENAGA KERJA'!L11</f>
        <v>1430000</v>
      </c>
      <c r="H12" s="40">
        <f>'TENAGA KERJA'!M11</f>
        <v>1472240.1502890172</v>
      </c>
      <c r="I12" s="39">
        <f>'TENAGA KERJA'!N11</f>
        <v>1550000</v>
      </c>
      <c r="J12" s="39">
        <f t="shared" si="9"/>
        <v>7413577.1502890177</v>
      </c>
      <c r="K12" s="39">
        <f>'BPJS TK'!D12</f>
        <v>39082.899299999997</v>
      </c>
      <c r="L12" s="39">
        <f>'BPJS TK'!E12</f>
        <v>13174.011</v>
      </c>
      <c r="M12" s="39">
        <f>'BPJS TK'!F12</f>
        <v>162479.46899999998</v>
      </c>
      <c r="N12" s="39">
        <f>'BPJS TK'!H12</f>
        <v>0</v>
      </c>
      <c r="O12" s="39">
        <f>'BPJS KES'!D12</f>
        <v>175653.48</v>
      </c>
      <c r="P12" s="39">
        <f t="shared" si="10"/>
        <v>390389.85930000001</v>
      </c>
      <c r="Q12" s="39">
        <f t="shared" si="11"/>
        <v>7803967.0095890174</v>
      </c>
      <c r="R12" s="39">
        <f>'BPJS TK'!G12</f>
        <v>87826.74</v>
      </c>
      <c r="S12" s="39">
        <f>'BPJS TK'!I12</f>
        <v>0</v>
      </c>
      <c r="T12" s="39">
        <f>'BPJS KES'!E12</f>
        <v>43913.37</v>
      </c>
      <c r="U12" s="40">
        <f>'PPH PSL 21 - GROSS (MULAI 2024)'!L12</f>
        <v>114622.31310883527</v>
      </c>
      <c r="V12" s="41">
        <f t="shared" si="12"/>
        <v>246362.4231088353</v>
      </c>
      <c r="W12" s="49">
        <f t="shared" si="4"/>
        <v>7167214.727180182</v>
      </c>
      <c r="X12" s="197"/>
    </row>
    <row r="13" spans="1:24">
      <c r="A13" s="23">
        <f>IF('TENAGA KERJA'!A12=0,"",'TENAGA KERJA'!A12)</f>
        <v>11</v>
      </c>
      <c r="B13" s="28" t="str">
        <f>IF('TENAGA KERJA'!B12=0,"",'TENAGA KERJA'!B12)</f>
        <v>SITI AISYAH</v>
      </c>
      <c r="C13" s="23" t="str">
        <f>IF('TENAGA KERJA'!C12=0,"",'TENAGA KERJA'!C12)</f>
        <v>K262049</v>
      </c>
      <c r="D13" s="23" t="str">
        <f>IF('TENAGA KERJA'!D12=0,"",'TENAGA KERJA'!D12)</f>
        <v/>
      </c>
      <c r="E13" s="23">
        <f>IF('TENAGA KERJA'!E12=0,"",'TENAGA KERJA'!E12)</f>
        <v>11</v>
      </c>
      <c r="F13" s="39">
        <f>'TENAGA KERJA'!K12</f>
        <v>2961337</v>
      </c>
      <c r="G13" s="40">
        <f>'TENAGA KERJA'!L12</f>
        <v>1430000</v>
      </c>
      <c r="H13" s="40">
        <f>'TENAGA KERJA'!M12</f>
        <v>76150.352601156061</v>
      </c>
      <c r="I13" s="39">
        <f>'TENAGA KERJA'!N12</f>
        <v>1550000</v>
      </c>
      <c r="J13" s="39">
        <f t="shared" si="9"/>
        <v>6017487.3526011556</v>
      </c>
      <c r="K13" s="39">
        <f>'BPJS TK'!D13</f>
        <v>39082.899299999997</v>
      </c>
      <c r="L13" s="39">
        <f>'BPJS TK'!E13</f>
        <v>13174.011</v>
      </c>
      <c r="M13" s="39">
        <f>'BPJS TK'!F13</f>
        <v>162479.46899999998</v>
      </c>
      <c r="N13" s="39">
        <f>'BPJS TK'!H13</f>
        <v>0</v>
      </c>
      <c r="O13" s="39">
        <f>'BPJS KES'!D13</f>
        <v>175653.48</v>
      </c>
      <c r="P13" s="39">
        <f t="shared" si="10"/>
        <v>390389.85930000001</v>
      </c>
      <c r="Q13" s="39">
        <f t="shared" si="11"/>
        <v>6407877.2119011553</v>
      </c>
      <c r="R13" s="39">
        <f>'BPJS TK'!G13</f>
        <v>87826.74</v>
      </c>
      <c r="S13" s="39">
        <f>'BPJS TK'!I13</f>
        <v>0</v>
      </c>
      <c r="T13" s="39">
        <f>'BPJS KES'!E13</f>
        <v>43913.37</v>
      </c>
      <c r="U13" s="40">
        <f>'PPH PSL 21 - GROSS (MULAI 2024)'!L13</f>
        <v>46840.483071758666</v>
      </c>
      <c r="V13" s="41">
        <f t="shared" si="12"/>
        <v>178580.59307175869</v>
      </c>
      <c r="W13" s="49">
        <f t="shared" si="4"/>
        <v>5838906.7595293969</v>
      </c>
      <c r="X13" s="197"/>
    </row>
    <row r="14" spans="1:24">
      <c r="A14" s="23">
        <f>IF('TENAGA KERJA'!A13=0,"",'TENAGA KERJA'!A13)</f>
        <v>12</v>
      </c>
      <c r="B14" s="28" t="str">
        <f>IF('TENAGA KERJA'!B13=0,"",'TENAGA KERJA'!B13)</f>
        <v>YUDI BISMANTAKA</v>
      </c>
      <c r="C14" s="23" t="str">
        <f>IF('TENAGA KERJA'!C13=0,"",'TENAGA KERJA'!C13)</f>
        <v>K262027</v>
      </c>
      <c r="D14" s="23" t="str">
        <f>IF('TENAGA KERJA'!D13=0,"",'TENAGA KERJA'!D13)</f>
        <v/>
      </c>
      <c r="E14" s="23">
        <f>IF('TENAGA KERJA'!E13=0,"",'TENAGA KERJA'!E13)</f>
        <v>12</v>
      </c>
      <c r="F14" s="39">
        <f>'TENAGA KERJA'!K13</f>
        <v>2961337</v>
      </c>
      <c r="G14" s="40">
        <f>'TENAGA KERJA'!L13</f>
        <v>1430000</v>
      </c>
      <c r="H14" s="40">
        <f>'TENAGA KERJA'!M13</f>
        <v>101533.80346820809</v>
      </c>
      <c r="I14" s="39">
        <f>'TENAGA KERJA'!N13</f>
        <v>1550000</v>
      </c>
      <c r="J14" s="39">
        <f t="shared" si="9"/>
        <v>6042870.8034682078</v>
      </c>
      <c r="K14" s="39">
        <f>'BPJS TK'!D14</f>
        <v>39082.899299999997</v>
      </c>
      <c r="L14" s="39">
        <f>'BPJS TK'!E14</f>
        <v>13174.011</v>
      </c>
      <c r="M14" s="39">
        <f>'BPJS TK'!F14</f>
        <v>162479.46899999998</v>
      </c>
      <c r="N14" s="39">
        <f>'BPJS TK'!H14</f>
        <v>0</v>
      </c>
      <c r="O14" s="39">
        <f>'BPJS KES'!D14</f>
        <v>175653.48</v>
      </c>
      <c r="P14" s="39">
        <f t="shared" si="10"/>
        <v>390389.85930000001</v>
      </c>
      <c r="Q14" s="39">
        <f t="shared" si="11"/>
        <v>6433260.6627682075</v>
      </c>
      <c r="R14" s="39">
        <f>'BPJS TK'!G14</f>
        <v>87826.74</v>
      </c>
      <c r="S14" s="39">
        <f>'BPJS TK'!I14</f>
        <v>0</v>
      </c>
      <c r="T14" s="39">
        <f>'BPJS KES'!E14</f>
        <v>43913.37</v>
      </c>
      <c r="U14" s="40">
        <f>'PPH PSL 21 - GROSS (MULAI 2024)'!L14</f>
        <v>47030.858953261559</v>
      </c>
      <c r="V14" s="41">
        <f t="shared" si="12"/>
        <v>178770.96895326156</v>
      </c>
      <c r="W14" s="49">
        <f t="shared" si="4"/>
        <v>5864099.8345149467</v>
      </c>
      <c r="X14" s="197"/>
    </row>
    <row r="15" spans="1:24">
      <c r="A15" s="23">
        <f>IF('TENAGA KERJA'!A14=0,"",'TENAGA KERJA'!A14)</f>
        <v>13</v>
      </c>
      <c r="B15" s="28" t="str">
        <f>IF('TENAGA KERJA'!B14=0,"",'TENAGA KERJA'!B14)</f>
        <v>WARDY</v>
      </c>
      <c r="C15" s="23" t="str">
        <f>IF('TENAGA KERJA'!C14=0,"",'TENAGA KERJA'!C14)</f>
        <v>K262056</v>
      </c>
      <c r="D15" s="23" t="str">
        <f>IF('TENAGA KERJA'!D14=0,"",'TENAGA KERJA'!D14)</f>
        <v/>
      </c>
      <c r="E15" s="23">
        <f>IF('TENAGA KERJA'!E14=0,"",'TENAGA KERJA'!E14)</f>
        <v>13</v>
      </c>
      <c r="F15" s="39">
        <f>'TENAGA KERJA'!K14</f>
        <v>2961337</v>
      </c>
      <c r="G15" s="40">
        <f>'TENAGA KERJA'!L14</f>
        <v>1430000</v>
      </c>
      <c r="H15" s="40">
        <f>'TENAGA KERJA'!M14</f>
        <v>698044.89884393057</v>
      </c>
      <c r="I15" s="39">
        <f>'TENAGA KERJA'!N14</f>
        <v>1550000</v>
      </c>
      <c r="J15" s="39">
        <f t="shared" si="9"/>
        <v>6639381.898843931</v>
      </c>
      <c r="K15" s="39">
        <f>'BPJS TK'!D15</f>
        <v>39082.899299999997</v>
      </c>
      <c r="L15" s="39">
        <f>'BPJS TK'!E15</f>
        <v>13174.011</v>
      </c>
      <c r="M15" s="39">
        <f>'BPJS TK'!F15</f>
        <v>162479.46899999998</v>
      </c>
      <c r="N15" s="39">
        <f>'BPJS TK'!H15</f>
        <v>0</v>
      </c>
      <c r="O15" s="39">
        <f>'BPJS KES'!D15</f>
        <v>175653.48</v>
      </c>
      <c r="P15" s="39">
        <f t="shared" si="10"/>
        <v>390389.85930000001</v>
      </c>
      <c r="Q15" s="39">
        <f t="shared" si="11"/>
        <v>7029771.7581439307</v>
      </c>
      <c r="R15" s="39">
        <f>'BPJS TK'!G15</f>
        <v>87826.74</v>
      </c>
      <c r="S15" s="39">
        <f>'BPJS TK'!I15</f>
        <v>0</v>
      </c>
      <c r="T15" s="39">
        <f>'BPJS KES'!E15</f>
        <v>43913.37</v>
      </c>
      <c r="U15" s="40">
        <f>'PPH PSL 21 - GROSS (MULAI 2024)'!L15</f>
        <v>85841.153614299139</v>
      </c>
      <c r="V15" s="41">
        <f t="shared" si="12"/>
        <v>217581.26361429915</v>
      </c>
      <c r="W15" s="49">
        <f t="shared" si="4"/>
        <v>6421800.6352296323</v>
      </c>
      <c r="X15" s="197"/>
    </row>
    <row r="16" spans="1:24">
      <c r="A16" s="23">
        <f>IF('TENAGA KERJA'!A15=0,"",'TENAGA KERJA'!A15)</f>
        <v>14</v>
      </c>
      <c r="B16" s="28" t="str">
        <f>IF('TENAGA KERJA'!B15=0,"",'TENAGA KERJA'!B15)</f>
        <v>HANDRI PANGESTU</v>
      </c>
      <c r="C16" s="23" t="str">
        <f>IF('TENAGA KERJA'!C15=0,"",'TENAGA KERJA'!C15)</f>
        <v>K262057</v>
      </c>
      <c r="D16" s="23" t="str">
        <f>IF('TENAGA KERJA'!D15=0,"",'TENAGA KERJA'!D15)</f>
        <v/>
      </c>
      <c r="E16" s="23">
        <f>IF('TENAGA KERJA'!E15=0,"",'TENAGA KERJA'!E15)</f>
        <v>14</v>
      </c>
      <c r="F16" s="39">
        <f>'TENAGA KERJA'!K15</f>
        <v>2961337</v>
      </c>
      <c r="G16" s="40">
        <f>'TENAGA KERJA'!L15</f>
        <v>1430000</v>
      </c>
      <c r="H16" s="40">
        <f>'TENAGA KERJA'!M15</f>
        <v>418826.93930635834</v>
      </c>
      <c r="I16" s="39">
        <f>'TENAGA KERJA'!N15</f>
        <v>1550000</v>
      </c>
      <c r="J16" s="39">
        <f t="shared" si="9"/>
        <v>6360163.9393063579</v>
      </c>
      <c r="K16" s="39">
        <f>'BPJS TK'!D16</f>
        <v>39082.899299999997</v>
      </c>
      <c r="L16" s="39">
        <f>'BPJS TK'!E16</f>
        <v>13174.011</v>
      </c>
      <c r="M16" s="39">
        <f>'BPJS TK'!F16</f>
        <v>162479.46899999998</v>
      </c>
      <c r="N16" s="39">
        <f>'BPJS TK'!H16</f>
        <v>0</v>
      </c>
      <c r="O16" s="39">
        <f>'BPJS KES'!D16</f>
        <v>175653.48</v>
      </c>
      <c r="P16" s="39">
        <f t="shared" si="10"/>
        <v>390389.85930000001</v>
      </c>
      <c r="Q16" s="39">
        <f t="shared" si="11"/>
        <v>6750553.7986063575</v>
      </c>
      <c r="R16" s="39">
        <f>'BPJS TK'!G16</f>
        <v>87826.74</v>
      </c>
      <c r="S16" s="39">
        <f>'BPJS TK'!I16</f>
        <v>0</v>
      </c>
      <c r="T16" s="39">
        <f>'BPJS KES'!E16</f>
        <v>43913.37</v>
      </c>
      <c r="U16" s="40">
        <f>'PPH PSL 21 - GROSS (MULAI 2024)'!L16</f>
        <v>65880.743296063578</v>
      </c>
      <c r="V16" s="41">
        <f t="shared" si="12"/>
        <v>197620.85329606361</v>
      </c>
      <c r="W16" s="49">
        <f t="shared" si="4"/>
        <v>6162543.086010294</v>
      </c>
      <c r="X16" s="197"/>
    </row>
    <row r="17" spans="1:26">
      <c r="A17" s="23">
        <f>IF('TENAGA KERJA'!A16=0,"",'TENAGA KERJA'!A16)</f>
        <v>15</v>
      </c>
      <c r="B17" s="28" t="str">
        <f>IF('TENAGA KERJA'!B16=0,"",'TENAGA KERJA'!B16)</f>
        <v>MUHAMMAD BAYU ARDIANTO</v>
      </c>
      <c r="C17" s="23" t="str">
        <f>IF('TENAGA KERJA'!C16=0,"",'TENAGA KERJA'!C16)</f>
        <v>K262058</v>
      </c>
      <c r="D17" s="23" t="str">
        <f>IF('TENAGA KERJA'!D16=0,"",'TENAGA KERJA'!D16)</f>
        <v/>
      </c>
      <c r="E17" s="23">
        <f>IF('TENAGA KERJA'!E16=0,"",'TENAGA KERJA'!E16)</f>
        <v>15</v>
      </c>
      <c r="F17" s="39">
        <f>'TENAGA KERJA'!K16</f>
        <v>2961337</v>
      </c>
      <c r="G17" s="40">
        <f>'TENAGA KERJA'!L16</f>
        <v>1430000</v>
      </c>
      <c r="H17" s="40">
        <f>'TENAGA KERJA'!M16</f>
        <v>101533.80346820809</v>
      </c>
      <c r="I17" s="39">
        <f>'TENAGA KERJA'!N16</f>
        <v>1550000</v>
      </c>
      <c r="J17" s="39">
        <f t="shared" si="9"/>
        <v>6042870.8034682078</v>
      </c>
      <c r="K17" s="39">
        <f>'BPJS TK'!D17</f>
        <v>39082.899299999997</v>
      </c>
      <c r="L17" s="39">
        <f>'BPJS TK'!E17</f>
        <v>13174.011</v>
      </c>
      <c r="M17" s="39">
        <f>'BPJS TK'!F17</f>
        <v>162479.46899999998</v>
      </c>
      <c r="N17" s="39">
        <f>'BPJS TK'!H17</f>
        <v>0</v>
      </c>
      <c r="O17" s="39">
        <f>'BPJS KES'!D17</f>
        <v>175653.48</v>
      </c>
      <c r="P17" s="39">
        <f t="shared" si="10"/>
        <v>390389.85930000001</v>
      </c>
      <c r="Q17" s="39">
        <f t="shared" si="11"/>
        <v>6433260.6627682075</v>
      </c>
      <c r="R17" s="39">
        <f>'BPJS TK'!G17</f>
        <v>87826.74</v>
      </c>
      <c r="S17" s="39">
        <f>'BPJS TK'!I17</f>
        <v>0</v>
      </c>
      <c r="T17" s="39">
        <f>'BPJS KES'!E17</f>
        <v>43913.37</v>
      </c>
      <c r="U17" s="40">
        <f>'PPH PSL 21 - GROSS (MULAI 2024)'!L17</f>
        <v>47030.858953261559</v>
      </c>
      <c r="V17" s="41">
        <f t="shared" si="12"/>
        <v>178770.96895326156</v>
      </c>
      <c r="W17" s="49">
        <f t="shared" si="4"/>
        <v>5864099.8345149467</v>
      </c>
      <c r="X17" s="197"/>
      <c r="Y17" s="52"/>
    </row>
    <row r="18" spans="1:26">
      <c r="A18" s="23">
        <f>IF('TENAGA KERJA'!A17=0,"",'TENAGA KERJA'!A17)</f>
        <v>16</v>
      </c>
      <c r="B18" s="28" t="str">
        <f>IF('TENAGA KERJA'!B17=0,"",'TENAGA KERJA'!B17)</f>
        <v>MUHAMMAD ZETYO D.H</v>
      </c>
      <c r="C18" s="23" t="str">
        <f>IF('TENAGA KERJA'!C17=0,"",'TENAGA KERJA'!C17)</f>
        <v>K262060</v>
      </c>
      <c r="D18" s="23" t="str">
        <f>IF('TENAGA KERJA'!D17=0,"",'TENAGA KERJA'!D17)</f>
        <v>PLKS. LINGK &amp; MUK</v>
      </c>
      <c r="E18" s="23">
        <f>IF('TENAGA KERJA'!E17=0,"",'TENAGA KERJA'!E17)</f>
        <v>16</v>
      </c>
      <c r="F18" s="39">
        <f>'TENAGA KERJA'!K17</f>
        <v>2961337</v>
      </c>
      <c r="G18" s="40">
        <f>'TENAGA KERJA'!L17</f>
        <v>1430000</v>
      </c>
      <c r="H18" s="40">
        <f>'TENAGA KERJA'!M17</f>
        <v>266526.23410404625</v>
      </c>
      <c r="I18" s="39">
        <f>'TENAGA KERJA'!N17</f>
        <v>1550000</v>
      </c>
      <c r="J18" s="39">
        <f t="shared" si="9"/>
        <v>6207863.2341040466</v>
      </c>
      <c r="K18" s="39">
        <f>'BPJS TK'!D18</f>
        <v>39082.899299999997</v>
      </c>
      <c r="L18" s="39">
        <f>'BPJS TK'!E18</f>
        <v>13174.011</v>
      </c>
      <c r="M18" s="39">
        <f>'BPJS TK'!F18</f>
        <v>162479.46899999998</v>
      </c>
      <c r="N18" s="39">
        <f>'BPJS TK'!H18</f>
        <v>0</v>
      </c>
      <c r="O18" s="39">
        <f>'BPJS KES'!D18</f>
        <v>175653.48</v>
      </c>
      <c r="P18" s="39">
        <f t="shared" si="10"/>
        <v>390389.85930000001</v>
      </c>
      <c r="Q18" s="39">
        <f t="shared" si="11"/>
        <v>6598253.0934040463</v>
      </c>
      <c r="R18" s="39">
        <f>'BPJS TK'!G18</f>
        <v>87826.74</v>
      </c>
      <c r="S18" s="39">
        <f>'BPJS TK'!I18</f>
        <v>0</v>
      </c>
      <c r="T18" s="39">
        <f>'BPJS KES'!E18</f>
        <v>43913.37</v>
      </c>
      <c r="U18" s="40">
        <f>'PPH PSL 21 - GROSS (MULAI 2024)'!L18</f>
        <v>64357.736244040469</v>
      </c>
      <c r="V18" s="41">
        <f t="shared" si="12"/>
        <v>196097.84624404047</v>
      </c>
      <c r="W18" s="49">
        <f t="shared" si="4"/>
        <v>6011765.3878600057</v>
      </c>
      <c r="X18" s="197"/>
    </row>
    <row r="19" spans="1:26">
      <c r="A19" s="23">
        <f>IF('TENAGA KERJA'!A18=0,"",'TENAGA KERJA'!A18)</f>
        <v>17</v>
      </c>
      <c r="B19" s="28" t="str">
        <f>IF('TENAGA KERJA'!B18=0,"",'TENAGA KERJA'!B18)</f>
        <v>MUHAMMAD HIDAYATULLAH</v>
      </c>
      <c r="C19" s="23" t="str">
        <f>IF('TENAGA KERJA'!C18=0,"",'TENAGA KERJA'!C18)</f>
        <v>K262061</v>
      </c>
      <c r="D19" s="23" t="str">
        <f>IF('TENAGA KERJA'!D18=0,"",'TENAGA KERJA'!D18)</f>
        <v>PLKS PNM &amp; PML</v>
      </c>
      <c r="E19" s="23">
        <f>IF('TENAGA KERJA'!E18=0,"",'TENAGA KERJA'!E18)</f>
        <v>17</v>
      </c>
      <c r="F19" s="39">
        <f>'TENAGA KERJA'!K18</f>
        <v>2961337</v>
      </c>
      <c r="G19" s="40">
        <f>'TENAGA KERJA'!L18</f>
        <v>1430000</v>
      </c>
      <c r="H19" s="40">
        <f>'TENAGA KERJA'!M18</f>
        <v>38075.17630057803</v>
      </c>
      <c r="I19" s="39">
        <f>'TENAGA KERJA'!N18</f>
        <v>1550000</v>
      </c>
      <c r="J19" s="39">
        <f t="shared" si="9"/>
        <v>5979412.1763005778</v>
      </c>
      <c r="K19" s="39">
        <f>'BPJS TK'!D19</f>
        <v>39082.899299999997</v>
      </c>
      <c r="L19" s="39">
        <f>'BPJS TK'!E19</f>
        <v>13174.011</v>
      </c>
      <c r="M19" s="39">
        <f>'BPJS TK'!F19</f>
        <v>162479.46899999998</v>
      </c>
      <c r="N19" s="39">
        <f>'BPJS TK'!H19</f>
        <v>0</v>
      </c>
      <c r="O19" s="39">
        <f>'BPJS KES'!D19</f>
        <v>175653.48</v>
      </c>
      <c r="P19" s="39">
        <f t="shared" si="10"/>
        <v>390389.85930000001</v>
      </c>
      <c r="Q19" s="39">
        <f t="shared" si="11"/>
        <v>6369802.0356005775</v>
      </c>
      <c r="R19" s="39">
        <f>'BPJS TK'!G19</f>
        <v>87826.74</v>
      </c>
      <c r="S19" s="39">
        <f>'BPJS TK'!I19</f>
        <v>0</v>
      </c>
      <c r="T19" s="39">
        <f>'BPJS KES'!E19</f>
        <v>43913.37</v>
      </c>
      <c r="U19" s="40">
        <f>'PPH PSL 21 - GROSS (MULAI 2024)'!L19</f>
        <v>46554.919249504332</v>
      </c>
      <c r="V19" s="41">
        <f t="shared" si="12"/>
        <v>178295.02924950435</v>
      </c>
      <c r="W19" s="49">
        <f t="shared" si="4"/>
        <v>5801117.1470510736</v>
      </c>
      <c r="X19" s="197"/>
    </row>
    <row r="20" spans="1:26">
      <c r="A20" s="23">
        <f>IF('TENAGA KERJA'!A19=0,"",'TENAGA KERJA'!A19)</f>
        <v>18</v>
      </c>
      <c r="B20" s="28" t="str">
        <f>IF('TENAGA KERJA'!B19=0,"",'TENAGA KERJA'!B19)</f>
        <v>ALYA JUNIANTI PRATIWI</v>
      </c>
      <c r="C20" s="23" t="str">
        <f>IF('TENAGA KERJA'!C19=0,"",'TENAGA KERJA'!C19)</f>
        <v>K262062</v>
      </c>
      <c r="D20" s="23" t="str">
        <f>IF('TENAGA KERJA'!D19=0,"",'TENAGA KERJA'!D19)</f>
        <v>PLKS SDM DAN UMUM</v>
      </c>
      <c r="E20" s="23">
        <f>IF('TENAGA KERJA'!E19=0,"",'TENAGA KERJA'!E19)</f>
        <v>18</v>
      </c>
      <c r="F20" s="39">
        <f>'TENAGA KERJA'!K19</f>
        <v>2961337</v>
      </c>
      <c r="G20" s="40">
        <f>'TENAGA KERJA'!L19</f>
        <v>1430000</v>
      </c>
      <c r="H20" s="40">
        <f>'TENAGA KERJA'!M19</f>
        <v>63458.627167630053</v>
      </c>
      <c r="I20" s="39">
        <f>'TENAGA KERJA'!N19</f>
        <v>1550000</v>
      </c>
      <c r="J20" s="39">
        <f t="shared" si="9"/>
        <v>6004795.62716763</v>
      </c>
      <c r="K20" s="39">
        <f>'BPJS TK'!D20</f>
        <v>39082.899299999997</v>
      </c>
      <c r="L20" s="39">
        <f>'BPJS TK'!E20</f>
        <v>13174.011</v>
      </c>
      <c r="M20" s="39">
        <f>'BPJS TK'!F20</f>
        <v>162479.46899999998</v>
      </c>
      <c r="N20" s="39">
        <f>'BPJS TK'!H20</f>
        <v>0</v>
      </c>
      <c r="O20" s="39">
        <f>'BPJS KES'!D20</f>
        <v>175653.48</v>
      </c>
      <c r="P20" s="39">
        <f t="shared" si="10"/>
        <v>390389.85930000001</v>
      </c>
      <c r="Q20" s="39">
        <f t="shared" si="11"/>
        <v>6395185.4864676297</v>
      </c>
      <c r="R20" s="39">
        <f>'BPJS TK'!G20</f>
        <v>87826.74</v>
      </c>
      <c r="S20" s="39">
        <f>'BPJS TK'!I20</f>
        <v>0</v>
      </c>
      <c r="T20" s="39">
        <f>'BPJS KES'!E20</f>
        <v>43913.37</v>
      </c>
      <c r="U20" s="40">
        <f>'PPH PSL 21 - GROSS (MULAI 2024)'!L20</f>
        <v>46745.295131007224</v>
      </c>
      <c r="V20" s="41">
        <f t="shared" si="12"/>
        <v>178485.40513100725</v>
      </c>
      <c r="W20" s="49">
        <f t="shared" si="4"/>
        <v>5826310.2220366225</v>
      </c>
      <c r="X20" s="197"/>
    </row>
    <row r="21" spans="1:26">
      <c r="A21" s="23">
        <f>IF('TENAGA KERJA'!A20=0,"",'TENAGA KERJA'!A20)</f>
        <v>19</v>
      </c>
      <c r="B21" s="28" t="str">
        <f>IF('TENAGA KERJA'!B20=0,"",'TENAGA KERJA'!B20)</f>
        <v>MUAMMAR AKRAM</v>
      </c>
      <c r="C21" s="23" t="str">
        <f>IF('TENAGA KERJA'!C20=0,"",'TENAGA KERJA'!C20)</f>
        <v>K262065</v>
      </c>
      <c r="D21" s="23" t="str">
        <f>IF('TENAGA KERJA'!D20=0,"",'TENAGA KERJA'!D20)</f>
        <v>PLKS PERENCANAAN</v>
      </c>
      <c r="E21" s="23">
        <f>IF('TENAGA KERJA'!E20=0,"",'TENAGA KERJA'!E20)</f>
        <v>19</v>
      </c>
      <c r="F21" s="39">
        <f>'TENAGA KERJA'!K20</f>
        <v>2961337</v>
      </c>
      <c r="G21" s="40">
        <f>'TENAGA KERJA'!L20</f>
        <v>1430000</v>
      </c>
      <c r="H21" s="40">
        <f>'TENAGA KERJA'!M20</f>
        <v>1053413.2109826589</v>
      </c>
      <c r="I21" s="39">
        <f>'TENAGA KERJA'!N20</f>
        <v>1550000</v>
      </c>
      <c r="J21" s="39">
        <f t="shared" si="9"/>
        <v>6994750.2109826589</v>
      </c>
      <c r="K21" s="39">
        <f>'BPJS TK'!D21</f>
        <v>39082.899299999997</v>
      </c>
      <c r="L21" s="39">
        <f>'BPJS TK'!E21</f>
        <v>13174.011</v>
      </c>
      <c r="M21" s="39">
        <f>'BPJS TK'!F21</f>
        <v>162479.46899999998</v>
      </c>
      <c r="N21" s="39">
        <f>'BPJS TK'!H21</f>
        <v>0</v>
      </c>
      <c r="O21" s="39">
        <f>'BPJS KES'!D21</f>
        <v>175653.48</v>
      </c>
      <c r="P21" s="39">
        <f t="shared" si="10"/>
        <v>390389.85930000001</v>
      </c>
      <c r="Q21" s="39">
        <f t="shared" si="11"/>
        <v>7385140.0702826586</v>
      </c>
      <c r="R21" s="39">
        <f>'BPJS TK'!G21</f>
        <v>87826.74</v>
      </c>
      <c r="S21" s="39">
        <f>'BPJS TK'!I21</f>
        <v>0</v>
      </c>
      <c r="T21" s="39">
        <f>'BPJS KES'!E21</f>
        <v>43913.37</v>
      </c>
      <c r="U21" s="40">
        <f>'PPH PSL 21 - GROSS (MULAI 2024)'!L21</f>
        <v>90283.257516033249</v>
      </c>
      <c r="V21" s="41">
        <f t="shared" si="12"/>
        <v>222023.36751603326</v>
      </c>
      <c r="W21" s="49">
        <f t="shared" si="4"/>
        <v>6772726.8434666255</v>
      </c>
      <c r="X21" s="197"/>
    </row>
    <row r="22" spans="1:26">
      <c r="A22" s="23">
        <f>IF('TENAGA KERJA'!A21=0,"",'TENAGA KERJA'!A21)</f>
        <v>20</v>
      </c>
      <c r="B22" s="28" t="str">
        <f>IF('TENAGA KERJA'!B21=0,"",'TENAGA KERJA'!B21)</f>
        <v>DARMAWAN SYAH</v>
      </c>
      <c r="C22" s="23" t="str">
        <f>IF('TENAGA KERJA'!C21=0,"",'TENAGA KERJA'!C21)</f>
        <v>K262066</v>
      </c>
      <c r="D22" s="23" t="str">
        <f>IF('TENAGA KERJA'!D21=0,"",'TENAGA KERJA'!D21)</f>
        <v>OP EXCA MUK</v>
      </c>
      <c r="E22" s="23">
        <f>IF('TENAGA KERJA'!E21=0,"",'TENAGA KERJA'!E21)</f>
        <v>20</v>
      </c>
      <c r="F22" s="39">
        <f>'TENAGA KERJA'!K21</f>
        <v>2500000</v>
      </c>
      <c r="G22" s="40">
        <f>'TENAGA KERJA'!L21</f>
        <v>0</v>
      </c>
      <c r="H22" s="40">
        <f>'TENAGA KERJA'!M21</f>
        <v>4701000</v>
      </c>
      <c r="I22" s="39">
        <f>'TENAGA KERJA'!N21</f>
        <v>600000</v>
      </c>
      <c r="J22" s="39">
        <f t="shared" si="9"/>
        <v>7801000</v>
      </c>
      <c r="K22" s="39">
        <f>'BPJS TK'!D22</f>
        <v>39082.899299999997</v>
      </c>
      <c r="L22" s="39">
        <f>'BPJS TK'!E22</f>
        <v>13174.011</v>
      </c>
      <c r="M22" s="39">
        <f>'BPJS TK'!F22</f>
        <v>162479.46899999998</v>
      </c>
      <c r="N22" s="39">
        <f>'BPJS TK'!H22</f>
        <v>0</v>
      </c>
      <c r="O22" s="39">
        <f>'BPJS KES'!D22</f>
        <v>175653.48</v>
      </c>
      <c r="P22" s="39">
        <f t="shared" si="10"/>
        <v>390389.85930000001</v>
      </c>
      <c r="Q22" s="39">
        <f t="shared" si="11"/>
        <v>8191389.8592999997</v>
      </c>
      <c r="R22" s="39">
        <f>'BPJS TK'!G22</f>
        <v>87826.74</v>
      </c>
      <c r="S22" s="39">
        <f>'BPJS TK'!I22</f>
        <v>0</v>
      </c>
      <c r="T22" s="39">
        <f>'BPJS KES'!E22</f>
        <v>43913.37</v>
      </c>
      <c r="U22" s="40">
        <f>'PPH PSL 21 - GROSS (MULAI 2024)'!L22</f>
        <v>80289.103902999996</v>
      </c>
      <c r="V22" s="41">
        <f t="shared" si="12"/>
        <v>212029.213903</v>
      </c>
      <c r="W22" s="49">
        <f t="shared" si="4"/>
        <v>7588970.7860970004</v>
      </c>
      <c r="X22" s="197">
        <v>7588970.7860970004</v>
      </c>
    </row>
    <row r="23" spans="1:26">
      <c r="A23" s="23">
        <f>IF('TENAGA KERJA'!A22=0,"",'TENAGA KERJA'!A22)</f>
        <v>21</v>
      </c>
      <c r="B23" s="28" t="str">
        <f>IF('TENAGA KERJA'!B22=0,"",'TENAGA KERJA'!B22)</f>
        <v>MARIYAM</v>
      </c>
      <c r="C23" s="23" t="str">
        <f>IF('TENAGA KERJA'!C22=0,"",'TENAGA KERJA'!C22)</f>
        <v>K262072</v>
      </c>
      <c r="D23" s="23" t="str">
        <f>IF('TENAGA KERJA'!D22=0,"",'TENAGA KERJA'!D22)</f>
        <v>JURMAS</v>
      </c>
      <c r="E23" s="23">
        <f>IF('TENAGA KERJA'!E22=0,"",'TENAGA KERJA'!E22)</f>
        <v>21</v>
      </c>
      <c r="F23" s="39">
        <f>'TENAGA KERJA'!K22</f>
        <v>2961337</v>
      </c>
      <c r="G23" s="40">
        <f>'TENAGA KERJA'!L22</f>
        <v>1430000</v>
      </c>
      <c r="H23" s="40">
        <f>'TENAGA KERJA'!M22</f>
        <v>300000</v>
      </c>
      <c r="I23" s="39">
        <f>'TENAGA KERJA'!N22</f>
        <v>1200000</v>
      </c>
      <c r="J23" s="39">
        <f t="shared" si="9"/>
        <v>5891337</v>
      </c>
      <c r="K23" s="39">
        <f>'BPJS TK'!D23</f>
        <v>39082.899299999997</v>
      </c>
      <c r="L23" s="39">
        <f>'BPJS TK'!E23</f>
        <v>13174.011</v>
      </c>
      <c r="M23" s="39">
        <f>'BPJS TK'!F23</f>
        <v>162479.46899999998</v>
      </c>
      <c r="N23" s="39">
        <f>'BPJS TK'!H23</f>
        <v>0</v>
      </c>
      <c r="O23" s="39">
        <f>'BPJS KES'!D23</f>
        <v>175653.48</v>
      </c>
      <c r="P23" s="39">
        <f t="shared" si="10"/>
        <v>390389.85930000001</v>
      </c>
      <c r="Q23" s="39">
        <f t="shared" si="11"/>
        <v>6281726.8592999997</v>
      </c>
      <c r="R23" s="39">
        <f>'BPJS TK'!G23</f>
        <v>87826.74</v>
      </c>
      <c r="S23" s="39">
        <f>'BPJS TK'!I23</f>
        <v>0</v>
      </c>
      <c r="T23" s="39">
        <f>'BPJS KES'!E23</f>
        <v>43913.37</v>
      </c>
      <c r="U23" s="40">
        <f>'PPH PSL 21 - GROSS (MULAI 2024)'!L23</f>
        <v>45894.355427249997</v>
      </c>
      <c r="V23" s="41">
        <f t="shared" si="12"/>
        <v>177634.46542725002</v>
      </c>
      <c r="W23" s="49">
        <f t="shared" si="4"/>
        <v>5713702.5345727503</v>
      </c>
      <c r="X23" s="197"/>
      <c r="Y23" s="52"/>
    </row>
    <row r="24" spans="1:26">
      <c r="A24" s="23">
        <f>IF('TENAGA KERJA'!A23=0,"",'TENAGA KERJA'!A23)</f>
        <v>22</v>
      </c>
      <c r="B24" s="28" t="str">
        <f>IF('TENAGA KERJA'!B23=0,"",'TENAGA KERJA'!B23)</f>
        <v>ACHMAD RENALDI</v>
      </c>
      <c r="C24" s="23" t="str">
        <f>IF('TENAGA KERJA'!C23=0,"",'TENAGA KERJA'!C23)</f>
        <v>K262076</v>
      </c>
      <c r="D24" s="23" t="str">
        <f>IF('TENAGA KERJA'!D23=0,"",'TENAGA KERJA'!D23)</f>
        <v>PLKS UMUM DRIVER MUK</v>
      </c>
      <c r="E24" s="23">
        <f>IF('TENAGA KERJA'!E23=0,"",'TENAGA KERJA'!E23)</f>
        <v>22</v>
      </c>
      <c r="F24" s="39">
        <f>'TENAGA KERJA'!K23</f>
        <v>2961337</v>
      </c>
      <c r="G24" s="40">
        <f>'TENAGA KERJA'!L23</f>
        <v>1430000</v>
      </c>
      <c r="H24" s="40">
        <f>'TENAGA KERJA'!M23</f>
        <v>2614495.4393063583</v>
      </c>
      <c r="I24" s="39">
        <f>'TENAGA KERJA'!N23</f>
        <v>900000</v>
      </c>
      <c r="J24" s="39">
        <f t="shared" si="9"/>
        <v>7905832.4393063579</v>
      </c>
      <c r="K24" s="39">
        <f>'BPJS TK'!D24</f>
        <v>39082.899299999997</v>
      </c>
      <c r="L24" s="39">
        <f>'BPJS TK'!E24</f>
        <v>13174.011</v>
      </c>
      <c r="M24" s="39">
        <f>'BPJS TK'!F24</f>
        <v>162479.46899999998</v>
      </c>
      <c r="N24" s="39">
        <f>'BPJS TK'!H24</f>
        <v>0</v>
      </c>
      <c r="O24" s="39">
        <f>'BPJS KES'!D24</f>
        <v>175653.48</v>
      </c>
      <c r="P24" s="39">
        <f t="shared" si="10"/>
        <v>390389.85930000001</v>
      </c>
      <c r="Q24" s="39">
        <f t="shared" si="11"/>
        <v>8296222.2986063575</v>
      </c>
      <c r="R24" s="39">
        <f>'BPJS TK'!G24</f>
        <v>87826.74</v>
      </c>
      <c r="S24" s="39">
        <f>'BPJS TK'!I24</f>
        <v>0</v>
      </c>
      <c r="T24" s="39">
        <f>'BPJS KES'!E24</f>
        <v>43913.37</v>
      </c>
      <c r="U24" s="40">
        <f>'PPH PSL 21 - GROSS (MULAI 2024)'!L24</f>
        <v>122006.14244409537</v>
      </c>
      <c r="V24" s="41">
        <f t="shared" si="12"/>
        <v>253746.25244409539</v>
      </c>
      <c r="W24" s="49">
        <f t="shared" si="4"/>
        <v>7652086.1868622629</v>
      </c>
      <c r="X24" s="197"/>
      <c r="Y24" s="50"/>
    </row>
    <row r="25" spans="1:26">
      <c r="A25" s="23">
        <f>IF('TENAGA KERJA'!A24=0,"",'TENAGA KERJA'!A24)</f>
        <v>23</v>
      </c>
      <c r="B25" s="28" t="str">
        <f>IF('TENAGA KERJA'!B24=0,"",'TENAGA KERJA'!B24)</f>
        <v>ARIF GUNAWAN</v>
      </c>
      <c r="C25" s="23" t="str">
        <f>IF('TENAGA KERJA'!C24=0,"",'TENAGA KERJA'!C24)</f>
        <v>K262078</v>
      </c>
      <c r="D25" s="23" t="str">
        <f>IF('TENAGA KERJA'!D24=0,"",'TENAGA KERJA'!D24)</f>
        <v>PLKS PAMHUTSOS</v>
      </c>
      <c r="E25" s="23">
        <f>IF('TENAGA KERJA'!E24=0,"",'TENAGA KERJA'!E24)</f>
        <v>23</v>
      </c>
      <c r="F25" s="39">
        <f>'TENAGA KERJA'!K24</f>
        <v>2961337</v>
      </c>
      <c r="G25" s="40">
        <f>'TENAGA KERJA'!L24</f>
        <v>1430000</v>
      </c>
      <c r="H25" s="40">
        <f>'TENAGA KERJA'!M24</f>
        <v>126917.25433526011</v>
      </c>
      <c r="I25" s="39">
        <f>'TENAGA KERJA'!N24</f>
        <v>800000</v>
      </c>
      <c r="J25" s="39">
        <f t="shared" si="9"/>
        <v>5318254.25433526</v>
      </c>
      <c r="K25" s="39">
        <f>'BPJS TK'!D25</f>
        <v>39082.899299999997</v>
      </c>
      <c r="L25" s="39">
        <f>'BPJS TK'!E25</f>
        <v>13174.011</v>
      </c>
      <c r="M25" s="39">
        <f>'BPJS TK'!F25</f>
        <v>162479.46899999998</v>
      </c>
      <c r="N25" s="39">
        <f>'BPJS TK'!H25</f>
        <v>0</v>
      </c>
      <c r="O25" s="39">
        <f>'BPJS KES'!D25</f>
        <v>175653.48</v>
      </c>
      <c r="P25" s="39">
        <f t="shared" si="10"/>
        <v>390389.85930000001</v>
      </c>
      <c r="Q25" s="39">
        <f t="shared" si="11"/>
        <v>5708644.1136352597</v>
      </c>
      <c r="R25" s="39">
        <f>'BPJS TK'!G25</f>
        <v>87826.74</v>
      </c>
      <c r="S25" s="39">
        <f>'BPJS TK'!I25</f>
        <v>0</v>
      </c>
      <c r="T25" s="39">
        <f>'BPJS KES'!E25</f>
        <v>43913.37</v>
      </c>
      <c r="U25" s="40">
        <f>'PPH PSL 21 - GROSS (MULAI 2024)'!L25</f>
        <v>0</v>
      </c>
      <c r="V25" s="41">
        <f t="shared" si="12"/>
        <v>131740.11000000002</v>
      </c>
      <c r="W25" s="49">
        <f t="shared" si="4"/>
        <v>5186514.1443352597</v>
      </c>
      <c r="X25" s="197"/>
    </row>
    <row r="26" spans="1:26">
      <c r="A26" s="23" t="str">
        <f>IF('TENAGA KERJA'!A25=0,"",'TENAGA KERJA'!A25)</f>
        <v/>
      </c>
      <c r="B26" s="28" t="str">
        <f>IF('TENAGA KERJA'!B25=0,"",'TENAGA KERJA'!B25)</f>
        <v/>
      </c>
      <c r="C26" s="23" t="str">
        <f>IF('TENAGA KERJA'!C25=0,"",'TENAGA KERJA'!C25)</f>
        <v/>
      </c>
      <c r="D26" s="23" t="str">
        <f>IF('TENAGA KERJA'!D25=0,"",'TENAGA KERJA'!D25)</f>
        <v/>
      </c>
      <c r="E26" s="23" t="str">
        <f>IF('TENAGA KERJA'!E25=0,"",'TENAGA KERJA'!E25)</f>
        <v/>
      </c>
      <c r="F26" s="39">
        <f>'TENAGA KERJA'!K25</f>
        <v>0</v>
      </c>
      <c r="G26" s="40">
        <f>'TENAGA KERJA'!L25</f>
        <v>0</v>
      </c>
      <c r="H26" s="40">
        <f>'TENAGA KERJA'!M25</f>
        <v>0</v>
      </c>
      <c r="I26" s="39"/>
      <c r="J26" s="39">
        <f t="shared" si="9"/>
        <v>0</v>
      </c>
      <c r="K26" s="39">
        <f>'BPJS TK'!D26</f>
        <v>0</v>
      </c>
      <c r="L26" s="39">
        <f>'BPJS TK'!E26</f>
        <v>0</v>
      </c>
      <c r="M26" s="39">
        <f>'BPJS TK'!F26</f>
        <v>0</v>
      </c>
      <c r="N26" s="39">
        <f>'BPJS TK'!H26</f>
        <v>0</v>
      </c>
      <c r="O26" s="39">
        <f>'BPJS KES'!D26</f>
        <v>0</v>
      </c>
      <c r="P26" s="39">
        <f t="shared" si="10"/>
        <v>0</v>
      </c>
      <c r="Q26" s="39">
        <f t="shared" si="11"/>
        <v>0</v>
      </c>
      <c r="R26" s="39">
        <f>'BPJS TK'!G26</f>
        <v>0</v>
      </c>
      <c r="S26" s="39">
        <f>'BPJS TK'!I26</f>
        <v>0</v>
      </c>
      <c r="T26" s="39">
        <f>'BPJS KES'!E26</f>
        <v>0</v>
      </c>
      <c r="U26" s="40">
        <f>'PPH PSL 21 - GROSS (MULAI 2024)'!L26</f>
        <v>0</v>
      </c>
      <c r="V26" s="41">
        <f t="shared" si="12"/>
        <v>0</v>
      </c>
      <c r="W26" s="49">
        <f t="shared" si="4"/>
        <v>0</v>
      </c>
      <c r="X26" s="197">
        <f>SUM(W3:W25)</f>
        <v>146760647.92726231</v>
      </c>
      <c r="Y26" s="50">
        <v>144869310.92726231</v>
      </c>
      <c r="Z26" s="52">
        <f>X26-Y26</f>
        <v>1891337</v>
      </c>
    </row>
    <row r="27" spans="1:26">
      <c r="A27" s="23" t="str">
        <f>IF('TENAGA KERJA'!A26=0,"",'TENAGA KERJA'!A26)</f>
        <v/>
      </c>
      <c r="B27" s="28" t="str">
        <f>IF('TENAGA KERJA'!B26=0,"",'TENAGA KERJA'!B26)</f>
        <v/>
      </c>
      <c r="C27" s="23" t="str">
        <f>IF('TENAGA KERJA'!C26=0,"",'TENAGA KERJA'!C26)</f>
        <v/>
      </c>
      <c r="D27" s="23" t="str">
        <f>IF('TENAGA KERJA'!D26=0,"",'TENAGA KERJA'!D26)</f>
        <v/>
      </c>
      <c r="E27" s="23" t="str">
        <f>IF('TENAGA KERJA'!E26=0,"",'TENAGA KERJA'!E26)</f>
        <v/>
      </c>
      <c r="F27" s="39">
        <f>'TENAGA KERJA'!K26</f>
        <v>0</v>
      </c>
      <c r="G27" s="40">
        <f>'TENAGA KERJA'!L26</f>
        <v>0</v>
      </c>
      <c r="H27" s="40">
        <f>'TENAGA KERJA'!M26</f>
        <v>0</v>
      </c>
      <c r="I27" s="39"/>
      <c r="J27" s="39">
        <f t="shared" si="9"/>
        <v>0</v>
      </c>
      <c r="K27" s="39">
        <f>'BPJS TK'!D27</f>
        <v>0</v>
      </c>
      <c r="L27" s="39">
        <f>'BPJS TK'!E27</f>
        <v>0</v>
      </c>
      <c r="M27" s="39">
        <f>'BPJS TK'!F27</f>
        <v>0</v>
      </c>
      <c r="N27" s="39">
        <f>'BPJS TK'!H27</f>
        <v>0</v>
      </c>
      <c r="O27" s="39">
        <f>'BPJS KES'!D27</f>
        <v>0</v>
      </c>
      <c r="P27" s="39">
        <f t="shared" si="10"/>
        <v>0</v>
      </c>
      <c r="Q27" s="39">
        <f t="shared" si="11"/>
        <v>0</v>
      </c>
      <c r="R27" s="39">
        <f>'BPJS TK'!G27</f>
        <v>0</v>
      </c>
      <c r="S27" s="39">
        <f>'BPJS TK'!I27</f>
        <v>0</v>
      </c>
      <c r="T27" s="39">
        <f>'BPJS KES'!E27</f>
        <v>0</v>
      </c>
      <c r="U27" s="40">
        <f>'PPH PSL 21 - GROSS (MULAI 2024)'!L27</f>
        <v>0</v>
      </c>
      <c r="V27" s="41">
        <f t="shared" si="12"/>
        <v>0</v>
      </c>
      <c r="W27" s="49">
        <f t="shared" si="4"/>
        <v>0</v>
      </c>
      <c r="X27" s="197"/>
    </row>
    <row r="28" spans="1:26">
      <c r="A28" s="23" t="str">
        <f>IF('TENAGA KERJA'!A27=0,"",'TENAGA KERJA'!A27)</f>
        <v/>
      </c>
      <c r="B28" s="28" t="str">
        <f>IF('TENAGA KERJA'!B27=0,"",'TENAGA KERJA'!B27)</f>
        <v/>
      </c>
      <c r="C28" s="23" t="str">
        <f>IF('TENAGA KERJA'!C27=0,"",'TENAGA KERJA'!C27)</f>
        <v/>
      </c>
      <c r="D28" s="23" t="str">
        <f>IF('TENAGA KERJA'!D27=0,"",'TENAGA KERJA'!D27)</f>
        <v/>
      </c>
      <c r="E28" s="23" t="str">
        <f>IF('TENAGA KERJA'!E27=0,"",'TENAGA KERJA'!E27)</f>
        <v/>
      </c>
      <c r="F28" s="39">
        <f>'TENAGA KERJA'!K27</f>
        <v>0</v>
      </c>
      <c r="G28" s="40">
        <f>'TENAGA KERJA'!L27</f>
        <v>0</v>
      </c>
      <c r="H28" s="40">
        <f>'TENAGA KERJA'!M27</f>
        <v>0</v>
      </c>
      <c r="I28" s="39"/>
      <c r="J28" s="39">
        <f t="shared" si="9"/>
        <v>0</v>
      </c>
      <c r="K28" s="39">
        <f>'BPJS TK'!D28</f>
        <v>0</v>
      </c>
      <c r="L28" s="39">
        <f>'BPJS TK'!E28</f>
        <v>0</v>
      </c>
      <c r="M28" s="39">
        <f>'BPJS TK'!F28</f>
        <v>0</v>
      </c>
      <c r="N28" s="39">
        <f>'BPJS TK'!H28</f>
        <v>0</v>
      </c>
      <c r="O28" s="39">
        <f>'BPJS KES'!D28</f>
        <v>0</v>
      </c>
      <c r="P28" s="39">
        <f t="shared" si="10"/>
        <v>0</v>
      </c>
      <c r="Q28" s="39">
        <f t="shared" si="11"/>
        <v>0</v>
      </c>
      <c r="R28" s="39">
        <f>'BPJS TK'!G28</f>
        <v>0</v>
      </c>
      <c r="S28" s="39">
        <f>'BPJS TK'!I28</f>
        <v>0</v>
      </c>
      <c r="T28" s="39">
        <f>'BPJS KES'!E28</f>
        <v>0</v>
      </c>
      <c r="U28" s="40">
        <f>'PPH PSL 21 - GROSS (MULAI 2024)'!L28</f>
        <v>0</v>
      </c>
      <c r="V28" s="41">
        <f t="shared" si="12"/>
        <v>0</v>
      </c>
      <c r="W28" s="49">
        <f t="shared" si="4"/>
        <v>0</v>
      </c>
      <c r="X28" s="197"/>
    </row>
    <row r="29" spans="1:26">
      <c r="A29" s="23" t="str">
        <f>IF('TENAGA KERJA'!A28=0,"",'TENAGA KERJA'!A28)</f>
        <v/>
      </c>
      <c r="B29" s="28" t="str">
        <f>IF('TENAGA KERJA'!B28=0,"",'TENAGA KERJA'!B28)</f>
        <v/>
      </c>
      <c r="C29" s="23" t="str">
        <f>IF('TENAGA KERJA'!C28=0,"",'TENAGA KERJA'!C28)</f>
        <v/>
      </c>
      <c r="D29" s="23" t="str">
        <f>IF('TENAGA KERJA'!D28=0,"",'TENAGA KERJA'!D28)</f>
        <v/>
      </c>
      <c r="E29" s="23" t="str">
        <f>IF('TENAGA KERJA'!E28=0,"",'TENAGA KERJA'!E28)</f>
        <v/>
      </c>
      <c r="F29" s="39">
        <f>'TENAGA KERJA'!K28</f>
        <v>0</v>
      </c>
      <c r="G29" s="40">
        <f>'TENAGA KERJA'!L28</f>
        <v>0</v>
      </c>
      <c r="H29" s="40">
        <f>'TENAGA KERJA'!M28</f>
        <v>0</v>
      </c>
      <c r="I29" s="39">
        <f>'TENAGA KERJA'!N28</f>
        <v>0</v>
      </c>
      <c r="J29" s="39">
        <f t="shared" si="9"/>
        <v>0</v>
      </c>
      <c r="K29" s="39">
        <f>'BPJS TK'!D29</f>
        <v>0</v>
      </c>
      <c r="L29" s="39">
        <f>'BPJS TK'!E29</f>
        <v>0</v>
      </c>
      <c r="M29" s="39">
        <f>'BPJS TK'!F29</f>
        <v>0</v>
      </c>
      <c r="N29" s="39">
        <f>'BPJS TK'!H29</f>
        <v>0</v>
      </c>
      <c r="O29" s="39">
        <f>'BPJS KES'!D29</f>
        <v>0</v>
      </c>
      <c r="P29" s="39">
        <f t="shared" si="10"/>
        <v>0</v>
      </c>
      <c r="Q29" s="39">
        <f t="shared" si="11"/>
        <v>0</v>
      </c>
      <c r="R29" s="39">
        <f>'BPJS TK'!G29</f>
        <v>0</v>
      </c>
      <c r="S29" s="39">
        <f>'BPJS TK'!I29</f>
        <v>0</v>
      </c>
      <c r="T29" s="39">
        <f>'BPJS KES'!E29</f>
        <v>0</v>
      </c>
      <c r="U29" s="40">
        <f>'PPH PSL 21 - GROSS (MULAI 2024)'!L29</f>
        <v>0</v>
      </c>
      <c r="V29" s="41">
        <f t="shared" si="12"/>
        <v>0</v>
      </c>
      <c r="W29" s="49">
        <f t="shared" si="4"/>
        <v>0</v>
      </c>
      <c r="X29" s="197"/>
    </row>
    <row r="30" spans="1:26">
      <c r="A30" s="23" t="str">
        <f>IF('TENAGA KERJA'!A29=0,"",'TENAGA KERJA'!A29)</f>
        <v/>
      </c>
      <c r="B30" s="28" t="str">
        <f>IF('TENAGA KERJA'!B29=0,"",'TENAGA KERJA'!B29)</f>
        <v/>
      </c>
      <c r="C30" s="23" t="str">
        <f>IF('TENAGA KERJA'!C29=0,"",'TENAGA KERJA'!C29)</f>
        <v/>
      </c>
      <c r="D30" s="23" t="str">
        <f>IF('TENAGA KERJA'!D29=0,"",'TENAGA KERJA'!D29)</f>
        <v/>
      </c>
      <c r="E30" s="23" t="str">
        <f>IF('TENAGA KERJA'!E29=0,"",'TENAGA KERJA'!E29)</f>
        <v/>
      </c>
      <c r="F30" s="39">
        <f>'TENAGA KERJA'!K29</f>
        <v>0</v>
      </c>
      <c r="G30" s="40">
        <f>'TENAGA KERJA'!L29</f>
        <v>0</v>
      </c>
      <c r="H30" s="40">
        <f>'TENAGA KERJA'!M29</f>
        <v>0</v>
      </c>
      <c r="I30" s="39">
        <f>'TENAGA KERJA'!N29</f>
        <v>0</v>
      </c>
      <c r="J30" s="39">
        <f t="shared" si="9"/>
        <v>0</v>
      </c>
      <c r="K30" s="39">
        <f>'BPJS TK'!D30</f>
        <v>0</v>
      </c>
      <c r="L30" s="39">
        <f>'BPJS TK'!E30</f>
        <v>0</v>
      </c>
      <c r="M30" s="39">
        <f>'BPJS TK'!F30</f>
        <v>0</v>
      </c>
      <c r="N30" s="39">
        <f>'BPJS TK'!H30</f>
        <v>0</v>
      </c>
      <c r="O30" s="39">
        <f>'BPJS KES'!D30</f>
        <v>0</v>
      </c>
      <c r="P30" s="39">
        <f t="shared" si="10"/>
        <v>0</v>
      </c>
      <c r="Q30" s="39">
        <f t="shared" si="11"/>
        <v>0</v>
      </c>
      <c r="R30" s="39">
        <f>'BPJS TK'!G30</f>
        <v>0</v>
      </c>
      <c r="S30" s="39">
        <f>'BPJS TK'!I30</f>
        <v>0</v>
      </c>
      <c r="T30" s="39">
        <f>'BPJS KES'!E30</f>
        <v>0</v>
      </c>
      <c r="U30" s="40">
        <f>'PPH PSL 21 - GROSS (MULAI 2024)'!L30</f>
        <v>0</v>
      </c>
      <c r="V30" s="41">
        <f t="shared" si="12"/>
        <v>0</v>
      </c>
      <c r="W30" s="49">
        <f t="shared" si="4"/>
        <v>0</v>
      </c>
      <c r="X30" s="197"/>
    </row>
    <row r="31" spans="1:26">
      <c r="A31" s="23" t="str">
        <f>IF('TENAGA KERJA'!A30=0,"",'TENAGA KERJA'!A30)</f>
        <v/>
      </c>
      <c r="B31" s="28" t="str">
        <f>IF('TENAGA KERJA'!B30=0,"",'TENAGA KERJA'!B30)</f>
        <v/>
      </c>
      <c r="C31" s="23" t="str">
        <f>IF('TENAGA KERJA'!C30=0,"",'TENAGA KERJA'!C30)</f>
        <v/>
      </c>
      <c r="D31" s="23" t="str">
        <f>IF('TENAGA KERJA'!D30=0,"",'TENAGA KERJA'!D30)</f>
        <v/>
      </c>
      <c r="E31" s="23" t="str">
        <f>IF('TENAGA KERJA'!E30=0,"",'TENAGA KERJA'!E30)</f>
        <v/>
      </c>
      <c r="F31" s="39">
        <f>'TENAGA KERJA'!K30</f>
        <v>0</v>
      </c>
      <c r="G31" s="40">
        <f>'TENAGA KERJA'!L30</f>
        <v>0</v>
      </c>
      <c r="H31" s="40">
        <f>'TENAGA KERJA'!M30</f>
        <v>0</v>
      </c>
      <c r="I31" s="39">
        <f>'TENAGA KERJA'!N30</f>
        <v>0</v>
      </c>
      <c r="J31" s="39">
        <f t="shared" si="9"/>
        <v>0</v>
      </c>
      <c r="K31" s="39">
        <f>'BPJS TK'!D31</f>
        <v>0</v>
      </c>
      <c r="L31" s="39">
        <f>'BPJS TK'!E31</f>
        <v>0</v>
      </c>
      <c r="M31" s="39">
        <f>'BPJS TK'!F31</f>
        <v>0</v>
      </c>
      <c r="N31" s="39">
        <f>'BPJS TK'!H31</f>
        <v>0</v>
      </c>
      <c r="O31" s="39">
        <f>'BPJS KES'!D31</f>
        <v>0</v>
      </c>
      <c r="P31" s="39">
        <f t="shared" si="10"/>
        <v>0</v>
      </c>
      <c r="Q31" s="39">
        <f t="shared" si="11"/>
        <v>0</v>
      </c>
      <c r="R31" s="39">
        <f>'BPJS TK'!G31</f>
        <v>0</v>
      </c>
      <c r="S31" s="39">
        <f>'BPJS TK'!I31</f>
        <v>0</v>
      </c>
      <c r="T31" s="39">
        <f>'BPJS KES'!E31</f>
        <v>0</v>
      </c>
      <c r="U31" s="40">
        <f>'PPH PSL 21 - GROSS (MULAI 2024)'!L31</f>
        <v>0</v>
      </c>
      <c r="V31" s="41">
        <f t="shared" si="12"/>
        <v>0</v>
      </c>
      <c r="W31" s="49">
        <f t="shared" si="4"/>
        <v>0</v>
      </c>
      <c r="X31" s="197"/>
    </row>
    <row r="32" spans="1:26">
      <c r="A32" s="23" t="str">
        <f>IF('TENAGA KERJA'!A31=0,"",'TENAGA KERJA'!A31)</f>
        <v/>
      </c>
      <c r="B32" s="28" t="str">
        <f>IF('TENAGA KERJA'!B31=0,"",'TENAGA KERJA'!B31)</f>
        <v/>
      </c>
      <c r="C32" s="23" t="str">
        <f>IF('TENAGA KERJA'!C31=0,"",'TENAGA KERJA'!C31)</f>
        <v/>
      </c>
      <c r="D32" s="23" t="str">
        <f>IF('TENAGA KERJA'!D31=0,"",'TENAGA KERJA'!D31)</f>
        <v/>
      </c>
      <c r="E32" s="23" t="str">
        <f>IF('TENAGA KERJA'!E31=0,"",'TENAGA KERJA'!E31)</f>
        <v/>
      </c>
      <c r="F32" s="39">
        <f>'TENAGA KERJA'!K31</f>
        <v>0</v>
      </c>
      <c r="G32" s="40">
        <f>'TENAGA KERJA'!L31</f>
        <v>0</v>
      </c>
      <c r="H32" s="40">
        <f>'TENAGA KERJA'!M31</f>
        <v>0</v>
      </c>
      <c r="I32" s="39">
        <f>'TENAGA KERJA'!N31</f>
        <v>0</v>
      </c>
      <c r="J32" s="39">
        <f t="shared" si="9"/>
        <v>0</v>
      </c>
      <c r="K32" s="39">
        <f>'BPJS TK'!D32</f>
        <v>0</v>
      </c>
      <c r="L32" s="39">
        <f>'BPJS TK'!E32</f>
        <v>0</v>
      </c>
      <c r="M32" s="39">
        <f>'BPJS TK'!F32</f>
        <v>0</v>
      </c>
      <c r="N32" s="39">
        <f>'BPJS TK'!H32</f>
        <v>0</v>
      </c>
      <c r="O32" s="39">
        <f>'BPJS KES'!D32</f>
        <v>0</v>
      </c>
      <c r="P32" s="39">
        <f t="shared" si="10"/>
        <v>0</v>
      </c>
      <c r="Q32" s="39">
        <f t="shared" si="11"/>
        <v>0</v>
      </c>
      <c r="R32" s="39">
        <f>'BPJS TK'!G32</f>
        <v>0</v>
      </c>
      <c r="S32" s="39">
        <f>'BPJS TK'!I32</f>
        <v>0</v>
      </c>
      <c r="T32" s="39">
        <f>'BPJS KES'!E32</f>
        <v>0</v>
      </c>
      <c r="U32" s="40">
        <f>'PPH PSL 21 - GROSS (MULAI 2024)'!L32</f>
        <v>0</v>
      </c>
      <c r="V32" s="41">
        <f t="shared" si="12"/>
        <v>0</v>
      </c>
      <c r="W32" s="49">
        <f t="shared" si="4"/>
        <v>0</v>
      </c>
      <c r="X32" s="197"/>
    </row>
    <row r="33" spans="1:25">
      <c r="A33" s="23" t="str">
        <f>IF('TENAGA KERJA'!A32=0,"",'TENAGA KERJA'!A32)</f>
        <v/>
      </c>
      <c r="B33" s="28" t="str">
        <f>IF('TENAGA KERJA'!B32=0,"",'TENAGA KERJA'!B32)</f>
        <v/>
      </c>
      <c r="C33" s="23" t="str">
        <f>IF('TENAGA KERJA'!C32=0,"",'TENAGA KERJA'!C32)</f>
        <v/>
      </c>
      <c r="D33" s="23" t="str">
        <f>IF('TENAGA KERJA'!D32=0,"",'TENAGA KERJA'!D32)</f>
        <v/>
      </c>
      <c r="E33" s="23" t="str">
        <f>IF('TENAGA KERJA'!E32=0,"",'TENAGA KERJA'!E32)</f>
        <v/>
      </c>
      <c r="F33" s="39">
        <f>'TENAGA KERJA'!K32</f>
        <v>0</v>
      </c>
      <c r="G33" s="40">
        <f>'TENAGA KERJA'!L32</f>
        <v>0</v>
      </c>
      <c r="H33" s="40">
        <f>'TENAGA KERJA'!M32</f>
        <v>0</v>
      </c>
      <c r="I33" s="39">
        <f>'TENAGA KERJA'!N32</f>
        <v>0</v>
      </c>
      <c r="J33" s="39">
        <f t="shared" si="9"/>
        <v>0</v>
      </c>
      <c r="K33" s="39">
        <f>'BPJS TK'!D33</f>
        <v>0</v>
      </c>
      <c r="L33" s="39">
        <f>'BPJS TK'!E33</f>
        <v>0</v>
      </c>
      <c r="M33" s="39">
        <f>'BPJS TK'!F33</f>
        <v>0</v>
      </c>
      <c r="N33" s="39">
        <f>'BPJS TK'!H33</f>
        <v>0</v>
      </c>
      <c r="O33" s="39">
        <f>'BPJS KES'!D33</f>
        <v>0</v>
      </c>
      <c r="P33" s="39">
        <f t="shared" si="10"/>
        <v>0</v>
      </c>
      <c r="Q33" s="39">
        <f t="shared" si="11"/>
        <v>0</v>
      </c>
      <c r="R33" s="39">
        <f>'BPJS TK'!G33</f>
        <v>0</v>
      </c>
      <c r="S33" s="39">
        <f>'BPJS TK'!I33</f>
        <v>0</v>
      </c>
      <c r="T33" s="39">
        <f>'BPJS KES'!E33</f>
        <v>0</v>
      </c>
      <c r="U33" s="40">
        <f>'PPH PSL 21 - GROSS (MULAI 2024)'!L33</f>
        <v>0</v>
      </c>
      <c r="V33" s="41">
        <f t="shared" si="12"/>
        <v>0</v>
      </c>
      <c r="W33" s="49">
        <f t="shared" si="4"/>
        <v>0</v>
      </c>
      <c r="X33" s="197"/>
    </row>
    <row r="34" spans="1:25">
      <c r="A34" s="23" t="str">
        <f>IF('TENAGA KERJA'!A33=0,"",'TENAGA KERJA'!A33)</f>
        <v/>
      </c>
      <c r="B34" s="28" t="str">
        <f>IF('TENAGA KERJA'!B33=0,"",'TENAGA KERJA'!B33)</f>
        <v/>
      </c>
      <c r="C34" s="23" t="str">
        <f>IF('TENAGA KERJA'!C33=0,"",'TENAGA KERJA'!C33)</f>
        <v/>
      </c>
      <c r="D34" s="23" t="str">
        <f>IF('TENAGA KERJA'!D33=0,"",'TENAGA KERJA'!D33)</f>
        <v/>
      </c>
      <c r="E34" s="23" t="str">
        <f>IF('TENAGA KERJA'!E33=0,"",'TENAGA KERJA'!E33)</f>
        <v/>
      </c>
      <c r="F34" s="39">
        <f>'TENAGA KERJA'!K33</f>
        <v>0</v>
      </c>
      <c r="G34" s="40">
        <f>'TENAGA KERJA'!L33</f>
        <v>0</v>
      </c>
      <c r="H34" s="40">
        <f>'TENAGA KERJA'!M33</f>
        <v>0</v>
      </c>
      <c r="I34" s="39">
        <f>'TENAGA KERJA'!N33</f>
        <v>0</v>
      </c>
      <c r="J34" s="39">
        <f t="shared" si="9"/>
        <v>0</v>
      </c>
      <c r="K34" s="39">
        <f>'BPJS TK'!D34</f>
        <v>0</v>
      </c>
      <c r="L34" s="39">
        <f>'BPJS TK'!E34</f>
        <v>0</v>
      </c>
      <c r="M34" s="39">
        <f>'BPJS TK'!F34</f>
        <v>0</v>
      </c>
      <c r="N34" s="39">
        <f>'BPJS TK'!H34</f>
        <v>0</v>
      </c>
      <c r="O34" s="39">
        <f>'BPJS KES'!D34</f>
        <v>0</v>
      </c>
      <c r="P34" s="39">
        <f t="shared" si="10"/>
        <v>0</v>
      </c>
      <c r="Q34" s="39">
        <f t="shared" si="11"/>
        <v>0</v>
      </c>
      <c r="R34" s="39">
        <f>'BPJS TK'!G34</f>
        <v>0</v>
      </c>
      <c r="S34" s="39">
        <f>'BPJS TK'!I34</f>
        <v>0</v>
      </c>
      <c r="T34" s="39">
        <f>'BPJS KES'!E34</f>
        <v>0</v>
      </c>
      <c r="U34" s="40">
        <f>'PPH PSL 21 - GROSS (MULAI 2024)'!L34</f>
        <v>0</v>
      </c>
      <c r="V34" s="41">
        <f t="shared" si="12"/>
        <v>0</v>
      </c>
      <c r="W34" s="49">
        <f t="shared" si="4"/>
        <v>0</v>
      </c>
      <c r="X34" s="197"/>
    </row>
    <row r="35" spans="1:25">
      <c r="A35" s="23" t="str">
        <f>IF('TENAGA KERJA'!A34=0,"",'TENAGA KERJA'!A34)</f>
        <v/>
      </c>
      <c r="B35" s="28" t="str">
        <f>IF('TENAGA KERJA'!B34=0,"",'TENAGA KERJA'!B34)</f>
        <v/>
      </c>
      <c r="C35" s="23" t="str">
        <f>IF('TENAGA KERJA'!C34=0,"",'TENAGA KERJA'!C34)</f>
        <v/>
      </c>
      <c r="D35" s="23" t="str">
        <f>IF('TENAGA KERJA'!D34=0,"",'TENAGA KERJA'!D34)</f>
        <v/>
      </c>
      <c r="E35" s="23" t="str">
        <f>IF('TENAGA KERJA'!E34=0,"",'TENAGA KERJA'!E34)</f>
        <v/>
      </c>
      <c r="F35" s="39">
        <f>'TENAGA KERJA'!K34</f>
        <v>0</v>
      </c>
      <c r="G35" s="40">
        <f>'TENAGA KERJA'!L34</f>
        <v>0</v>
      </c>
      <c r="H35" s="40">
        <f>'TENAGA KERJA'!M34</f>
        <v>0</v>
      </c>
      <c r="I35" s="39">
        <f>'TENAGA KERJA'!N34</f>
        <v>0</v>
      </c>
      <c r="J35" s="39">
        <f t="shared" si="9"/>
        <v>0</v>
      </c>
      <c r="K35" s="39">
        <f>'BPJS TK'!D35</f>
        <v>0</v>
      </c>
      <c r="L35" s="39">
        <f>'BPJS TK'!E35</f>
        <v>0</v>
      </c>
      <c r="M35" s="39">
        <f>'BPJS TK'!F35</f>
        <v>0</v>
      </c>
      <c r="N35" s="39">
        <f>'BPJS TK'!H35</f>
        <v>0</v>
      </c>
      <c r="O35" s="39">
        <f>'BPJS KES'!D35</f>
        <v>0</v>
      </c>
      <c r="P35" s="39">
        <f t="shared" si="10"/>
        <v>0</v>
      </c>
      <c r="Q35" s="39">
        <f t="shared" si="11"/>
        <v>0</v>
      </c>
      <c r="R35" s="39">
        <f>'BPJS TK'!G35</f>
        <v>0</v>
      </c>
      <c r="S35" s="39">
        <f>'BPJS TK'!I35</f>
        <v>0</v>
      </c>
      <c r="T35" s="39">
        <f>'BPJS KES'!E35</f>
        <v>0</v>
      </c>
      <c r="U35" s="40">
        <f>'PPH PSL 21 - GROSS (MULAI 2024)'!L35</f>
        <v>0</v>
      </c>
      <c r="V35" s="41">
        <f t="shared" si="12"/>
        <v>0</v>
      </c>
      <c r="W35" s="49">
        <f t="shared" si="4"/>
        <v>0</v>
      </c>
      <c r="X35" s="197"/>
    </row>
    <row r="36" spans="1:25">
      <c r="A36" s="23" t="str">
        <f>IF('TENAGA KERJA'!A35=0,"",'TENAGA KERJA'!A35)</f>
        <v/>
      </c>
      <c r="B36" s="28" t="str">
        <f>IF('TENAGA KERJA'!B35=0,"",'TENAGA KERJA'!B35)</f>
        <v/>
      </c>
      <c r="C36" s="23" t="str">
        <f>IF('TENAGA KERJA'!C35=0,"",'TENAGA KERJA'!C35)</f>
        <v/>
      </c>
      <c r="D36" s="23" t="str">
        <f>IF('TENAGA KERJA'!D35=0,"",'TENAGA KERJA'!D35)</f>
        <v/>
      </c>
      <c r="E36" s="23" t="str">
        <f>IF('TENAGA KERJA'!E35=0,"",'TENAGA KERJA'!E35)</f>
        <v/>
      </c>
      <c r="F36" s="39">
        <f>'TENAGA KERJA'!K35</f>
        <v>0</v>
      </c>
      <c r="G36" s="40">
        <f>'TENAGA KERJA'!L35</f>
        <v>0</v>
      </c>
      <c r="H36" s="40">
        <f>'TENAGA KERJA'!M35</f>
        <v>0</v>
      </c>
      <c r="I36" s="39">
        <f>'TENAGA KERJA'!N35</f>
        <v>0</v>
      </c>
      <c r="J36" s="39">
        <f t="shared" si="9"/>
        <v>0</v>
      </c>
      <c r="K36" s="39">
        <f>'BPJS TK'!D36</f>
        <v>0</v>
      </c>
      <c r="L36" s="39">
        <f>'BPJS TK'!E36</f>
        <v>0</v>
      </c>
      <c r="M36" s="39">
        <f>'BPJS TK'!F36</f>
        <v>0</v>
      </c>
      <c r="N36" s="39">
        <f>'BPJS TK'!H36</f>
        <v>0</v>
      </c>
      <c r="O36" s="39">
        <f>'BPJS KES'!D36</f>
        <v>0</v>
      </c>
      <c r="P36" s="39">
        <f t="shared" si="10"/>
        <v>0</v>
      </c>
      <c r="Q36" s="39">
        <f t="shared" si="11"/>
        <v>0</v>
      </c>
      <c r="R36" s="39">
        <f>'BPJS TK'!G36</f>
        <v>0</v>
      </c>
      <c r="S36" s="39">
        <f>'BPJS TK'!I36</f>
        <v>0</v>
      </c>
      <c r="T36" s="39">
        <f>'BPJS KES'!E36</f>
        <v>0</v>
      </c>
      <c r="U36" s="40">
        <f>'PPH PSL 21 - GROSS (MULAI 2024)'!L36</f>
        <v>0</v>
      </c>
      <c r="V36" s="41">
        <f t="shared" si="12"/>
        <v>0</v>
      </c>
      <c r="W36" s="49">
        <f t="shared" si="4"/>
        <v>0</v>
      </c>
      <c r="X36" s="197"/>
    </row>
    <row r="37" spans="1:25">
      <c r="A37" s="23" t="str">
        <f>IF('TENAGA KERJA'!A36=0,"",'TENAGA KERJA'!A36)</f>
        <v/>
      </c>
      <c r="B37" s="28" t="str">
        <f>IF('TENAGA KERJA'!B36=0,"",'TENAGA KERJA'!B36)</f>
        <v/>
      </c>
      <c r="C37" s="23" t="str">
        <f>IF('TENAGA KERJA'!C36=0,"",'TENAGA KERJA'!C36)</f>
        <v/>
      </c>
      <c r="D37" s="23" t="str">
        <f>IF('TENAGA KERJA'!D36=0,"",'TENAGA KERJA'!D36)</f>
        <v/>
      </c>
      <c r="E37" s="23" t="str">
        <f>IF('TENAGA KERJA'!E36=0,"",'TENAGA KERJA'!E36)</f>
        <v/>
      </c>
      <c r="F37" s="39">
        <f>'TENAGA KERJA'!K36</f>
        <v>0</v>
      </c>
      <c r="G37" s="40">
        <f>'TENAGA KERJA'!L36</f>
        <v>0</v>
      </c>
      <c r="H37" s="40">
        <f>'TENAGA KERJA'!M36</f>
        <v>0</v>
      </c>
      <c r="I37" s="39">
        <f>'TENAGA KERJA'!N36</f>
        <v>0</v>
      </c>
      <c r="J37" s="39">
        <f t="shared" si="9"/>
        <v>0</v>
      </c>
      <c r="K37" s="39">
        <f>'BPJS TK'!D37</f>
        <v>0</v>
      </c>
      <c r="L37" s="39">
        <f>'BPJS TK'!E37</f>
        <v>0</v>
      </c>
      <c r="M37" s="39">
        <f>'BPJS TK'!F37</f>
        <v>0</v>
      </c>
      <c r="N37" s="39">
        <f>'BPJS TK'!H37</f>
        <v>0</v>
      </c>
      <c r="O37" s="39">
        <f>'BPJS KES'!D37</f>
        <v>0</v>
      </c>
      <c r="P37" s="39">
        <f t="shared" si="10"/>
        <v>0</v>
      </c>
      <c r="Q37" s="39">
        <f t="shared" si="11"/>
        <v>0</v>
      </c>
      <c r="R37" s="39">
        <f>'BPJS TK'!G37</f>
        <v>0</v>
      </c>
      <c r="S37" s="39">
        <f>'BPJS TK'!I37</f>
        <v>0</v>
      </c>
      <c r="T37" s="39">
        <f>'BPJS KES'!E37</f>
        <v>0</v>
      </c>
      <c r="U37" s="40">
        <f>'PPH PSL 21 - GROSS (MULAI 2024)'!L37</f>
        <v>0</v>
      </c>
      <c r="V37" s="41">
        <f t="shared" si="12"/>
        <v>0</v>
      </c>
      <c r="W37" s="49">
        <f t="shared" si="4"/>
        <v>0</v>
      </c>
      <c r="X37" s="197"/>
    </row>
    <row r="38" spans="1:25">
      <c r="A38" s="23" t="str">
        <f>IF('TENAGA KERJA'!A37=0,"",'TENAGA KERJA'!A37)</f>
        <v/>
      </c>
      <c r="B38" s="28" t="str">
        <f>IF('TENAGA KERJA'!B37=0,"",'TENAGA KERJA'!B37)</f>
        <v/>
      </c>
      <c r="C38" s="23" t="str">
        <f>IF('TENAGA KERJA'!C37=0,"",'TENAGA KERJA'!C37)</f>
        <v/>
      </c>
      <c r="D38" s="23" t="str">
        <f>IF('TENAGA KERJA'!D37=0,"",'TENAGA KERJA'!D37)</f>
        <v/>
      </c>
      <c r="E38" s="23" t="str">
        <f>IF('TENAGA KERJA'!E37=0,"",'TENAGA KERJA'!E37)</f>
        <v/>
      </c>
      <c r="F38" s="39">
        <f>'TENAGA KERJA'!K37</f>
        <v>0</v>
      </c>
      <c r="G38" s="40">
        <f>'TENAGA KERJA'!L37</f>
        <v>0</v>
      </c>
      <c r="H38" s="40">
        <f>'TENAGA KERJA'!M37</f>
        <v>0</v>
      </c>
      <c r="I38" s="39">
        <f>'TENAGA KERJA'!N37</f>
        <v>0</v>
      </c>
      <c r="J38" s="39">
        <f t="shared" si="9"/>
        <v>0</v>
      </c>
      <c r="K38" s="39">
        <f>'BPJS TK'!D38</f>
        <v>0</v>
      </c>
      <c r="L38" s="39">
        <f>'BPJS TK'!E38</f>
        <v>0</v>
      </c>
      <c r="M38" s="39">
        <f>'BPJS TK'!F38</f>
        <v>0</v>
      </c>
      <c r="N38" s="39">
        <f>'BPJS TK'!H38</f>
        <v>0</v>
      </c>
      <c r="O38" s="39">
        <f>'BPJS KES'!D38</f>
        <v>0</v>
      </c>
      <c r="P38" s="39">
        <f t="shared" si="10"/>
        <v>0</v>
      </c>
      <c r="Q38" s="39">
        <f t="shared" si="11"/>
        <v>0</v>
      </c>
      <c r="R38" s="39">
        <f>'BPJS TK'!G38</f>
        <v>0</v>
      </c>
      <c r="S38" s="39">
        <f>'BPJS TK'!I38</f>
        <v>0</v>
      </c>
      <c r="T38" s="39">
        <f>'BPJS KES'!E38</f>
        <v>0</v>
      </c>
      <c r="U38" s="40">
        <f>'PPH PSL 21 - GROSS (MULAI 2024)'!L38</f>
        <v>0</v>
      </c>
      <c r="V38" s="41">
        <f t="shared" si="12"/>
        <v>0</v>
      </c>
      <c r="W38" s="49">
        <f t="shared" si="4"/>
        <v>0</v>
      </c>
      <c r="X38" s="197"/>
    </row>
    <row r="39" spans="1:25">
      <c r="A39" s="23" t="str">
        <f>IF('TENAGA KERJA'!A38=0,"",'TENAGA KERJA'!A38)</f>
        <v/>
      </c>
      <c r="B39" s="28" t="str">
        <f>IF('TENAGA KERJA'!B38=0,"",'TENAGA KERJA'!B38)</f>
        <v/>
      </c>
      <c r="C39" s="23" t="str">
        <f>IF('TENAGA KERJA'!C38=0,"",'TENAGA KERJA'!C38)</f>
        <v/>
      </c>
      <c r="D39" s="23" t="str">
        <f>IF('TENAGA KERJA'!D38=0,"",'TENAGA KERJA'!D38)</f>
        <v/>
      </c>
      <c r="E39" s="23" t="str">
        <f>IF('TENAGA KERJA'!E38=0,"",'TENAGA KERJA'!E38)</f>
        <v/>
      </c>
      <c r="F39" s="39">
        <f>'TENAGA KERJA'!K38</f>
        <v>0</v>
      </c>
      <c r="G39" s="40">
        <f>'TENAGA KERJA'!L38</f>
        <v>0</v>
      </c>
      <c r="H39" s="40">
        <f>'TENAGA KERJA'!M38</f>
        <v>0</v>
      </c>
      <c r="I39" s="39">
        <f>'TENAGA KERJA'!N38</f>
        <v>0</v>
      </c>
      <c r="J39" s="39">
        <f t="shared" si="9"/>
        <v>0</v>
      </c>
      <c r="K39" s="39">
        <f>'BPJS TK'!D39</f>
        <v>0</v>
      </c>
      <c r="L39" s="39">
        <f>'BPJS TK'!E39</f>
        <v>0</v>
      </c>
      <c r="M39" s="39">
        <f>'BPJS TK'!F39</f>
        <v>0</v>
      </c>
      <c r="N39" s="39">
        <f>'BPJS TK'!H39</f>
        <v>0</v>
      </c>
      <c r="O39" s="39">
        <f>'BPJS KES'!D39</f>
        <v>0</v>
      </c>
      <c r="P39" s="39">
        <f t="shared" si="10"/>
        <v>0</v>
      </c>
      <c r="Q39" s="39">
        <f t="shared" si="11"/>
        <v>0</v>
      </c>
      <c r="R39" s="39">
        <f>'BPJS TK'!G39</f>
        <v>0</v>
      </c>
      <c r="S39" s="39">
        <f>'BPJS TK'!I39</f>
        <v>0</v>
      </c>
      <c r="T39" s="39">
        <f>'BPJS KES'!E39</f>
        <v>0</v>
      </c>
      <c r="U39" s="40">
        <f>'PPH PSL 21 - GROSS (MULAI 2024)'!L39</f>
        <v>0</v>
      </c>
      <c r="V39" s="41">
        <f t="shared" si="12"/>
        <v>0</v>
      </c>
      <c r="W39" s="49">
        <f t="shared" si="4"/>
        <v>0</v>
      </c>
      <c r="X39" s="197"/>
    </row>
    <row r="40" spans="1:25">
      <c r="A40" s="23" t="str">
        <f>IF('TENAGA KERJA'!A39=0,"",'TENAGA KERJA'!A39)</f>
        <v/>
      </c>
      <c r="B40" s="28" t="str">
        <f>IF('TENAGA KERJA'!B39=0,"",'TENAGA KERJA'!B39)</f>
        <v/>
      </c>
      <c r="C40" s="23" t="str">
        <f>IF('TENAGA KERJA'!C39=0,"",'TENAGA KERJA'!C39)</f>
        <v/>
      </c>
      <c r="D40" s="23" t="str">
        <f>IF('TENAGA KERJA'!D39=0,"",'TENAGA KERJA'!D39)</f>
        <v/>
      </c>
      <c r="E40" s="23" t="str">
        <f>IF('TENAGA KERJA'!E39=0,"",'TENAGA KERJA'!E39)</f>
        <v/>
      </c>
      <c r="F40" s="39">
        <f>'TENAGA KERJA'!K39</f>
        <v>0</v>
      </c>
      <c r="G40" s="40">
        <f>'TENAGA KERJA'!L39</f>
        <v>0</v>
      </c>
      <c r="H40" s="40">
        <f>'TENAGA KERJA'!M39</f>
        <v>0</v>
      </c>
      <c r="I40" s="39">
        <f>'TENAGA KERJA'!N39</f>
        <v>0</v>
      </c>
      <c r="J40" s="39">
        <f t="shared" si="9"/>
        <v>0</v>
      </c>
      <c r="K40" s="39">
        <f>'BPJS TK'!D40</f>
        <v>0</v>
      </c>
      <c r="L40" s="39">
        <f>'BPJS TK'!E40</f>
        <v>0</v>
      </c>
      <c r="M40" s="39">
        <f>'BPJS TK'!F40</f>
        <v>0</v>
      </c>
      <c r="N40" s="39">
        <f>'BPJS TK'!H40</f>
        <v>0</v>
      </c>
      <c r="O40" s="39">
        <f>'BPJS KES'!D40</f>
        <v>0</v>
      </c>
      <c r="P40" s="39">
        <f t="shared" si="10"/>
        <v>0</v>
      </c>
      <c r="Q40" s="39">
        <f t="shared" si="11"/>
        <v>0</v>
      </c>
      <c r="R40" s="39">
        <f>'BPJS TK'!G40</f>
        <v>0</v>
      </c>
      <c r="S40" s="39">
        <f>'BPJS TK'!I40</f>
        <v>0</v>
      </c>
      <c r="T40" s="39">
        <f>'BPJS KES'!E40</f>
        <v>0</v>
      </c>
      <c r="U40" s="40">
        <f>'PPH PSL 21 - GROSS (MULAI 2024)'!L40</f>
        <v>0</v>
      </c>
      <c r="V40" s="41">
        <f t="shared" si="12"/>
        <v>0</v>
      </c>
      <c r="W40" s="49">
        <f t="shared" si="4"/>
        <v>0</v>
      </c>
      <c r="X40" s="197"/>
    </row>
    <row r="41" spans="1:25">
      <c r="A41" s="23" t="str">
        <f>IF('TENAGA KERJA'!A40=0,"",'TENAGA KERJA'!A40)</f>
        <v/>
      </c>
      <c r="B41" s="28" t="str">
        <f>IF('TENAGA KERJA'!B40=0,"",'TENAGA KERJA'!B40)</f>
        <v/>
      </c>
      <c r="C41" s="23" t="str">
        <f>IF('TENAGA KERJA'!C40=0,"",'TENAGA KERJA'!C40)</f>
        <v/>
      </c>
      <c r="D41" s="23" t="str">
        <f>IF('TENAGA KERJA'!D40=0,"",'TENAGA KERJA'!D40)</f>
        <v/>
      </c>
      <c r="E41" s="23" t="str">
        <f>IF('TENAGA KERJA'!E40=0,"",'TENAGA KERJA'!E40)</f>
        <v/>
      </c>
      <c r="F41" s="39">
        <f>'TENAGA KERJA'!K40</f>
        <v>0</v>
      </c>
      <c r="G41" s="40">
        <f>'TENAGA KERJA'!L40</f>
        <v>0</v>
      </c>
      <c r="H41" s="40">
        <f>'TENAGA KERJA'!M40</f>
        <v>0</v>
      </c>
      <c r="I41" s="39">
        <f>'TENAGA KERJA'!N40</f>
        <v>0</v>
      </c>
      <c r="J41" s="39">
        <f t="shared" si="9"/>
        <v>0</v>
      </c>
      <c r="K41" s="39">
        <f>'BPJS TK'!D41</f>
        <v>0</v>
      </c>
      <c r="L41" s="39">
        <f>'BPJS TK'!E41</f>
        <v>0</v>
      </c>
      <c r="M41" s="39">
        <f>'BPJS TK'!F41</f>
        <v>0</v>
      </c>
      <c r="N41" s="39">
        <f>'BPJS TK'!H41</f>
        <v>0</v>
      </c>
      <c r="O41" s="39">
        <f>'BPJS KES'!D41</f>
        <v>0</v>
      </c>
      <c r="P41" s="39">
        <f t="shared" si="10"/>
        <v>0</v>
      </c>
      <c r="Q41" s="39">
        <f t="shared" si="11"/>
        <v>0</v>
      </c>
      <c r="R41" s="39">
        <f>'BPJS TK'!G41</f>
        <v>0</v>
      </c>
      <c r="S41" s="39">
        <f>'BPJS TK'!I41</f>
        <v>0</v>
      </c>
      <c r="T41" s="39">
        <f>'BPJS KES'!E41</f>
        <v>0</v>
      </c>
      <c r="U41" s="40">
        <f>'PPH PSL 21 - GROSS (MULAI 2024)'!L41</f>
        <v>0</v>
      </c>
      <c r="V41" s="41">
        <f t="shared" si="12"/>
        <v>0</v>
      </c>
      <c r="W41" s="49">
        <f t="shared" si="4"/>
        <v>0</v>
      </c>
      <c r="X41" s="197"/>
    </row>
    <row r="42" spans="1:25">
      <c r="A42" s="23" t="str">
        <f>IF('TENAGA KERJA'!A41=0,"",'TENAGA KERJA'!A41)</f>
        <v/>
      </c>
      <c r="B42" s="28" t="str">
        <f>IF('TENAGA KERJA'!B41=0,"",'TENAGA KERJA'!B41)</f>
        <v/>
      </c>
      <c r="C42" s="23" t="str">
        <f>IF('TENAGA KERJA'!C41=0,"",'TENAGA KERJA'!C41)</f>
        <v/>
      </c>
      <c r="D42" s="23" t="str">
        <f>IF('TENAGA KERJA'!D41=0,"",'TENAGA KERJA'!D41)</f>
        <v/>
      </c>
      <c r="E42" s="23" t="str">
        <f>IF('TENAGA KERJA'!E41=0,"",'TENAGA KERJA'!E41)</f>
        <v/>
      </c>
      <c r="F42" s="39">
        <f>'TENAGA KERJA'!K41</f>
        <v>0</v>
      </c>
      <c r="G42" s="40">
        <f>'TENAGA KERJA'!L41</f>
        <v>0</v>
      </c>
      <c r="H42" s="40">
        <f>'TENAGA KERJA'!M41</f>
        <v>0</v>
      </c>
      <c r="I42" s="39">
        <f>'TENAGA KERJA'!N41</f>
        <v>0</v>
      </c>
      <c r="J42" s="39">
        <f t="shared" si="9"/>
        <v>0</v>
      </c>
      <c r="K42" s="39">
        <f>'BPJS TK'!D42</f>
        <v>0</v>
      </c>
      <c r="L42" s="39">
        <f>'BPJS TK'!E42</f>
        <v>0</v>
      </c>
      <c r="M42" s="39">
        <f>'BPJS TK'!F42</f>
        <v>0</v>
      </c>
      <c r="N42" s="39">
        <f>'BPJS TK'!H42</f>
        <v>0</v>
      </c>
      <c r="O42" s="39">
        <f>'BPJS KES'!D42</f>
        <v>0</v>
      </c>
      <c r="P42" s="39">
        <f t="shared" si="10"/>
        <v>0</v>
      </c>
      <c r="Q42" s="39">
        <f t="shared" si="11"/>
        <v>0</v>
      </c>
      <c r="R42" s="39">
        <f>'BPJS TK'!G42</f>
        <v>0</v>
      </c>
      <c r="S42" s="39">
        <f>'BPJS TK'!I42</f>
        <v>0</v>
      </c>
      <c r="T42" s="39">
        <f>'BPJS KES'!E42</f>
        <v>0</v>
      </c>
      <c r="U42" s="40">
        <f>'PPH PSL 21 - GROSS (MULAI 2024)'!L42</f>
        <v>0</v>
      </c>
      <c r="V42" s="41">
        <f t="shared" si="12"/>
        <v>0</v>
      </c>
      <c r="W42" s="49">
        <f t="shared" si="4"/>
        <v>0</v>
      </c>
      <c r="X42" s="197"/>
    </row>
    <row r="43" spans="1:25">
      <c r="A43" s="23" t="str">
        <f>IF('TENAGA KERJA'!A42=0,"",'TENAGA KERJA'!A42)</f>
        <v/>
      </c>
      <c r="B43" s="28" t="str">
        <f>IF('TENAGA KERJA'!B42=0,"",'TENAGA KERJA'!B42)</f>
        <v/>
      </c>
      <c r="C43" s="23" t="str">
        <f>IF('TENAGA KERJA'!C42=0,"",'TENAGA KERJA'!C42)</f>
        <v/>
      </c>
      <c r="D43" s="23" t="str">
        <f>IF('TENAGA KERJA'!D42=0,"",'TENAGA KERJA'!D42)</f>
        <v/>
      </c>
      <c r="E43" s="23" t="str">
        <f>IF('TENAGA KERJA'!E42=0,"",'TENAGA KERJA'!E42)</f>
        <v/>
      </c>
      <c r="F43" s="39">
        <f>'TENAGA KERJA'!K42</f>
        <v>0</v>
      </c>
      <c r="G43" s="40">
        <f>'TENAGA KERJA'!L42</f>
        <v>0</v>
      </c>
      <c r="H43" s="40">
        <f>'TENAGA KERJA'!M42</f>
        <v>0</v>
      </c>
      <c r="I43" s="39">
        <f>'TENAGA KERJA'!N42</f>
        <v>0</v>
      </c>
      <c r="J43" s="39">
        <f t="shared" si="9"/>
        <v>0</v>
      </c>
      <c r="K43" s="39">
        <f>'BPJS TK'!D43</f>
        <v>0</v>
      </c>
      <c r="L43" s="39">
        <f>'BPJS TK'!E43</f>
        <v>0</v>
      </c>
      <c r="M43" s="39">
        <f>'BPJS TK'!F43</f>
        <v>0</v>
      </c>
      <c r="N43" s="39">
        <f>'BPJS TK'!H43</f>
        <v>0</v>
      </c>
      <c r="O43" s="39">
        <f>'BPJS KES'!D43</f>
        <v>0</v>
      </c>
      <c r="P43" s="39">
        <f t="shared" si="10"/>
        <v>0</v>
      </c>
      <c r="Q43" s="39">
        <f t="shared" si="11"/>
        <v>0</v>
      </c>
      <c r="R43" s="39">
        <f>'BPJS TK'!G43</f>
        <v>0</v>
      </c>
      <c r="S43" s="39">
        <f>'BPJS TK'!I43</f>
        <v>0</v>
      </c>
      <c r="T43" s="39">
        <f>'BPJS KES'!E43</f>
        <v>0</v>
      </c>
      <c r="U43" s="40">
        <f>'PPH PSL 21 - GROSS (MULAI 2024)'!L43</f>
        <v>0</v>
      </c>
      <c r="V43" s="41">
        <f t="shared" si="12"/>
        <v>0</v>
      </c>
      <c r="W43" s="49">
        <f t="shared" si="4"/>
        <v>0</v>
      </c>
      <c r="X43" s="197"/>
    </row>
    <row r="44" spans="1:25">
      <c r="A44" s="23" t="str">
        <f>IF('TENAGA KERJA'!A43=0,"",'TENAGA KERJA'!A43)</f>
        <v/>
      </c>
      <c r="B44" s="28" t="str">
        <f>IF('TENAGA KERJA'!B43=0,"",'TENAGA KERJA'!B43)</f>
        <v/>
      </c>
      <c r="C44" s="23" t="str">
        <f>IF('TENAGA KERJA'!C43=0,"",'TENAGA KERJA'!C43)</f>
        <v/>
      </c>
      <c r="D44" s="23" t="str">
        <f>IF('TENAGA KERJA'!D43=0,"",'TENAGA KERJA'!D43)</f>
        <v/>
      </c>
      <c r="E44" s="23" t="str">
        <f>IF('TENAGA KERJA'!E43=0,"",'TENAGA KERJA'!E43)</f>
        <v/>
      </c>
      <c r="F44" s="39">
        <f>'TENAGA KERJA'!K43</f>
        <v>0</v>
      </c>
      <c r="G44" s="40">
        <f>'TENAGA KERJA'!L43</f>
        <v>0</v>
      </c>
      <c r="H44" s="40">
        <f>'TENAGA KERJA'!M43</f>
        <v>0</v>
      </c>
      <c r="I44" s="39">
        <f>'TENAGA KERJA'!N43</f>
        <v>0</v>
      </c>
      <c r="J44" s="39">
        <f t="shared" si="9"/>
        <v>0</v>
      </c>
      <c r="K44" s="39">
        <f>'BPJS TK'!D44</f>
        <v>0</v>
      </c>
      <c r="L44" s="39">
        <f>'BPJS TK'!E44</f>
        <v>0</v>
      </c>
      <c r="M44" s="39">
        <f>'BPJS TK'!F44</f>
        <v>0</v>
      </c>
      <c r="N44" s="39">
        <f>'BPJS TK'!H44</f>
        <v>0</v>
      </c>
      <c r="O44" s="39">
        <f>'BPJS KES'!D44</f>
        <v>0</v>
      </c>
      <c r="P44" s="39">
        <f t="shared" si="10"/>
        <v>0</v>
      </c>
      <c r="Q44" s="39">
        <f t="shared" si="11"/>
        <v>0</v>
      </c>
      <c r="R44" s="39">
        <f>'BPJS TK'!G44</f>
        <v>0</v>
      </c>
      <c r="S44" s="39">
        <f>'BPJS TK'!I44</f>
        <v>0</v>
      </c>
      <c r="T44" s="39">
        <f>'BPJS KES'!E44</f>
        <v>0</v>
      </c>
      <c r="U44" s="40">
        <f>'PPH PSL 21 - GROSS (MULAI 2024)'!L44</f>
        <v>0</v>
      </c>
      <c r="V44" s="41">
        <f t="shared" si="12"/>
        <v>0</v>
      </c>
      <c r="W44" s="49">
        <f t="shared" si="4"/>
        <v>0</v>
      </c>
      <c r="X44" s="197"/>
    </row>
    <row r="45" spans="1:25">
      <c r="A45" s="23" t="str">
        <f>IF('TENAGA KERJA'!A44=0,"",'TENAGA KERJA'!A44)</f>
        <v/>
      </c>
      <c r="B45" s="28" t="str">
        <f>IF('TENAGA KERJA'!B44=0,"",'TENAGA KERJA'!B44)</f>
        <v/>
      </c>
      <c r="C45" s="23" t="str">
        <f>IF('TENAGA KERJA'!C44=0,"",'TENAGA KERJA'!C44)</f>
        <v/>
      </c>
      <c r="D45" s="23" t="str">
        <f>IF('TENAGA KERJA'!D44=0,"",'TENAGA KERJA'!D44)</f>
        <v/>
      </c>
      <c r="E45" s="23" t="str">
        <f>IF('TENAGA KERJA'!E44=0,"",'TENAGA KERJA'!E44)</f>
        <v/>
      </c>
      <c r="F45" s="39">
        <f>'TENAGA KERJA'!K44</f>
        <v>0</v>
      </c>
      <c r="G45" s="40">
        <f>'TENAGA KERJA'!L44</f>
        <v>0</v>
      </c>
      <c r="H45" s="40">
        <f>'TENAGA KERJA'!M44</f>
        <v>0</v>
      </c>
      <c r="I45" s="39">
        <f>'TENAGA KERJA'!N44</f>
        <v>0</v>
      </c>
      <c r="J45" s="39">
        <f t="shared" si="9"/>
        <v>0</v>
      </c>
      <c r="K45" s="39">
        <f>'BPJS TK'!D45</f>
        <v>0</v>
      </c>
      <c r="L45" s="39">
        <f>'BPJS TK'!E45</f>
        <v>0</v>
      </c>
      <c r="M45" s="39">
        <f>'BPJS TK'!F45</f>
        <v>0</v>
      </c>
      <c r="N45" s="39">
        <f>'BPJS TK'!H45</f>
        <v>0</v>
      </c>
      <c r="O45" s="39">
        <f>'BPJS KES'!D45</f>
        <v>0</v>
      </c>
      <c r="P45" s="39">
        <f t="shared" si="10"/>
        <v>0</v>
      </c>
      <c r="Q45" s="39">
        <f t="shared" si="11"/>
        <v>0</v>
      </c>
      <c r="R45" s="39">
        <f>'BPJS TK'!G45</f>
        <v>0</v>
      </c>
      <c r="S45" s="39">
        <f>'BPJS TK'!I45</f>
        <v>0</v>
      </c>
      <c r="T45" s="39">
        <f>'BPJS KES'!E45</f>
        <v>0</v>
      </c>
      <c r="U45" s="40">
        <f>'PPH PSL 21 - GROSS (MULAI 2024)'!L45</f>
        <v>0</v>
      </c>
      <c r="V45" s="41">
        <f t="shared" si="12"/>
        <v>0</v>
      </c>
      <c r="W45" s="49">
        <f t="shared" si="4"/>
        <v>0</v>
      </c>
      <c r="X45" s="197"/>
    </row>
    <row r="46" spans="1:25">
      <c r="A46" s="23" t="str">
        <f>IF('TENAGA KERJA'!A45=0,"",'TENAGA KERJA'!A45)</f>
        <v/>
      </c>
      <c r="B46" s="28" t="str">
        <f>IF('TENAGA KERJA'!B45=0,"",'TENAGA KERJA'!B45)</f>
        <v/>
      </c>
      <c r="C46" s="23" t="str">
        <f>IF('TENAGA KERJA'!C45=0,"",'TENAGA KERJA'!C45)</f>
        <v/>
      </c>
      <c r="D46" s="23" t="str">
        <f>IF('TENAGA KERJA'!D45=0,"",'TENAGA KERJA'!D45)</f>
        <v/>
      </c>
      <c r="E46" s="23" t="str">
        <f>IF('TENAGA KERJA'!E45=0,"",'TENAGA KERJA'!E45)</f>
        <v/>
      </c>
      <c r="F46" s="39">
        <f>'TENAGA KERJA'!K45</f>
        <v>0</v>
      </c>
      <c r="G46" s="40">
        <f>'TENAGA KERJA'!L45</f>
        <v>0</v>
      </c>
      <c r="H46" s="40">
        <f>'TENAGA KERJA'!M45</f>
        <v>0</v>
      </c>
      <c r="I46" s="39">
        <f>'TENAGA KERJA'!N45</f>
        <v>0</v>
      </c>
      <c r="J46" s="39">
        <f t="shared" si="9"/>
        <v>0</v>
      </c>
      <c r="K46" s="39">
        <f>'BPJS TK'!D46</f>
        <v>0</v>
      </c>
      <c r="L46" s="39">
        <f>'BPJS TK'!E46</f>
        <v>0</v>
      </c>
      <c r="M46" s="39">
        <f>'BPJS TK'!F46</f>
        <v>0</v>
      </c>
      <c r="N46" s="39">
        <f>'BPJS TK'!H46</f>
        <v>0</v>
      </c>
      <c r="O46" s="39">
        <f>'BPJS KES'!D46</f>
        <v>0</v>
      </c>
      <c r="P46" s="39">
        <f t="shared" si="10"/>
        <v>0</v>
      </c>
      <c r="Q46" s="39">
        <f t="shared" si="11"/>
        <v>0</v>
      </c>
      <c r="R46" s="39">
        <f>'BPJS TK'!G46</f>
        <v>0</v>
      </c>
      <c r="S46" s="39">
        <f>'BPJS TK'!I46</f>
        <v>0</v>
      </c>
      <c r="T46" s="39">
        <f>'BPJS KES'!E46</f>
        <v>0</v>
      </c>
      <c r="U46" s="40">
        <f>'PPH PSL 21 - GROSS (MULAI 2024)'!L46</f>
        <v>0</v>
      </c>
      <c r="V46" s="41">
        <f t="shared" si="12"/>
        <v>0</v>
      </c>
      <c r="W46" s="49">
        <f t="shared" si="4"/>
        <v>0</v>
      </c>
      <c r="X46" s="197"/>
      <c r="Y46" s="50"/>
    </row>
    <row r="47" spans="1:25">
      <c r="A47" s="23" t="str">
        <f>IF('TENAGA KERJA'!A46=0,"",'TENAGA KERJA'!A46)</f>
        <v/>
      </c>
      <c r="B47" s="28" t="str">
        <f>IF('TENAGA KERJA'!B46=0,"",'TENAGA KERJA'!B46)</f>
        <v/>
      </c>
      <c r="C47" s="23" t="str">
        <f>IF('TENAGA KERJA'!C46=0,"",'TENAGA KERJA'!C46)</f>
        <v/>
      </c>
      <c r="D47" s="23" t="str">
        <f>IF('TENAGA KERJA'!D46=0,"",'TENAGA KERJA'!D46)</f>
        <v/>
      </c>
      <c r="E47" s="23" t="str">
        <f>IF('TENAGA KERJA'!E46=0,"",'TENAGA KERJA'!E46)</f>
        <v/>
      </c>
      <c r="F47" s="39">
        <f>'TENAGA KERJA'!K46</f>
        <v>0</v>
      </c>
      <c r="G47" s="40">
        <f>'TENAGA KERJA'!L46</f>
        <v>0</v>
      </c>
      <c r="H47" s="40">
        <f>'TENAGA KERJA'!M46</f>
        <v>0</v>
      </c>
      <c r="I47" s="39">
        <f>'TENAGA KERJA'!N46</f>
        <v>0</v>
      </c>
      <c r="J47" s="39">
        <f t="shared" si="9"/>
        <v>0</v>
      </c>
      <c r="K47" s="39">
        <f>'BPJS TK'!D47</f>
        <v>0</v>
      </c>
      <c r="L47" s="39">
        <f>'BPJS TK'!E47</f>
        <v>0</v>
      </c>
      <c r="M47" s="39">
        <f>'BPJS TK'!F47</f>
        <v>0</v>
      </c>
      <c r="N47" s="39">
        <f>'BPJS TK'!H47</f>
        <v>0</v>
      </c>
      <c r="O47" s="39">
        <f>'BPJS KES'!D47</f>
        <v>0</v>
      </c>
      <c r="P47" s="39">
        <f t="shared" si="10"/>
        <v>0</v>
      </c>
      <c r="Q47" s="39">
        <f t="shared" si="11"/>
        <v>0</v>
      </c>
      <c r="R47" s="39">
        <f>'BPJS TK'!G47</f>
        <v>0</v>
      </c>
      <c r="S47" s="39">
        <f>'BPJS TK'!I47</f>
        <v>0</v>
      </c>
      <c r="T47" s="39">
        <f>'BPJS KES'!E47</f>
        <v>0</v>
      </c>
      <c r="U47" s="40">
        <f>'PPH PSL 21 - GROSS (MULAI 2024)'!L47</f>
        <v>0</v>
      </c>
      <c r="V47" s="41">
        <f t="shared" si="12"/>
        <v>0</v>
      </c>
      <c r="W47" s="49">
        <f t="shared" si="4"/>
        <v>0</v>
      </c>
      <c r="X47" s="197"/>
    </row>
    <row r="48" spans="1:25">
      <c r="A48" s="23" t="str">
        <f>IF('TENAGA KERJA'!A47=0,"",'TENAGA KERJA'!A47)</f>
        <v/>
      </c>
      <c r="B48" s="28" t="str">
        <f>IF('TENAGA KERJA'!B47=0,"",'TENAGA KERJA'!B47)</f>
        <v/>
      </c>
      <c r="C48" s="23" t="str">
        <f>IF('TENAGA KERJA'!C47=0,"",'TENAGA KERJA'!C47)</f>
        <v/>
      </c>
      <c r="D48" s="23" t="str">
        <f>IF('TENAGA KERJA'!D47=0,"",'TENAGA KERJA'!D47)</f>
        <v/>
      </c>
      <c r="E48" s="23" t="str">
        <f>IF('TENAGA KERJA'!E47=0,"",'TENAGA KERJA'!E47)</f>
        <v/>
      </c>
      <c r="F48" s="39">
        <f>'TENAGA KERJA'!K47</f>
        <v>0</v>
      </c>
      <c r="G48" s="40">
        <f>'TENAGA KERJA'!L47</f>
        <v>0</v>
      </c>
      <c r="H48" s="40">
        <f>'TENAGA KERJA'!M47</f>
        <v>0</v>
      </c>
      <c r="I48" s="39">
        <f>'TENAGA KERJA'!N47</f>
        <v>0</v>
      </c>
      <c r="J48" s="39">
        <f t="shared" si="9"/>
        <v>0</v>
      </c>
      <c r="K48" s="39">
        <f>'BPJS TK'!D48</f>
        <v>0</v>
      </c>
      <c r="L48" s="39">
        <f>'BPJS TK'!E48</f>
        <v>0</v>
      </c>
      <c r="M48" s="39">
        <f>'BPJS TK'!F48</f>
        <v>0</v>
      </c>
      <c r="N48" s="39">
        <f>'BPJS TK'!H48</f>
        <v>0</v>
      </c>
      <c r="O48" s="39">
        <f>'BPJS KES'!D48</f>
        <v>0</v>
      </c>
      <c r="P48" s="39">
        <f t="shared" si="10"/>
        <v>0</v>
      </c>
      <c r="Q48" s="39">
        <f t="shared" si="11"/>
        <v>0</v>
      </c>
      <c r="R48" s="39">
        <f>'BPJS TK'!G48</f>
        <v>0</v>
      </c>
      <c r="S48" s="39">
        <f>'BPJS TK'!I48</f>
        <v>0</v>
      </c>
      <c r="T48" s="39">
        <f>'BPJS KES'!E48</f>
        <v>0</v>
      </c>
      <c r="U48" s="40">
        <f>'PPH PSL 21 - GROSS (MULAI 2024)'!L48</f>
        <v>0</v>
      </c>
      <c r="V48" s="41">
        <f t="shared" si="12"/>
        <v>0</v>
      </c>
      <c r="W48" s="49">
        <f t="shared" si="4"/>
        <v>0</v>
      </c>
      <c r="X48" s="197"/>
    </row>
    <row r="49" spans="1:24">
      <c r="A49" s="23" t="str">
        <f>IF('TENAGA KERJA'!A48=0,"",'TENAGA KERJA'!A48)</f>
        <v/>
      </c>
      <c r="B49" s="28" t="str">
        <f>IF('TENAGA KERJA'!B48=0,"",'TENAGA KERJA'!B48)</f>
        <v/>
      </c>
      <c r="C49" s="23" t="str">
        <f>IF('TENAGA KERJA'!C48=0,"",'TENAGA KERJA'!C48)</f>
        <v/>
      </c>
      <c r="D49" s="23" t="str">
        <f>IF('TENAGA KERJA'!D48=0,"",'TENAGA KERJA'!D48)</f>
        <v/>
      </c>
      <c r="E49" s="23" t="str">
        <f>IF('TENAGA KERJA'!E48=0,"",'TENAGA KERJA'!E48)</f>
        <v/>
      </c>
      <c r="F49" s="39">
        <f>'TENAGA KERJA'!K48</f>
        <v>0</v>
      </c>
      <c r="G49" s="40">
        <f>'TENAGA KERJA'!L48</f>
        <v>0</v>
      </c>
      <c r="H49" s="40">
        <f>'TENAGA KERJA'!M48</f>
        <v>0</v>
      </c>
      <c r="I49" s="39">
        <f>'TENAGA KERJA'!N48</f>
        <v>0</v>
      </c>
      <c r="J49" s="39">
        <f t="shared" si="9"/>
        <v>0</v>
      </c>
      <c r="K49" s="39">
        <f>'BPJS TK'!D49</f>
        <v>0</v>
      </c>
      <c r="L49" s="39">
        <f>'BPJS TK'!E49</f>
        <v>0</v>
      </c>
      <c r="M49" s="39">
        <f>'BPJS TK'!F49</f>
        <v>0</v>
      </c>
      <c r="N49" s="39">
        <f>'BPJS TK'!H49</f>
        <v>0</v>
      </c>
      <c r="O49" s="39">
        <f>'BPJS KES'!D49</f>
        <v>0</v>
      </c>
      <c r="P49" s="39">
        <f t="shared" si="10"/>
        <v>0</v>
      </c>
      <c r="Q49" s="39">
        <f t="shared" si="11"/>
        <v>0</v>
      </c>
      <c r="R49" s="39">
        <f>'BPJS TK'!G49</f>
        <v>0</v>
      </c>
      <c r="S49" s="39">
        <f>'BPJS TK'!I49</f>
        <v>0</v>
      </c>
      <c r="T49" s="39">
        <f>'BPJS KES'!E49</f>
        <v>0</v>
      </c>
      <c r="U49" s="40">
        <f>'PPH PSL 21 - GROSS (MULAI 2024)'!L49</f>
        <v>0</v>
      </c>
      <c r="V49" s="41">
        <f t="shared" si="12"/>
        <v>0</v>
      </c>
      <c r="W49" s="49">
        <f t="shared" si="4"/>
        <v>0</v>
      </c>
      <c r="X49" s="197"/>
    </row>
    <row r="50" spans="1:24">
      <c r="A50" s="23" t="str">
        <f>IF('TENAGA KERJA'!A49=0,"",'TENAGA KERJA'!A49)</f>
        <v/>
      </c>
      <c r="B50" s="28" t="str">
        <f>IF('TENAGA KERJA'!B49=0,"",'TENAGA KERJA'!B49)</f>
        <v/>
      </c>
      <c r="C50" s="23" t="str">
        <f>IF('TENAGA KERJA'!C49=0,"",'TENAGA KERJA'!C49)</f>
        <v/>
      </c>
      <c r="D50" s="23" t="str">
        <f>IF('TENAGA KERJA'!D49=0,"",'TENAGA KERJA'!D49)</f>
        <v/>
      </c>
      <c r="E50" s="23" t="str">
        <f>IF('TENAGA KERJA'!E49=0,"",'TENAGA KERJA'!E49)</f>
        <v/>
      </c>
      <c r="F50" s="39">
        <f>'TENAGA KERJA'!K49</f>
        <v>0</v>
      </c>
      <c r="G50" s="40">
        <f>'TENAGA KERJA'!L49</f>
        <v>0</v>
      </c>
      <c r="H50" s="40">
        <f>'TENAGA KERJA'!M49</f>
        <v>0</v>
      </c>
      <c r="I50" s="39">
        <f>'TENAGA KERJA'!N49</f>
        <v>0</v>
      </c>
      <c r="J50" s="39">
        <f t="shared" si="9"/>
        <v>0</v>
      </c>
      <c r="K50" s="39">
        <f>'BPJS TK'!D50</f>
        <v>0</v>
      </c>
      <c r="L50" s="39">
        <f>'BPJS TK'!E50</f>
        <v>0</v>
      </c>
      <c r="M50" s="39">
        <f>'BPJS TK'!F50</f>
        <v>0</v>
      </c>
      <c r="N50" s="39">
        <f>'BPJS TK'!H50</f>
        <v>0</v>
      </c>
      <c r="O50" s="39">
        <f>'BPJS KES'!D50</f>
        <v>0</v>
      </c>
      <c r="P50" s="39">
        <f t="shared" si="10"/>
        <v>0</v>
      </c>
      <c r="Q50" s="39">
        <f t="shared" si="11"/>
        <v>0</v>
      </c>
      <c r="R50" s="39">
        <f>'BPJS TK'!G50</f>
        <v>0</v>
      </c>
      <c r="S50" s="39">
        <f>'BPJS TK'!I50</f>
        <v>0</v>
      </c>
      <c r="T50" s="39">
        <f>'BPJS KES'!E50</f>
        <v>0</v>
      </c>
      <c r="U50" s="40">
        <f>'PPH PSL 21 - GROSS (MULAI 2024)'!L50</f>
        <v>0</v>
      </c>
      <c r="V50" s="41">
        <f t="shared" si="12"/>
        <v>0</v>
      </c>
      <c r="W50" s="49">
        <f t="shared" si="4"/>
        <v>0</v>
      </c>
      <c r="X50" s="197"/>
    </row>
    <row r="51" spans="1:24">
      <c r="A51" s="23" t="str">
        <f>IF('TENAGA KERJA'!A50=0,"",'TENAGA KERJA'!A50)</f>
        <v/>
      </c>
      <c r="B51" s="28" t="str">
        <f>IF('TENAGA KERJA'!B50=0,"",'TENAGA KERJA'!B50)</f>
        <v/>
      </c>
      <c r="C51" s="23" t="str">
        <f>IF('TENAGA KERJA'!C50=0,"",'TENAGA KERJA'!C50)</f>
        <v/>
      </c>
      <c r="D51" s="23" t="str">
        <f>IF('TENAGA KERJA'!D50=0,"",'TENAGA KERJA'!D50)</f>
        <v/>
      </c>
      <c r="E51" s="23" t="str">
        <f>IF('TENAGA KERJA'!E50=0,"",'TENAGA KERJA'!E50)</f>
        <v/>
      </c>
      <c r="F51" s="39">
        <f>'TENAGA KERJA'!K50</f>
        <v>0</v>
      </c>
      <c r="G51" s="40">
        <f>'TENAGA KERJA'!L50</f>
        <v>0</v>
      </c>
      <c r="H51" s="40">
        <f>'TENAGA KERJA'!M50</f>
        <v>0</v>
      </c>
      <c r="I51" s="39">
        <f>'TENAGA KERJA'!N50</f>
        <v>0</v>
      </c>
      <c r="J51" s="39">
        <f t="shared" si="9"/>
        <v>0</v>
      </c>
      <c r="K51" s="39">
        <f>'BPJS TK'!D51</f>
        <v>0</v>
      </c>
      <c r="L51" s="39">
        <f>'BPJS TK'!E51</f>
        <v>0</v>
      </c>
      <c r="M51" s="39">
        <f>'BPJS TK'!F51</f>
        <v>0</v>
      </c>
      <c r="N51" s="39">
        <f>'BPJS TK'!H51</f>
        <v>0</v>
      </c>
      <c r="O51" s="39">
        <f>'BPJS KES'!D51</f>
        <v>0</v>
      </c>
      <c r="P51" s="39">
        <f t="shared" si="10"/>
        <v>0</v>
      </c>
      <c r="Q51" s="39">
        <f t="shared" si="11"/>
        <v>0</v>
      </c>
      <c r="R51" s="39">
        <f>'BPJS TK'!G51</f>
        <v>0</v>
      </c>
      <c r="S51" s="39">
        <f>'BPJS TK'!I51</f>
        <v>0</v>
      </c>
      <c r="T51" s="39">
        <f>'BPJS KES'!E51</f>
        <v>0</v>
      </c>
      <c r="U51" s="40">
        <f>'PPH PSL 21 - GROSS (MULAI 2024)'!L51</f>
        <v>0</v>
      </c>
      <c r="V51" s="41">
        <f t="shared" si="12"/>
        <v>0</v>
      </c>
      <c r="W51" s="49">
        <f t="shared" si="4"/>
        <v>0</v>
      </c>
      <c r="X51" s="203"/>
    </row>
    <row r="52" spans="1:24">
      <c r="A52" s="23" t="str">
        <f>IF('TENAGA KERJA'!A51=0,"",'TENAGA KERJA'!A51)</f>
        <v/>
      </c>
      <c r="B52" s="28" t="str">
        <f>IF('TENAGA KERJA'!B51=0,"",'TENAGA KERJA'!B51)</f>
        <v/>
      </c>
      <c r="C52" s="23" t="str">
        <f>IF('TENAGA KERJA'!C51=0,"",'TENAGA KERJA'!C51)</f>
        <v/>
      </c>
      <c r="D52" s="23" t="str">
        <f>IF('TENAGA KERJA'!D51=0,"",'TENAGA KERJA'!D51)</f>
        <v/>
      </c>
      <c r="E52" s="23" t="str">
        <f>IF('TENAGA KERJA'!E51=0,"",'TENAGA KERJA'!E51)</f>
        <v/>
      </c>
      <c r="F52" s="39">
        <f>'TENAGA KERJA'!K51</f>
        <v>0</v>
      </c>
      <c r="G52" s="40">
        <f>'TENAGA KERJA'!L51</f>
        <v>0</v>
      </c>
      <c r="H52" s="40">
        <f>'TENAGA KERJA'!M51</f>
        <v>0</v>
      </c>
      <c r="I52" s="39">
        <f>'TENAGA KERJA'!N51</f>
        <v>0</v>
      </c>
      <c r="J52" s="39">
        <f t="shared" si="9"/>
        <v>0</v>
      </c>
      <c r="K52" s="39">
        <f>'BPJS TK'!D52</f>
        <v>0</v>
      </c>
      <c r="L52" s="39">
        <f>'BPJS TK'!E52</f>
        <v>0</v>
      </c>
      <c r="M52" s="39">
        <f>'BPJS TK'!F52</f>
        <v>0</v>
      </c>
      <c r="N52" s="39">
        <f>'BPJS TK'!H52</f>
        <v>0</v>
      </c>
      <c r="O52" s="39">
        <f>'BPJS KES'!D52</f>
        <v>0</v>
      </c>
      <c r="P52" s="39">
        <f t="shared" si="10"/>
        <v>0</v>
      </c>
      <c r="Q52" s="39">
        <f t="shared" si="11"/>
        <v>0</v>
      </c>
      <c r="R52" s="39">
        <f>'BPJS TK'!G52</f>
        <v>0</v>
      </c>
      <c r="S52" s="39">
        <f>'BPJS TK'!I52</f>
        <v>0</v>
      </c>
      <c r="T52" s="39">
        <f>'BPJS KES'!E52</f>
        <v>0</v>
      </c>
      <c r="U52" s="40">
        <f>'PPH PSL 21 - GROSS (MULAI 2024)'!L52</f>
        <v>0</v>
      </c>
      <c r="V52" s="41">
        <f t="shared" si="12"/>
        <v>0</v>
      </c>
      <c r="W52" s="49">
        <f t="shared" si="4"/>
        <v>0</v>
      </c>
      <c r="X52" s="197"/>
    </row>
    <row r="53" spans="1:24">
      <c r="A53" s="23" t="str">
        <f>IF('TENAGA KERJA'!A52=0,"",'TENAGA KERJA'!A52)</f>
        <v/>
      </c>
      <c r="B53" s="28" t="str">
        <f>IF('TENAGA KERJA'!B52=0,"",'TENAGA KERJA'!B52)</f>
        <v/>
      </c>
      <c r="C53" s="23" t="str">
        <f>IF('TENAGA KERJA'!C52=0,"",'TENAGA KERJA'!C52)</f>
        <v/>
      </c>
      <c r="D53" s="23" t="str">
        <f>IF('TENAGA KERJA'!D52=0,"",'TENAGA KERJA'!D52)</f>
        <v/>
      </c>
      <c r="E53" s="23" t="str">
        <f>IF('TENAGA KERJA'!E52=0,"",'TENAGA KERJA'!E52)</f>
        <v/>
      </c>
      <c r="F53" s="39">
        <f>'TENAGA KERJA'!K52</f>
        <v>0</v>
      </c>
      <c r="G53" s="40">
        <f>'TENAGA KERJA'!L52</f>
        <v>0</v>
      </c>
      <c r="H53" s="40">
        <f>'TENAGA KERJA'!M52</f>
        <v>0</v>
      </c>
      <c r="I53" s="39">
        <f>'TENAGA KERJA'!N52</f>
        <v>0</v>
      </c>
      <c r="J53" s="39">
        <f t="shared" si="9"/>
        <v>0</v>
      </c>
      <c r="K53" s="39">
        <f>'BPJS TK'!D53</f>
        <v>0</v>
      </c>
      <c r="L53" s="39">
        <f>'BPJS TK'!E53</f>
        <v>0</v>
      </c>
      <c r="M53" s="39">
        <f>'BPJS TK'!F53</f>
        <v>0</v>
      </c>
      <c r="N53" s="39">
        <f>'BPJS TK'!H53</f>
        <v>0</v>
      </c>
      <c r="O53" s="39">
        <f>'BPJS KES'!D53</f>
        <v>0</v>
      </c>
      <c r="P53" s="39">
        <f t="shared" si="10"/>
        <v>0</v>
      </c>
      <c r="Q53" s="39">
        <f t="shared" si="11"/>
        <v>0</v>
      </c>
      <c r="R53" s="39">
        <f>'BPJS TK'!G53</f>
        <v>0</v>
      </c>
      <c r="S53" s="39">
        <f>'BPJS TK'!I53</f>
        <v>0</v>
      </c>
      <c r="T53" s="39">
        <f>'BPJS KES'!E53</f>
        <v>0</v>
      </c>
      <c r="U53" s="40">
        <f>'PPH PSL 21 - GROSS (MULAI 2024)'!L53</f>
        <v>0</v>
      </c>
      <c r="V53" s="41">
        <f t="shared" si="12"/>
        <v>0</v>
      </c>
      <c r="W53" s="49">
        <f t="shared" si="4"/>
        <v>0</v>
      </c>
      <c r="X53" s="197"/>
    </row>
    <row r="54" spans="1:24">
      <c r="A54" s="23" t="str">
        <f>IF('TENAGA KERJA'!A53=0,"",'TENAGA KERJA'!A53)</f>
        <v/>
      </c>
      <c r="B54" s="28" t="str">
        <f>IF('TENAGA KERJA'!B53=0,"",'TENAGA KERJA'!B53)</f>
        <v/>
      </c>
      <c r="C54" s="23" t="str">
        <f>IF('TENAGA KERJA'!C53=0,"",'TENAGA KERJA'!C53)</f>
        <v/>
      </c>
      <c r="D54" s="23" t="str">
        <f>IF('TENAGA KERJA'!D53=0,"",'TENAGA KERJA'!D53)</f>
        <v/>
      </c>
      <c r="E54" s="23" t="str">
        <f>IF('TENAGA KERJA'!E53=0,"",'TENAGA KERJA'!E53)</f>
        <v/>
      </c>
      <c r="F54" s="39">
        <f>'TENAGA KERJA'!K53</f>
        <v>0</v>
      </c>
      <c r="G54" s="40">
        <f>'TENAGA KERJA'!L53</f>
        <v>0</v>
      </c>
      <c r="H54" s="40">
        <f>'TENAGA KERJA'!M53</f>
        <v>0</v>
      </c>
      <c r="I54" s="39">
        <f>'TENAGA KERJA'!N53</f>
        <v>0</v>
      </c>
      <c r="J54" s="39">
        <f t="shared" si="9"/>
        <v>0</v>
      </c>
      <c r="K54" s="39">
        <f>'BPJS TK'!D54</f>
        <v>0</v>
      </c>
      <c r="L54" s="39">
        <f>'BPJS TK'!E54</f>
        <v>0</v>
      </c>
      <c r="M54" s="39">
        <f>'BPJS TK'!F54</f>
        <v>0</v>
      </c>
      <c r="N54" s="39">
        <f>'BPJS TK'!H54</f>
        <v>0</v>
      </c>
      <c r="O54" s="39">
        <f>'BPJS KES'!D54</f>
        <v>0</v>
      </c>
      <c r="P54" s="39">
        <f t="shared" si="10"/>
        <v>0</v>
      </c>
      <c r="Q54" s="39">
        <f t="shared" si="11"/>
        <v>0</v>
      </c>
      <c r="R54" s="39">
        <f>'BPJS TK'!G54</f>
        <v>0</v>
      </c>
      <c r="S54" s="39">
        <f>'BPJS TK'!I54</f>
        <v>0</v>
      </c>
      <c r="T54" s="39">
        <f>'BPJS KES'!E54</f>
        <v>0</v>
      </c>
      <c r="U54" s="40">
        <f>'PPH PSL 21 - GROSS (MULAI 2024)'!L54</f>
        <v>0</v>
      </c>
      <c r="V54" s="41">
        <f t="shared" si="12"/>
        <v>0</v>
      </c>
      <c r="W54" s="49">
        <f t="shared" si="4"/>
        <v>0</v>
      </c>
      <c r="X54" s="197"/>
    </row>
    <row r="55" spans="1:24">
      <c r="A55" s="23" t="str">
        <f>IF('TENAGA KERJA'!A54=0,"",'TENAGA KERJA'!A54)</f>
        <v/>
      </c>
      <c r="B55" s="28" t="str">
        <f>IF('TENAGA KERJA'!B54=0,"",'TENAGA KERJA'!B54)</f>
        <v/>
      </c>
      <c r="C55" s="23" t="str">
        <f>IF('TENAGA KERJA'!C54=0,"",'TENAGA KERJA'!C54)</f>
        <v/>
      </c>
      <c r="D55" s="23" t="str">
        <f>IF('TENAGA KERJA'!D54=0,"",'TENAGA KERJA'!D54)</f>
        <v/>
      </c>
      <c r="E55" s="23" t="str">
        <f>IF('TENAGA KERJA'!E54=0,"",'TENAGA KERJA'!E54)</f>
        <v/>
      </c>
      <c r="F55" s="39">
        <f>'TENAGA KERJA'!K54</f>
        <v>0</v>
      </c>
      <c r="G55" s="40">
        <f>'TENAGA KERJA'!L54</f>
        <v>0</v>
      </c>
      <c r="H55" s="40">
        <f>'TENAGA KERJA'!M54</f>
        <v>0</v>
      </c>
      <c r="I55" s="39">
        <f>'TENAGA KERJA'!N54</f>
        <v>0</v>
      </c>
      <c r="J55" s="39">
        <f t="shared" si="9"/>
        <v>0</v>
      </c>
      <c r="K55" s="39">
        <f>'BPJS TK'!D55</f>
        <v>0</v>
      </c>
      <c r="L55" s="39">
        <f>'BPJS TK'!E55</f>
        <v>0</v>
      </c>
      <c r="M55" s="39">
        <f>'BPJS TK'!F55</f>
        <v>0</v>
      </c>
      <c r="N55" s="39">
        <f>'BPJS TK'!H55</f>
        <v>0</v>
      </c>
      <c r="O55" s="39">
        <f>'BPJS KES'!D55</f>
        <v>0</v>
      </c>
      <c r="P55" s="39">
        <f t="shared" si="10"/>
        <v>0</v>
      </c>
      <c r="Q55" s="39">
        <f t="shared" si="11"/>
        <v>0</v>
      </c>
      <c r="R55" s="39">
        <f>'BPJS TK'!G55</f>
        <v>0</v>
      </c>
      <c r="S55" s="39">
        <f>'BPJS TK'!I55</f>
        <v>0</v>
      </c>
      <c r="T55" s="39">
        <f>'BPJS KES'!E55</f>
        <v>0</v>
      </c>
      <c r="U55" s="40">
        <f>'PPH PSL 21 - GROSS (MULAI 2024)'!L55</f>
        <v>0</v>
      </c>
      <c r="V55" s="41">
        <f t="shared" si="12"/>
        <v>0</v>
      </c>
      <c r="W55" s="49">
        <f t="shared" si="4"/>
        <v>0</v>
      </c>
      <c r="X55" s="197"/>
    </row>
    <row r="56" spans="1:24">
      <c r="A56" s="23" t="str">
        <f>IF('TENAGA KERJA'!A55=0,"",'TENAGA KERJA'!A55)</f>
        <v/>
      </c>
      <c r="B56" s="28" t="str">
        <f>IF('TENAGA KERJA'!B55=0,"",'TENAGA KERJA'!B55)</f>
        <v/>
      </c>
      <c r="C56" s="23" t="str">
        <f>IF('TENAGA KERJA'!C55=0,"",'TENAGA KERJA'!C55)</f>
        <v/>
      </c>
      <c r="D56" s="23" t="str">
        <f>IF('TENAGA KERJA'!D55=0,"",'TENAGA KERJA'!D55)</f>
        <v/>
      </c>
      <c r="E56" s="23" t="str">
        <f>IF('TENAGA KERJA'!E55=0,"",'TENAGA KERJA'!E55)</f>
        <v/>
      </c>
      <c r="F56" s="39">
        <f>'TENAGA KERJA'!K55</f>
        <v>0</v>
      </c>
      <c r="G56" s="40">
        <f>'TENAGA KERJA'!L55</f>
        <v>0</v>
      </c>
      <c r="H56" s="40">
        <f>'TENAGA KERJA'!M55</f>
        <v>0</v>
      </c>
      <c r="I56" s="39">
        <f>'TENAGA KERJA'!N55</f>
        <v>0</v>
      </c>
      <c r="J56" s="39">
        <f t="shared" si="9"/>
        <v>0</v>
      </c>
      <c r="K56" s="39">
        <f>'BPJS TK'!D56</f>
        <v>0</v>
      </c>
      <c r="L56" s="39">
        <f>'BPJS TK'!E56</f>
        <v>0</v>
      </c>
      <c r="M56" s="39">
        <f>'BPJS TK'!F56</f>
        <v>0</v>
      </c>
      <c r="N56" s="39">
        <f>'BPJS TK'!H56</f>
        <v>0</v>
      </c>
      <c r="O56" s="39">
        <f>'BPJS KES'!D56</f>
        <v>0</v>
      </c>
      <c r="P56" s="39">
        <f t="shared" si="10"/>
        <v>0</v>
      </c>
      <c r="Q56" s="39">
        <f t="shared" si="11"/>
        <v>0</v>
      </c>
      <c r="R56" s="39">
        <f>'BPJS TK'!G56</f>
        <v>0</v>
      </c>
      <c r="S56" s="39">
        <f>'BPJS TK'!I56</f>
        <v>0</v>
      </c>
      <c r="T56" s="39">
        <f>'BPJS KES'!E56</f>
        <v>0</v>
      </c>
      <c r="U56" s="40">
        <f>'PPH PSL 21 - GROSS (MULAI 2024)'!L56</f>
        <v>0</v>
      </c>
      <c r="V56" s="41">
        <f t="shared" si="12"/>
        <v>0</v>
      </c>
      <c r="W56" s="49">
        <f t="shared" si="4"/>
        <v>0</v>
      </c>
      <c r="X56" s="197"/>
    </row>
    <row r="57" spans="1:24">
      <c r="A57" s="23" t="str">
        <f>IF('TENAGA KERJA'!A56=0,"",'TENAGA KERJA'!A56)</f>
        <v/>
      </c>
      <c r="B57" s="28" t="str">
        <f>IF('TENAGA KERJA'!B56=0,"",'TENAGA KERJA'!B56)</f>
        <v/>
      </c>
      <c r="C57" s="23" t="str">
        <f>IF('TENAGA KERJA'!C56=0,"",'TENAGA KERJA'!C56)</f>
        <v/>
      </c>
      <c r="D57" s="23" t="str">
        <f>IF('TENAGA KERJA'!D56=0,"",'TENAGA KERJA'!D56)</f>
        <v/>
      </c>
      <c r="E57" s="23" t="str">
        <f>IF('TENAGA KERJA'!E56=0,"",'TENAGA KERJA'!E56)</f>
        <v/>
      </c>
      <c r="F57" s="39">
        <f>'TENAGA KERJA'!K56</f>
        <v>0</v>
      </c>
      <c r="G57" s="40">
        <f>'TENAGA KERJA'!L56</f>
        <v>0</v>
      </c>
      <c r="H57" s="40">
        <f>'TENAGA KERJA'!M56</f>
        <v>0</v>
      </c>
      <c r="I57" s="39">
        <f>'TENAGA KERJA'!N56</f>
        <v>0</v>
      </c>
      <c r="J57" s="39">
        <f t="shared" si="9"/>
        <v>0</v>
      </c>
      <c r="K57" s="39">
        <f>'BPJS TK'!D57</f>
        <v>0</v>
      </c>
      <c r="L57" s="39">
        <f>'BPJS TK'!E57</f>
        <v>0</v>
      </c>
      <c r="M57" s="39">
        <f>'BPJS TK'!F57</f>
        <v>0</v>
      </c>
      <c r="N57" s="39">
        <f>'BPJS TK'!H57</f>
        <v>0</v>
      </c>
      <c r="O57" s="39">
        <f>'BPJS KES'!D57</f>
        <v>0</v>
      </c>
      <c r="P57" s="39">
        <f t="shared" si="10"/>
        <v>0</v>
      </c>
      <c r="Q57" s="39">
        <f t="shared" si="11"/>
        <v>0</v>
      </c>
      <c r="R57" s="39">
        <f>'BPJS TK'!G57</f>
        <v>0</v>
      </c>
      <c r="S57" s="39">
        <f>'BPJS TK'!I57</f>
        <v>0</v>
      </c>
      <c r="T57" s="39">
        <f>'BPJS KES'!E57</f>
        <v>0</v>
      </c>
      <c r="U57" s="40">
        <f>'PPH PSL 21 - GROSS (MULAI 2024)'!L57</f>
        <v>0</v>
      </c>
      <c r="V57" s="41">
        <f t="shared" si="12"/>
        <v>0</v>
      </c>
      <c r="W57" s="49">
        <f t="shared" si="4"/>
        <v>0</v>
      </c>
      <c r="X57" s="197"/>
    </row>
    <row r="58" spans="1:24">
      <c r="A58" s="23" t="str">
        <f>IF('TENAGA KERJA'!A57=0,"",'TENAGA KERJA'!A57)</f>
        <v/>
      </c>
      <c r="B58" s="28" t="str">
        <f>IF('TENAGA KERJA'!B57=0,"",'TENAGA KERJA'!B57)</f>
        <v/>
      </c>
      <c r="C58" s="23" t="str">
        <f>IF('TENAGA KERJA'!C57=0,"",'TENAGA KERJA'!C57)</f>
        <v/>
      </c>
      <c r="D58" s="23" t="str">
        <f>IF('TENAGA KERJA'!D57=0,"",'TENAGA KERJA'!D57)</f>
        <v/>
      </c>
      <c r="E58" s="23" t="str">
        <f>IF('TENAGA KERJA'!E57=0,"",'TENAGA KERJA'!E57)</f>
        <v/>
      </c>
      <c r="F58" s="39">
        <f>'TENAGA KERJA'!K57</f>
        <v>0</v>
      </c>
      <c r="G58" s="40">
        <f>'TENAGA KERJA'!L57</f>
        <v>0</v>
      </c>
      <c r="H58" s="40">
        <f>'TENAGA KERJA'!M57</f>
        <v>0</v>
      </c>
      <c r="I58" s="39">
        <f>'TENAGA KERJA'!N57</f>
        <v>0</v>
      </c>
      <c r="J58" s="39">
        <f t="shared" si="9"/>
        <v>0</v>
      </c>
      <c r="K58" s="39">
        <f>'BPJS TK'!D58</f>
        <v>0</v>
      </c>
      <c r="L58" s="39">
        <f>'BPJS TK'!E58</f>
        <v>0</v>
      </c>
      <c r="M58" s="39">
        <f>'BPJS TK'!F58</f>
        <v>0</v>
      </c>
      <c r="N58" s="39">
        <f>'BPJS TK'!H58</f>
        <v>0</v>
      </c>
      <c r="O58" s="39">
        <f>'BPJS KES'!D58</f>
        <v>0</v>
      </c>
      <c r="P58" s="39">
        <f t="shared" si="10"/>
        <v>0</v>
      </c>
      <c r="Q58" s="39">
        <f t="shared" si="11"/>
        <v>0</v>
      </c>
      <c r="R58" s="39">
        <f>'BPJS TK'!G58</f>
        <v>0</v>
      </c>
      <c r="S58" s="39">
        <f>'BPJS TK'!I58</f>
        <v>0</v>
      </c>
      <c r="T58" s="39">
        <f>'BPJS KES'!E58</f>
        <v>0</v>
      </c>
      <c r="U58" s="40">
        <f>'PPH PSL 21 - GROSS (MULAI 2024)'!L58</f>
        <v>0</v>
      </c>
      <c r="V58" s="41">
        <f t="shared" si="12"/>
        <v>0</v>
      </c>
      <c r="W58" s="49">
        <f t="shared" si="4"/>
        <v>0</v>
      </c>
      <c r="X58" s="197"/>
    </row>
    <row r="59" spans="1:24">
      <c r="A59" s="23" t="str">
        <f>IF('TENAGA KERJA'!A58=0,"",'TENAGA KERJA'!A58)</f>
        <v/>
      </c>
      <c r="B59" s="28" t="str">
        <f>IF('TENAGA KERJA'!B58=0,"",'TENAGA KERJA'!B58)</f>
        <v/>
      </c>
      <c r="C59" s="23" t="str">
        <f>IF('TENAGA KERJA'!C58=0,"",'TENAGA KERJA'!C58)</f>
        <v/>
      </c>
      <c r="D59" s="23" t="str">
        <f>IF('TENAGA KERJA'!D58=0,"",'TENAGA KERJA'!D58)</f>
        <v/>
      </c>
      <c r="E59" s="23" t="str">
        <f>IF('TENAGA KERJA'!E58=0,"",'TENAGA KERJA'!E58)</f>
        <v/>
      </c>
      <c r="F59" s="39">
        <f>'TENAGA KERJA'!K58</f>
        <v>0</v>
      </c>
      <c r="G59" s="40">
        <f>'TENAGA KERJA'!L58</f>
        <v>0</v>
      </c>
      <c r="H59" s="40">
        <f>'TENAGA KERJA'!M58</f>
        <v>0</v>
      </c>
      <c r="I59" s="39">
        <f>'TENAGA KERJA'!N58</f>
        <v>0</v>
      </c>
      <c r="J59" s="39">
        <f t="shared" si="9"/>
        <v>0</v>
      </c>
      <c r="K59" s="39">
        <f>'BPJS TK'!D59</f>
        <v>0</v>
      </c>
      <c r="L59" s="39">
        <f>'BPJS TK'!E59</f>
        <v>0</v>
      </c>
      <c r="M59" s="39">
        <f>'BPJS TK'!F59</f>
        <v>0</v>
      </c>
      <c r="N59" s="39">
        <f>'BPJS TK'!H59</f>
        <v>0</v>
      </c>
      <c r="O59" s="39">
        <f>'BPJS KES'!D59</f>
        <v>0</v>
      </c>
      <c r="P59" s="39">
        <f t="shared" si="10"/>
        <v>0</v>
      </c>
      <c r="Q59" s="39">
        <f t="shared" si="11"/>
        <v>0</v>
      </c>
      <c r="R59" s="39">
        <f>'BPJS TK'!G59</f>
        <v>0</v>
      </c>
      <c r="S59" s="39">
        <f>'BPJS TK'!I59</f>
        <v>0</v>
      </c>
      <c r="T59" s="39">
        <f>'BPJS KES'!E59</f>
        <v>0</v>
      </c>
      <c r="U59" s="40">
        <f>'PPH PSL 21 - GROSS (MULAI 2024)'!L59</f>
        <v>0</v>
      </c>
      <c r="V59" s="41">
        <f t="shared" si="12"/>
        <v>0</v>
      </c>
      <c r="W59" s="49">
        <f t="shared" si="4"/>
        <v>0</v>
      </c>
      <c r="X59" s="197"/>
    </row>
    <row r="60" spans="1:24">
      <c r="A60" s="23" t="str">
        <f>IF('TENAGA KERJA'!A59=0,"",'TENAGA KERJA'!A59)</f>
        <v/>
      </c>
      <c r="B60" s="28" t="str">
        <f>IF('TENAGA KERJA'!B59=0,"",'TENAGA KERJA'!B59)</f>
        <v/>
      </c>
      <c r="C60" s="23" t="str">
        <f>IF('TENAGA KERJA'!C59=0,"",'TENAGA KERJA'!C59)</f>
        <v/>
      </c>
      <c r="D60" s="23" t="str">
        <f>IF('TENAGA KERJA'!D59=0,"",'TENAGA KERJA'!D59)</f>
        <v/>
      </c>
      <c r="E60" s="23" t="str">
        <f>IF('TENAGA KERJA'!E59=0,"",'TENAGA KERJA'!E59)</f>
        <v/>
      </c>
      <c r="F60" s="39">
        <f>'TENAGA KERJA'!K59</f>
        <v>0</v>
      </c>
      <c r="G60" s="40">
        <f>'TENAGA KERJA'!L59</f>
        <v>0</v>
      </c>
      <c r="H60" s="40">
        <f>'TENAGA KERJA'!M59</f>
        <v>0</v>
      </c>
      <c r="I60" s="39">
        <f>'TENAGA KERJA'!N59</f>
        <v>0</v>
      </c>
      <c r="J60" s="39">
        <f t="shared" si="9"/>
        <v>0</v>
      </c>
      <c r="K60" s="39">
        <f>'BPJS TK'!D60</f>
        <v>0</v>
      </c>
      <c r="L60" s="39">
        <f>'BPJS TK'!E60</f>
        <v>0</v>
      </c>
      <c r="M60" s="39">
        <f>'BPJS TK'!F60</f>
        <v>0</v>
      </c>
      <c r="N60" s="39">
        <f>'BPJS TK'!H60</f>
        <v>0</v>
      </c>
      <c r="O60" s="39">
        <f>'BPJS KES'!D60</f>
        <v>0</v>
      </c>
      <c r="P60" s="39">
        <f t="shared" si="10"/>
        <v>0</v>
      </c>
      <c r="Q60" s="39">
        <f t="shared" si="11"/>
        <v>0</v>
      </c>
      <c r="R60" s="39">
        <f>'BPJS TK'!G60</f>
        <v>0</v>
      </c>
      <c r="S60" s="39">
        <f>'BPJS TK'!I60</f>
        <v>0</v>
      </c>
      <c r="T60" s="39">
        <f>'BPJS KES'!E60</f>
        <v>0</v>
      </c>
      <c r="U60" s="40">
        <f>'PPH PSL 21 - GROSS (MULAI 2024)'!L60</f>
        <v>0</v>
      </c>
      <c r="V60" s="41">
        <f t="shared" si="12"/>
        <v>0</v>
      </c>
      <c r="W60" s="49">
        <f t="shared" si="4"/>
        <v>0</v>
      </c>
      <c r="X60" s="197"/>
    </row>
    <row r="61" spans="1:24">
      <c r="A61" s="23" t="str">
        <f>IF('TENAGA KERJA'!A60=0,"",'TENAGA KERJA'!A60)</f>
        <v/>
      </c>
      <c r="B61" s="28" t="str">
        <f>IF('TENAGA KERJA'!B60=0,"",'TENAGA KERJA'!B60)</f>
        <v/>
      </c>
      <c r="C61" s="23" t="str">
        <f>IF('TENAGA KERJA'!C60=0,"",'TENAGA KERJA'!C60)</f>
        <v/>
      </c>
      <c r="D61" s="23" t="str">
        <f>IF('TENAGA KERJA'!D60=0,"",'TENAGA KERJA'!D60)</f>
        <v/>
      </c>
      <c r="E61" s="23" t="str">
        <f>IF('TENAGA KERJA'!E60=0,"",'TENAGA KERJA'!E60)</f>
        <v/>
      </c>
      <c r="F61" s="39">
        <f>'TENAGA KERJA'!K60</f>
        <v>0</v>
      </c>
      <c r="G61" s="40">
        <f>'TENAGA KERJA'!L60</f>
        <v>0</v>
      </c>
      <c r="H61" s="40">
        <f>'TENAGA KERJA'!M60</f>
        <v>0</v>
      </c>
      <c r="I61" s="39">
        <f>'TENAGA KERJA'!N60</f>
        <v>0</v>
      </c>
      <c r="J61" s="39">
        <f t="shared" si="9"/>
        <v>0</v>
      </c>
      <c r="K61" s="39">
        <f>'BPJS TK'!D61</f>
        <v>0</v>
      </c>
      <c r="L61" s="39">
        <f>'BPJS TK'!E61</f>
        <v>0</v>
      </c>
      <c r="M61" s="39">
        <f>'BPJS TK'!F61</f>
        <v>0</v>
      </c>
      <c r="N61" s="39">
        <f>'BPJS TK'!H61</f>
        <v>0</v>
      </c>
      <c r="O61" s="39">
        <f>'BPJS KES'!D61</f>
        <v>0</v>
      </c>
      <c r="P61" s="39">
        <f t="shared" si="10"/>
        <v>0</v>
      </c>
      <c r="Q61" s="39">
        <f t="shared" si="11"/>
        <v>0</v>
      </c>
      <c r="R61" s="39">
        <f>'BPJS TK'!G61</f>
        <v>0</v>
      </c>
      <c r="S61" s="39">
        <f>'BPJS TK'!I61</f>
        <v>0</v>
      </c>
      <c r="T61" s="39">
        <f>'BPJS KES'!E61</f>
        <v>0</v>
      </c>
      <c r="U61" s="40">
        <f>'PPH PSL 21 - GROSS (MULAI 2024)'!L61</f>
        <v>0</v>
      </c>
      <c r="V61" s="41">
        <f t="shared" si="12"/>
        <v>0</v>
      </c>
      <c r="W61" s="49">
        <f t="shared" si="4"/>
        <v>0</v>
      </c>
      <c r="X61" s="197"/>
    </row>
    <row r="62" spans="1:24">
      <c r="A62" s="23" t="str">
        <f>IF('TENAGA KERJA'!A61=0,"",'TENAGA KERJA'!A61)</f>
        <v/>
      </c>
      <c r="B62" s="28" t="str">
        <f>IF('TENAGA KERJA'!B61=0,"",'TENAGA KERJA'!B61)</f>
        <v/>
      </c>
      <c r="C62" s="23" t="str">
        <f>IF('TENAGA KERJA'!C61=0,"",'TENAGA KERJA'!C61)</f>
        <v/>
      </c>
      <c r="D62" s="23" t="str">
        <f>IF('TENAGA KERJA'!D61=0,"",'TENAGA KERJA'!D61)</f>
        <v/>
      </c>
      <c r="E62" s="23" t="str">
        <f>IF('TENAGA KERJA'!E61=0,"",'TENAGA KERJA'!E61)</f>
        <v/>
      </c>
      <c r="F62" s="39">
        <f>'TENAGA KERJA'!K61</f>
        <v>0</v>
      </c>
      <c r="G62" s="40">
        <f>'TENAGA KERJA'!L61</f>
        <v>0</v>
      </c>
      <c r="H62" s="40">
        <f>'TENAGA KERJA'!M61</f>
        <v>0</v>
      </c>
      <c r="I62" s="39">
        <f>'TENAGA KERJA'!N61</f>
        <v>0</v>
      </c>
      <c r="J62" s="39">
        <f t="shared" si="9"/>
        <v>0</v>
      </c>
      <c r="K62" s="39">
        <f>'BPJS TK'!D62</f>
        <v>0</v>
      </c>
      <c r="L62" s="39">
        <f>'BPJS TK'!E62</f>
        <v>0</v>
      </c>
      <c r="M62" s="39">
        <f>'BPJS TK'!F62</f>
        <v>0</v>
      </c>
      <c r="N62" s="39">
        <f>'BPJS TK'!H62</f>
        <v>0</v>
      </c>
      <c r="O62" s="39">
        <f>'BPJS KES'!D62</f>
        <v>0</v>
      </c>
      <c r="P62" s="39">
        <f t="shared" si="10"/>
        <v>0</v>
      </c>
      <c r="Q62" s="39">
        <f t="shared" si="11"/>
        <v>0</v>
      </c>
      <c r="R62" s="39">
        <f>'BPJS TK'!G62</f>
        <v>0</v>
      </c>
      <c r="S62" s="39">
        <f>'BPJS TK'!I62</f>
        <v>0</v>
      </c>
      <c r="T62" s="39">
        <f>'BPJS KES'!E62</f>
        <v>0</v>
      </c>
      <c r="U62" s="40">
        <f>'PPH PSL 21 - GROSS (MULAI 2024)'!L62</f>
        <v>0</v>
      </c>
      <c r="V62" s="41">
        <f t="shared" si="12"/>
        <v>0</v>
      </c>
      <c r="W62" s="49">
        <f t="shared" si="4"/>
        <v>0</v>
      </c>
      <c r="X62" s="197"/>
    </row>
    <row r="63" spans="1:24">
      <c r="A63" s="23" t="str">
        <f>IF('TENAGA KERJA'!A62=0,"",'TENAGA KERJA'!A62)</f>
        <v/>
      </c>
      <c r="B63" s="28" t="str">
        <f>IF('TENAGA KERJA'!B62=0,"",'TENAGA KERJA'!B62)</f>
        <v/>
      </c>
      <c r="C63" s="23" t="str">
        <f>IF('TENAGA KERJA'!C62=0,"",'TENAGA KERJA'!C62)</f>
        <v/>
      </c>
      <c r="D63" s="23" t="str">
        <f>IF('TENAGA KERJA'!D62=0,"",'TENAGA KERJA'!D62)</f>
        <v/>
      </c>
      <c r="E63" s="23" t="str">
        <f>IF('TENAGA KERJA'!E62=0,"",'TENAGA KERJA'!E62)</f>
        <v/>
      </c>
      <c r="F63" s="39">
        <f>'TENAGA KERJA'!K62</f>
        <v>0</v>
      </c>
      <c r="G63" s="40">
        <f>'TENAGA KERJA'!L62</f>
        <v>0</v>
      </c>
      <c r="H63" s="40">
        <f>'TENAGA KERJA'!M62</f>
        <v>0</v>
      </c>
      <c r="I63" s="39">
        <f>'TENAGA KERJA'!N62</f>
        <v>0</v>
      </c>
      <c r="J63" s="39">
        <f t="shared" si="9"/>
        <v>0</v>
      </c>
      <c r="K63" s="39">
        <f>'BPJS TK'!D63</f>
        <v>0</v>
      </c>
      <c r="L63" s="39">
        <f>'BPJS TK'!E63</f>
        <v>0</v>
      </c>
      <c r="M63" s="39">
        <f>'BPJS TK'!F63</f>
        <v>0</v>
      </c>
      <c r="N63" s="39">
        <f>'BPJS TK'!H63</f>
        <v>0</v>
      </c>
      <c r="O63" s="39">
        <f>'BPJS KES'!D63</f>
        <v>0</v>
      </c>
      <c r="P63" s="39">
        <f t="shared" si="10"/>
        <v>0</v>
      </c>
      <c r="Q63" s="39">
        <f t="shared" si="11"/>
        <v>0</v>
      </c>
      <c r="R63" s="39">
        <f>'BPJS TK'!G63</f>
        <v>0</v>
      </c>
      <c r="S63" s="39">
        <f>'BPJS TK'!I63</f>
        <v>0</v>
      </c>
      <c r="T63" s="39">
        <f>'BPJS KES'!E63</f>
        <v>0</v>
      </c>
      <c r="U63" s="40">
        <f>'PPH PSL 21 - GROSS (MULAI 2024)'!L63</f>
        <v>0</v>
      </c>
      <c r="V63" s="41">
        <f t="shared" si="12"/>
        <v>0</v>
      </c>
      <c r="W63" s="49">
        <f t="shared" si="4"/>
        <v>0</v>
      </c>
      <c r="X63" s="197"/>
    </row>
    <row r="64" spans="1:24">
      <c r="A64" s="23" t="str">
        <f>IF('TENAGA KERJA'!A63=0,"",'TENAGA KERJA'!A63)</f>
        <v/>
      </c>
      <c r="B64" s="28" t="str">
        <f>IF('TENAGA KERJA'!B63=0,"",'TENAGA KERJA'!B63)</f>
        <v/>
      </c>
      <c r="C64" s="23" t="str">
        <f>IF('TENAGA KERJA'!C63=0,"",'TENAGA KERJA'!C63)</f>
        <v/>
      </c>
      <c r="D64" s="23" t="str">
        <f>IF('TENAGA KERJA'!D63=0,"",'TENAGA KERJA'!D63)</f>
        <v/>
      </c>
      <c r="E64" s="23" t="str">
        <f>IF('TENAGA KERJA'!E63=0,"",'TENAGA KERJA'!E63)</f>
        <v/>
      </c>
      <c r="F64" s="39">
        <f>'TENAGA KERJA'!K63</f>
        <v>0</v>
      </c>
      <c r="G64" s="40">
        <f>'TENAGA KERJA'!L63</f>
        <v>0</v>
      </c>
      <c r="H64" s="40">
        <f>'TENAGA KERJA'!M63</f>
        <v>0</v>
      </c>
      <c r="I64" s="39">
        <f>'TENAGA KERJA'!N63</f>
        <v>0</v>
      </c>
      <c r="J64" s="39">
        <f t="shared" si="9"/>
        <v>0</v>
      </c>
      <c r="K64" s="39">
        <f>'BPJS TK'!D64</f>
        <v>0</v>
      </c>
      <c r="L64" s="39">
        <f>'BPJS TK'!E64</f>
        <v>0</v>
      </c>
      <c r="M64" s="39">
        <f>'BPJS TK'!F64</f>
        <v>0</v>
      </c>
      <c r="N64" s="39">
        <f>'BPJS TK'!H64</f>
        <v>0</v>
      </c>
      <c r="O64" s="39">
        <f>'BPJS KES'!D64</f>
        <v>0</v>
      </c>
      <c r="P64" s="39">
        <f t="shared" si="10"/>
        <v>0</v>
      </c>
      <c r="Q64" s="39">
        <f t="shared" si="11"/>
        <v>0</v>
      </c>
      <c r="R64" s="39">
        <f>'BPJS TK'!G64</f>
        <v>0</v>
      </c>
      <c r="S64" s="39">
        <f>'BPJS TK'!I64</f>
        <v>0</v>
      </c>
      <c r="T64" s="39">
        <f>'BPJS KES'!E64</f>
        <v>0</v>
      </c>
      <c r="U64" s="40">
        <f>'PPH PSL 21 - GROSS (MULAI 2024)'!L64</f>
        <v>0</v>
      </c>
      <c r="V64" s="41">
        <f t="shared" si="12"/>
        <v>0</v>
      </c>
      <c r="W64" s="49">
        <f t="shared" si="4"/>
        <v>0</v>
      </c>
      <c r="X64" s="197"/>
    </row>
    <row r="65" spans="1:25">
      <c r="A65" s="23" t="str">
        <f>IF('TENAGA KERJA'!A64=0,"",'TENAGA KERJA'!A64)</f>
        <v/>
      </c>
      <c r="B65" s="28" t="str">
        <f>IF('TENAGA KERJA'!B64=0,"",'TENAGA KERJA'!B64)</f>
        <v/>
      </c>
      <c r="C65" s="23" t="str">
        <f>IF('TENAGA KERJA'!C64=0,"",'TENAGA KERJA'!C64)</f>
        <v/>
      </c>
      <c r="D65" s="23" t="str">
        <f>IF('TENAGA KERJA'!D64=0,"",'TENAGA KERJA'!D64)</f>
        <v/>
      </c>
      <c r="E65" s="23" t="str">
        <f>IF('TENAGA KERJA'!E64=0,"",'TENAGA KERJA'!E64)</f>
        <v/>
      </c>
      <c r="F65" s="39">
        <f>'TENAGA KERJA'!K64</f>
        <v>0</v>
      </c>
      <c r="G65" s="40">
        <f>'TENAGA KERJA'!L64</f>
        <v>0</v>
      </c>
      <c r="H65" s="40">
        <f>'TENAGA KERJA'!M64</f>
        <v>0</v>
      </c>
      <c r="I65" s="39">
        <f>'TENAGA KERJA'!N64</f>
        <v>0</v>
      </c>
      <c r="J65" s="39">
        <f t="shared" si="9"/>
        <v>0</v>
      </c>
      <c r="K65" s="39">
        <f>'BPJS TK'!D65</f>
        <v>0</v>
      </c>
      <c r="L65" s="39">
        <f>'BPJS TK'!E65</f>
        <v>0</v>
      </c>
      <c r="M65" s="39">
        <f>'BPJS TK'!F65</f>
        <v>0</v>
      </c>
      <c r="N65" s="39">
        <f>'BPJS TK'!H65</f>
        <v>0</v>
      </c>
      <c r="O65" s="39">
        <f>'BPJS KES'!D65</f>
        <v>0</v>
      </c>
      <c r="P65" s="39">
        <f t="shared" si="10"/>
        <v>0</v>
      </c>
      <c r="Q65" s="39">
        <f t="shared" si="11"/>
        <v>0</v>
      </c>
      <c r="R65" s="39">
        <f>'BPJS TK'!G65</f>
        <v>0</v>
      </c>
      <c r="S65" s="39">
        <f>'BPJS TK'!I65</f>
        <v>0</v>
      </c>
      <c r="T65" s="39">
        <f>'BPJS KES'!E65</f>
        <v>0</v>
      </c>
      <c r="U65" s="40">
        <f>'PPH PSL 21 - GROSS (MULAI 2024)'!L65</f>
        <v>0</v>
      </c>
      <c r="V65" s="41">
        <f t="shared" si="12"/>
        <v>0</v>
      </c>
      <c r="W65" s="49">
        <f t="shared" si="4"/>
        <v>0</v>
      </c>
      <c r="X65" s="197"/>
    </row>
    <row r="66" spans="1:25">
      <c r="A66" s="23" t="str">
        <f>IF('TENAGA KERJA'!A65=0,"",'TENAGA KERJA'!A65)</f>
        <v/>
      </c>
      <c r="B66" s="28" t="str">
        <f>IF('TENAGA KERJA'!B65=0,"",'TENAGA KERJA'!B65)</f>
        <v/>
      </c>
      <c r="C66" s="23" t="str">
        <f>IF('TENAGA KERJA'!C65=0,"",'TENAGA KERJA'!C65)</f>
        <v/>
      </c>
      <c r="D66" s="23" t="str">
        <f>IF('TENAGA KERJA'!D65=0,"",'TENAGA KERJA'!D65)</f>
        <v/>
      </c>
      <c r="E66" s="23" t="str">
        <f>IF('TENAGA KERJA'!E65=0,"",'TENAGA KERJA'!E65)</f>
        <v/>
      </c>
      <c r="F66" s="39">
        <f>'TENAGA KERJA'!K65</f>
        <v>0</v>
      </c>
      <c r="G66" s="40">
        <f>'TENAGA KERJA'!L65</f>
        <v>0</v>
      </c>
      <c r="H66" s="40">
        <f>'TENAGA KERJA'!M65</f>
        <v>0</v>
      </c>
      <c r="I66" s="39">
        <f>'TENAGA KERJA'!N65</f>
        <v>0</v>
      </c>
      <c r="J66" s="39">
        <f t="shared" si="9"/>
        <v>0</v>
      </c>
      <c r="K66" s="39">
        <f>'BPJS TK'!D66</f>
        <v>0</v>
      </c>
      <c r="L66" s="39">
        <f>'BPJS TK'!E66</f>
        <v>0</v>
      </c>
      <c r="M66" s="39">
        <f>'BPJS TK'!F66</f>
        <v>0</v>
      </c>
      <c r="N66" s="39">
        <f>'BPJS TK'!H66</f>
        <v>0</v>
      </c>
      <c r="O66" s="39">
        <f>'BPJS KES'!D66</f>
        <v>0</v>
      </c>
      <c r="P66" s="39">
        <f t="shared" si="10"/>
        <v>0</v>
      </c>
      <c r="Q66" s="39">
        <f t="shared" si="11"/>
        <v>0</v>
      </c>
      <c r="R66" s="39">
        <f>'BPJS TK'!G66</f>
        <v>0</v>
      </c>
      <c r="S66" s="39">
        <f>'BPJS TK'!I66</f>
        <v>0</v>
      </c>
      <c r="T66" s="39">
        <f>'BPJS KES'!E66</f>
        <v>0</v>
      </c>
      <c r="U66" s="40">
        <f>'PPH PSL 21 - GROSS (MULAI 2024)'!L66</f>
        <v>0</v>
      </c>
      <c r="V66" s="41">
        <f t="shared" si="12"/>
        <v>0</v>
      </c>
      <c r="W66" s="49">
        <f t="shared" si="4"/>
        <v>0</v>
      </c>
      <c r="X66" s="203"/>
      <c r="Y66" s="52"/>
    </row>
    <row r="67" spans="1:25">
      <c r="A67" s="23" t="str">
        <f>IF('TENAGA KERJA'!A66=0,"",'TENAGA KERJA'!A66)</f>
        <v/>
      </c>
      <c r="B67" s="28" t="str">
        <f>IF('TENAGA KERJA'!B66=0,"",'TENAGA KERJA'!B66)</f>
        <v/>
      </c>
      <c r="C67" s="23" t="str">
        <f>IF('TENAGA KERJA'!C66=0,"",'TENAGA KERJA'!C66)</f>
        <v/>
      </c>
      <c r="D67" s="23" t="str">
        <f>IF('TENAGA KERJA'!D66=0,"",'TENAGA KERJA'!D66)</f>
        <v/>
      </c>
      <c r="E67" s="23" t="str">
        <f>IF('TENAGA KERJA'!E66=0,"",'TENAGA KERJA'!E66)</f>
        <v/>
      </c>
      <c r="F67" s="39">
        <f>'TENAGA KERJA'!K66</f>
        <v>0</v>
      </c>
      <c r="G67" s="40">
        <f>'TENAGA KERJA'!L66</f>
        <v>0</v>
      </c>
      <c r="H67" s="40">
        <f>'TENAGA KERJA'!M66</f>
        <v>0</v>
      </c>
      <c r="I67" s="39">
        <f>'TENAGA KERJA'!N66</f>
        <v>0</v>
      </c>
      <c r="J67" s="39">
        <f t="shared" si="9"/>
        <v>0</v>
      </c>
      <c r="K67" s="39">
        <f>'BPJS TK'!D67</f>
        <v>0</v>
      </c>
      <c r="L67" s="39">
        <f>'BPJS TK'!E67</f>
        <v>0</v>
      </c>
      <c r="M67" s="39">
        <f>'BPJS TK'!F67</f>
        <v>0</v>
      </c>
      <c r="N67" s="39">
        <f>'BPJS TK'!H67</f>
        <v>0</v>
      </c>
      <c r="O67" s="39">
        <f>'BPJS KES'!D67</f>
        <v>0</v>
      </c>
      <c r="P67" s="39">
        <f t="shared" si="10"/>
        <v>0</v>
      </c>
      <c r="Q67" s="39">
        <f t="shared" si="11"/>
        <v>0</v>
      </c>
      <c r="R67" s="39">
        <f>'BPJS TK'!G67</f>
        <v>0</v>
      </c>
      <c r="S67" s="39">
        <f>'BPJS TK'!I67</f>
        <v>0</v>
      </c>
      <c r="T67" s="39">
        <f>'BPJS KES'!E67</f>
        <v>0</v>
      </c>
      <c r="U67" s="40">
        <f>'PPH PSL 21 - GROSS (MULAI 2024)'!L67</f>
        <v>0</v>
      </c>
      <c r="V67" s="41">
        <f t="shared" si="12"/>
        <v>0</v>
      </c>
      <c r="W67" s="49">
        <f t="shared" ref="W67:W130" si="13">J67-V67</f>
        <v>0</v>
      </c>
      <c r="X67" s="197"/>
    </row>
    <row r="68" spans="1:25">
      <c r="A68" s="23" t="str">
        <f>IF('TENAGA KERJA'!A67=0,"",'TENAGA KERJA'!A67)</f>
        <v/>
      </c>
      <c r="B68" s="28" t="str">
        <f>IF('TENAGA KERJA'!B67=0,"",'TENAGA KERJA'!B67)</f>
        <v/>
      </c>
      <c r="C68" s="23" t="str">
        <f>IF('TENAGA KERJA'!C67=0,"",'TENAGA KERJA'!C67)</f>
        <v/>
      </c>
      <c r="D68" s="23" t="str">
        <f>IF('TENAGA KERJA'!D67=0,"",'TENAGA KERJA'!D67)</f>
        <v/>
      </c>
      <c r="E68" s="23" t="str">
        <f>IF('TENAGA KERJA'!E67=0,"",'TENAGA KERJA'!E67)</f>
        <v/>
      </c>
      <c r="F68" s="39">
        <f>'TENAGA KERJA'!K67</f>
        <v>0</v>
      </c>
      <c r="G68" s="40">
        <f>'TENAGA KERJA'!L67</f>
        <v>0</v>
      </c>
      <c r="H68" s="40">
        <f>'TENAGA KERJA'!M67</f>
        <v>0</v>
      </c>
      <c r="I68" s="39">
        <f>'TENAGA KERJA'!N67</f>
        <v>0</v>
      </c>
      <c r="J68" s="39">
        <f t="shared" si="9"/>
        <v>0</v>
      </c>
      <c r="K68" s="39">
        <f>'BPJS TK'!D68</f>
        <v>0</v>
      </c>
      <c r="L68" s="39">
        <f>'BPJS TK'!E68</f>
        <v>0</v>
      </c>
      <c r="M68" s="39">
        <f>'BPJS TK'!F68</f>
        <v>0</v>
      </c>
      <c r="N68" s="39">
        <f>'BPJS TK'!H68</f>
        <v>0</v>
      </c>
      <c r="O68" s="39">
        <f>'BPJS KES'!D68</f>
        <v>0</v>
      </c>
      <c r="P68" s="39">
        <f t="shared" si="10"/>
        <v>0</v>
      </c>
      <c r="Q68" s="39">
        <f t="shared" si="11"/>
        <v>0</v>
      </c>
      <c r="R68" s="39">
        <f>'BPJS TK'!G68</f>
        <v>0</v>
      </c>
      <c r="S68" s="39">
        <f>'BPJS TK'!I68</f>
        <v>0</v>
      </c>
      <c r="T68" s="39">
        <f>'BPJS KES'!E68</f>
        <v>0</v>
      </c>
      <c r="U68" s="40">
        <f>'PPH PSL 21 - GROSS (MULAI 2024)'!L68</f>
        <v>0</v>
      </c>
      <c r="V68" s="41">
        <f t="shared" si="12"/>
        <v>0</v>
      </c>
      <c r="W68" s="49">
        <f t="shared" si="13"/>
        <v>0</v>
      </c>
      <c r="X68" s="197"/>
    </row>
    <row r="69" spans="1:25">
      <c r="A69" s="23" t="str">
        <f>IF('TENAGA KERJA'!A68=0,"",'TENAGA KERJA'!A68)</f>
        <v/>
      </c>
      <c r="B69" s="28" t="str">
        <f>IF('TENAGA KERJA'!B68=0,"",'TENAGA KERJA'!B68)</f>
        <v/>
      </c>
      <c r="C69" s="23" t="str">
        <f>IF('TENAGA KERJA'!C68=0,"",'TENAGA KERJA'!C68)</f>
        <v/>
      </c>
      <c r="D69" s="23" t="str">
        <f>IF('TENAGA KERJA'!D68=0,"",'TENAGA KERJA'!D68)</f>
        <v/>
      </c>
      <c r="E69" s="23" t="str">
        <f>IF('TENAGA KERJA'!E68=0,"",'TENAGA KERJA'!E68)</f>
        <v/>
      </c>
      <c r="F69" s="39">
        <f>'TENAGA KERJA'!K68</f>
        <v>0</v>
      </c>
      <c r="G69" s="40">
        <f>'TENAGA KERJA'!L68</f>
        <v>0</v>
      </c>
      <c r="H69" s="40">
        <f>'TENAGA KERJA'!M68</f>
        <v>0</v>
      </c>
      <c r="I69" s="39">
        <f>'TENAGA KERJA'!N68</f>
        <v>0</v>
      </c>
      <c r="J69" s="39">
        <f t="shared" ref="J69:J132" si="14">SUM(F69:I69)</f>
        <v>0</v>
      </c>
      <c r="K69" s="39">
        <f>'BPJS TK'!D69</f>
        <v>0</v>
      </c>
      <c r="L69" s="39">
        <f>'BPJS TK'!E69</f>
        <v>0</v>
      </c>
      <c r="M69" s="39">
        <f>'BPJS TK'!F69</f>
        <v>0</v>
      </c>
      <c r="N69" s="39">
        <f>'BPJS TK'!H69</f>
        <v>0</v>
      </c>
      <c r="O69" s="39">
        <f>'BPJS KES'!D69</f>
        <v>0</v>
      </c>
      <c r="P69" s="39">
        <f t="shared" ref="P69:P132" si="15">SUM(K69:O69)</f>
        <v>0</v>
      </c>
      <c r="Q69" s="39">
        <f t="shared" ref="Q69:Q132" si="16">J69+P69</f>
        <v>0</v>
      </c>
      <c r="R69" s="39">
        <f>'BPJS TK'!G69</f>
        <v>0</v>
      </c>
      <c r="S69" s="39">
        <f>'BPJS TK'!I69</f>
        <v>0</v>
      </c>
      <c r="T69" s="39">
        <f>'BPJS KES'!E69</f>
        <v>0</v>
      </c>
      <c r="U69" s="40">
        <f>'PPH PSL 21 - GROSS (MULAI 2024)'!L69</f>
        <v>0</v>
      </c>
      <c r="V69" s="41">
        <f t="shared" ref="V69:V132" si="17">SUM(R69:U69)</f>
        <v>0</v>
      </c>
      <c r="W69" s="49">
        <f t="shared" si="13"/>
        <v>0</v>
      </c>
      <c r="X69" s="197"/>
    </row>
    <row r="70" spans="1:25">
      <c r="A70" s="23" t="str">
        <f>IF('TENAGA KERJA'!A69=0,"",'TENAGA KERJA'!A69)</f>
        <v/>
      </c>
      <c r="B70" s="28" t="str">
        <f>IF('TENAGA KERJA'!B69=0,"",'TENAGA KERJA'!B69)</f>
        <v/>
      </c>
      <c r="C70" s="23" t="str">
        <f>IF('TENAGA KERJA'!C69=0,"",'TENAGA KERJA'!C69)</f>
        <v/>
      </c>
      <c r="D70" s="23" t="str">
        <f>IF('TENAGA KERJA'!D69=0,"",'TENAGA KERJA'!D69)</f>
        <v/>
      </c>
      <c r="E70" s="23" t="str">
        <f>IF('TENAGA KERJA'!E69=0,"",'TENAGA KERJA'!E69)</f>
        <v/>
      </c>
      <c r="F70" s="39">
        <f>'TENAGA KERJA'!K69</f>
        <v>0</v>
      </c>
      <c r="G70" s="40">
        <f>'TENAGA KERJA'!L69</f>
        <v>0</v>
      </c>
      <c r="H70" s="40">
        <f>'TENAGA KERJA'!M69</f>
        <v>0</v>
      </c>
      <c r="I70" s="39">
        <f>'TENAGA KERJA'!N69</f>
        <v>0</v>
      </c>
      <c r="J70" s="39">
        <f t="shared" si="14"/>
        <v>0</v>
      </c>
      <c r="K70" s="39">
        <f>'BPJS TK'!D70</f>
        <v>0</v>
      </c>
      <c r="L70" s="39">
        <f>'BPJS TK'!E70</f>
        <v>0</v>
      </c>
      <c r="M70" s="39">
        <f>'BPJS TK'!F70</f>
        <v>0</v>
      </c>
      <c r="N70" s="39">
        <f>'BPJS TK'!H70</f>
        <v>0</v>
      </c>
      <c r="O70" s="39">
        <f>'BPJS KES'!D70</f>
        <v>0</v>
      </c>
      <c r="P70" s="39">
        <f t="shared" si="15"/>
        <v>0</v>
      </c>
      <c r="Q70" s="39">
        <f t="shared" si="16"/>
        <v>0</v>
      </c>
      <c r="R70" s="39">
        <f>'BPJS TK'!G70</f>
        <v>0</v>
      </c>
      <c r="S70" s="39">
        <f>'BPJS TK'!I70</f>
        <v>0</v>
      </c>
      <c r="T70" s="39">
        <f>'BPJS KES'!E70</f>
        <v>0</v>
      </c>
      <c r="U70" s="40">
        <f>'PPH PSL 21 - GROSS (MULAI 2024)'!L70</f>
        <v>0</v>
      </c>
      <c r="V70" s="41">
        <f t="shared" si="17"/>
        <v>0</v>
      </c>
      <c r="W70" s="49">
        <f t="shared" si="13"/>
        <v>0</v>
      </c>
      <c r="X70" s="197"/>
    </row>
    <row r="71" spans="1:25">
      <c r="A71" s="23" t="str">
        <f>IF('TENAGA KERJA'!A70=0,"",'TENAGA KERJA'!A70)</f>
        <v/>
      </c>
      <c r="B71" s="28" t="str">
        <f>IF('TENAGA KERJA'!B70=0,"",'TENAGA KERJA'!B70)</f>
        <v/>
      </c>
      <c r="C71" s="23" t="str">
        <f>IF('TENAGA KERJA'!C70=0,"",'TENAGA KERJA'!C70)</f>
        <v/>
      </c>
      <c r="D71" s="23" t="str">
        <f>IF('TENAGA KERJA'!D70=0,"",'TENAGA KERJA'!D70)</f>
        <v/>
      </c>
      <c r="E71" s="23" t="str">
        <f>IF('TENAGA KERJA'!E70=0,"",'TENAGA KERJA'!E70)</f>
        <v/>
      </c>
      <c r="F71" s="39">
        <f>'TENAGA KERJA'!K70</f>
        <v>0</v>
      </c>
      <c r="G71" s="40">
        <f>'TENAGA KERJA'!L70</f>
        <v>0</v>
      </c>
      <c r="H71" s="40">
        <f>'TENAGA KERJA'!M70</f>
        <v>0</v>
      </c>
      <c r="I71" s="39">
        <f>'TENAGA KERJA'!N70</f>
        <v>0</v>
      </c>
      <c r="J71" s="39">
        <f t="shared" si="14"/>
        <v>0</v>
      </c>
      <c r="K71" s="39">
        <f>'BPJS TK'!D71</f>
        <v>0</v>
      </c>
      <c r="L71" s="39">
        <f>'BPJS TK'!E71</f>
        <v>0</v>
      </c>
      <c r="M71" s="39">
        <f>'BPJS TK'!F71</f>
        <v>0</v>
      </c>
      <c r="N71" s="39">
        <f>'BPJS TK'!H71</f>
        <v>0</v>
      </c>
      <c r="O71" s="39">
        <f>'BPJS KES'!D71</f>
        <v>0</v>
      </c>
      <c r="P71" s="39">
        <f t="shared" si="15"/>
        <v>0</v>
      </c>
      <c r="Q71" s="39">
        <f t="shared" si="16"/>
        <v>0</v>
      </c>
      <c r="R71" s="39">
        <f>'BPJS TK'!G71</f>
        <v>0</v>
      </c>
      <c r="S71" s="39">
        <f>'BPJS TK'!I71</f>
        <v>0</v>
      </c>
      <c r="T71" s="39">
        <f>'BPJS KES'!E71</f>
        <v>0</v>
      </c>
      <c r="U71" s="40">
        <f>'PPH PSL 21 - GROSS (MULAI 2024)'!L71</f>
        <v>0</v>
      </c>
      <c r="V71" s="41">
        <f t="shared" si="17"/>
        <v>0</v>
      </c>
      <c r="W71" s="49">
        <f t="shared" si="13"/>
        <v>0</v>
      </c>
      <c r="X71" s="197"/>
    </row>
    <row r="72" spans="1:25">
      <c r="A72" s="23" t="str">
        <f>IF('TENAGA KERJA'!A71=0,"",'TENAGA KERJA'!A71)</f>
        <v/>
      </c>
      <c r="B72" s="28" t="str">
        <f>IF('TENAGA KERJA'!B71=0,"",'TENAGA KERJA'!B71)</f>
        <v/>
      </c>
      <c r="C72" s="23" t="str">
        <f>IF('TENAGA KERJA'!C71=0,"",'TENAGA KERJA'!C71)</f>
        <v/>
      </c>
      <c r="D72" s="23" t="str">
        <f>IF('TENAGA KERJA'!D71=0,"",'TENAGA KERJA'!D71)</f>
        <v/>
      </c>
      <c r="E72" s="23" t="str">
        <f>IF('TENAGA KERJA'!E71=0,"",'TENAGA KERJA'!E71)</f>
        <v/>
      </c>
      <c r="F72" s="39">
        <f>'TENAGA KERJA'!K71</f>
        <v>0</v>
      </c>
      <c r="G72" s="40">
        <f>'TENAGA KERJA'!L71</f>
        <v>0</v>
      </c>
      <c r="H72" s="40">
        <f>'TENAGA KERJA'!M71</f>
        <v>0</v>
      </c>
      <c r="I72" s="39">
        <f>'TENAGA KERJA'!N71</f>
        <v>0</v>
      </c>
      <c r="J72" s="39">
        <f t="shared" si="14"/>
        <v>0</v>
      </c>
      <c r="K72" s="39">
        <f>'BPJS TK'!D72</f>
        <v>0</v>
      </c>
      <c r="L72" s="39">
        <f>'BPJS TK'!E72</f>
        <v>0</v>
      </c>
      <c r="M72" s="39">
        <f>'BPJS TK'!F72</f>
        <v>0</v>
      </c>
      <c r="N72" s="39">
        <f>'BPJS TK'!H72</f>
        <v>0</v>
      </c>
      <c r="O72" s="39">
        <f>'BPJS KES'!D72</f>
        <v>0</v>
      </c>
      <c r="P72" s="39">
        <f t="shared" si="15"/>
        <v>0</v>
      </c>
      <c r="Q72" s="39">
        <f t="shared" si="16"/>
        <v>0</v>
      </c>
      <c r="R72" s="39">
        <f>'BPJS TK'!G72</f>
        <v>0</v>
      </c>
      <c r="S72" s="39">
        <f>'BPJS TK'!I72</f>
        <v>0</v>
      </c>
      <c r="T72" s="39">
        <f>'BPJS KES'!E72</f>
        <v>0</v>
      </c>
      <c r="U72" s="40">
        <f>'PPH PSL 21 - GROSS (MULAI 2024)'!L72</f>
        <v>0</v>
      </c>
      <c r="V72" s="41">
        <f t="shared" si="17"/>
        <v>0</v>
      </c>
      <c r="W72" s="49">
        <f t="shared" si="13"/>
        <v>0</v>
      </c>
      <c r="X72" s="197"/>
    </row>
    <row r="73" spans="1:25">
      <c r="A73" s="23" t="str">
        <f>IF('TENAGA KERJA'!A72=0,"",'TENAGA KERJA'!A72)</f>
        <v/>
      </c>
      <c r="B73" s="28" t="str">
        <f>IF('TENAGA KERJA'!B72=0,"",'TENAGA KERJA'!B72)</f>
        <v/>
      </c>
      <c r="C73" s="23" t="str">
        <f>IF('TENAGA KERJA'!C72=0,"",'TENAGA KERJA'!C72)</f>
        <v/>
      </c>
      <c r="D73" s="23" t="str">
        <f>IF('TENAGA KERJA'!D72=0,"",'TENAGA KERJA'!D72)</f>
        <v/>
      </c>
      <c r="E73" s="23" t="str">
        <f>IF('TENAGA KERJA'!E72=0,"",'TENAGA KERJA'!E72)</f>
        <v/>
      </c>
      <c r="F73" s="39">
        <f>'TENAGA KERJA'!K72</f>
        <v>0</v>
      </c>
      <c r="G73" s="40">
        <f>'TENAGA KERJA'!L72</f>
        <v>0</v>
      </c>
      <c r="H73" s="40">
        <f>'TENAGA KERJA'!M72</f>
        <v>0</v>
      </c>
      <c r="I73" s="39">
        <f>'TENAGA KERJA'!N72</f>
        <v>0</v>
      </c>
      <c r="J73" s="39">
        <f t="shared" si="14"/>
        <v>0</v>
      </c>
      <c r="K73" s="39">
        <f>'BPJS TK'!D73</f>
        <v>0</v>
      </c>
      <c r="L73" s="39">
        <f>'BPJS TK'!E73</f>
        <v>0</v>
      </c>
      <c r="M73" s="39">
        <f>'BPJS TK'!F73</f>
        <v>0</v>
      </c>
      <c r="N73" s="39">
        <f>'BPJS TK'!H73</f>
        <v>0</v>
      </c>
      <c r="O73" s="39">
        <f>'BPJS KES'!D73</f>
        <v>0</v>
      </c>
      <c r="P73" s="39">
        <f t="shared" si="15"/>
        <v>0</v>
      </c>
      <c r="Q73" s="39">
        <f t="shared" si="16"/>
        <v>0</v>
      </c>
      <c r="R73" s="39">
        <f>'BPJS TK'!G73</f>
        <v>0</v>
      </c>
      <c r="S73" s="39">
        <f>'BPJS TK'!I73</f>
        <v>0</v>
      </c>
      <c r="T73" s="39">
        <f>'BPJS KES'!E73</f>
        <v>0</v>
      </c>
      <c r="U73" s="40">
        <f>'PPH PSL 21 - GROSS (MULAI 2024)'!L73</f>
        <v>0</v>
      </c>
      <c r="V73" s="41">
        <f t="shared" si="17"/>
        <v>0</v>
      </c>
      <c r="W73" s="49">
        <f t="shared" si="13"/>
        <v>0</v>
      </c>
      <c r="X73" s="197"/>
    </row>
    <row r="74" spans="1:25">
      <c r="A74" s="23" t="str">
        <f>IF('TENAGA KERJA'!A73=0,"",'TENAGA KERJA'!A73)</f>
        <v/>
      </c>
      <c r="B74" s="28" t="str">
        <f>IF('TENAGA KERJA'!B73=0,"",'TENAGA KERJA'!B73)</f>
        <v/>
      </c>
      <c r="C74" s="23" t="str">
        <f>IF('TENAGA KERJA'!C73=0,"",'TENAGA KERJA'!C73)</f>
        <v/>
      </c>
      <c r="D74" s="23" t="str">
        <f>IF('TENAGA KERJA'!D73=0,"",'TENAGA KERJA'!D73)</f>
        <v/>
      </c>
      <c r="E74" s="23" t="str">
        <f>IF('TENAGA KERJA'!E73=0,"",'TENAGA KERJA'!E73)</f>
        <v/>
      </c>
      <c r="F74" s="39">
        <f>'TENAGA KERJA'!K73</f>
        <v>0</v>
      </c>
      <c r="G74" s="40">
        <f>'TENAGA KERJA'!L73</f>
        <v>0</v>
      </c>
      <c r="H74" s="40">
        <f>'TENAGA KERJA'!M73</f>
        <v>0</v>
      </c>
      <c r="I74" s="39">
        <f>'TENAGA KERJA'!N73</f>
        <v>0</v>
      </c>
      <c r="J74" s="39">
        <f t="shared" si="14"/>
        <v>0</v>
      </c>
      <c r="K74" s="39">
        <f>'BPJS TK'!D74</f>
        <v>0</v>
      </c>
      <c r="L74" s="39">
        <f>'BPJS TK'!E74</f>
        <v>0</v>
      </c>
      <c r="M74" s="39">
        <f>'BPJS TK'!F74</f>
        <v>0</v>
      </c>
      <c r="N74" s="39">
        <f>'BPJS TK'!H74</f>
        <v>0</v>
      </c>
      <c r="O74" s="39">
        <f>'BPJS KES'!D74</f>
        <v>0</v>
      </c>
      <c r="P74" s="39">
        <f t="shared" si="15"/>
        <v>0</v>
      </c>
      <c r="Q74" s="39">
        <f t="shared" si="16"/>
        <v>0</v>
      </c>
      <c r="R74" s="39">
        <f>'BPJS TK'!G74</f>
        <v>0</v>
      </c>
      <c r="S74" s="39">
        <f>'BPJS TK'!I74</f>
        <v>0</v>
      </c>
      <c r="T74" s="39">
        <f>'BPJS KES'!E74</f>
        <v>0</v>
      </c>
      <c r="U74" s="40">
        <f>'PPH PSL 21 - GROSS (MULAI 2024)'!L74</f>
        <v>0</v>
      </c>
      <c r="V74" s="41">
        <f t="shared" si="17"/>
        <v>0</v>
      </c>
      <c r="W74" s="49">
        <f t="shared" si="13"/>
        <v>0</v>
      </c>
      <c r="X74" s="197"/>
    </row>
    <row r="75" spans="1:25">
      <c r="A75" s="23" t="str">
        <f>IF('TENAGA KERJA'!A74=0,"",'TENAGA KERJA'!A74)</f>
        <v/>
      </c>
      <c r="B75" s="28" t="str">
        <f>IF('TENAGA KERJA'!B74=0,"",'TENAGA KERJA'!B74)</f>
        <v/>
      </c>
      <c r="C75" s="23" t="str">
        <f>IF('TENAGA KERJA'!C74=0,"",'TENAGA KERJA'!C74)</f>
        <v/>
      </c>
      <c r="D75" s="23" t="str">
        <f>IF('TENAGA KERJA'!D74=0,"",'TENAGA KERJA'!D74)</f>
        <v/>
      </c>
      <c r="E75" s="23" t="str">
        <f>IF('TENAGA KERJA'!E74=0,"",'TENAGA KERJA'!E74)</f>
        <v/>
      </c>
      <c r="F75" s="39">
        <f>'TENAGA KERJA'!K74</f>
        <v>0</v>
      </c>
      <c r="G75" s="40">
        <f>'TENAGA KERJA'!L74</f>
        <v>0</v>
      </c>
      <c r="H75" s="40">
        <f>'TENAGA KERJA'!M74</f>
        <v>0</v>
      </c>
      <c r="I75" s="39">
        <f>'TENAGA KERJA'!N74</f>
        <v>0</v>
      </c>
      <c r="J75" s="39">
        <f t="shared" si="14"/>
        <v>0</v>
      </c>
      <c r="K75" s="39">
        <f>'BPJS TK'!D75</f>
        <v>0</v>
      </c>
      <c r="L75" s="39">
        <f>'BPJS TK'!E75</f>
        <v>0</v>
      </c>
      <c r="M75" s="39">
        <f>'BPJS TK'!F75</f>
        <v>0</v>
      </c>
      <c r="N75" s="39">
        <f>'BPJS TK'!H75</f>
        <v>0</v>
      </c>
      <c r="O75" s="39">
        <f>'BPJS KES'!D75</f>
        <v>0</v>
      </c>
      <c r="P75" s="39">
        <f t="shared" si="15"/>
        <v>0</v>
      </c>
      <c r="Q75" s="39">
        <f t="shared" si="16"/>
        <v>0</v>
      </c>
      <c r="R75" s="39">
        <f>'BPJS TK'!G75</f>
        <v>0</v>
      </c>
      <c r="S75" s="39">
        <f>'BPJS TK'!I75</f>
        <v>0</v>
      </c>
      <c r="T75" s="39">
        <f>'BPJS KES'!E75</f>
        <v>0</v>
      </c>
      <c r="U75" s="40">
        <f>'PPH PSL 21 - GROSS (MULAI 2024)'!L75</f>
        <v>0</v>
      </c>
      <c r="V75" s="41">
        <f t="shared" si="17"/>
        <v>0</v>
      </c>
      <c r="W75" s="49">
        <f t="shared" si="13"/>
        <v>0</v>
      </c>
      <c r="X75" s="197"/>
    </row>
    <row r="76" spans="1:25">
      <c r="A76" s="23" t="str">
        <f>IF('TENAGA KERJA'!A75=0,"",'TENAGA KERJA'!A75)</f>
        <v/>
      </c>
      <c r="B76" s="28" t="str">
        <f>IF('TENAGA KERJA'!B75=0,"",'TENAGA KERJA'!B75)</f>
        <v/>
      </c>
      <c r="C76" s="23" t="str">
        <f>IF('TENAGA KERJA'!C75=0,"",'TENAGA KERJA'!C75)</f>
        <v/>
      </c>
      <c r="D76" s="23" t="str">
        <f>IF('TENAGA KERJA'!D75=0,"",'TENAGA KERJA'!D75)</f>
        <v/>
      </c>
      <c r="E76" s="23" t="str">
        <f>IF('TENAGA KERJA'!E75=0,"",'TENAGA KERJA'!E75)</f>
        <v/>
      </c>
      <c r="F76" s="39">
        <f>'TENAGA KERJA'!K75</f>
        <v>0</v>
      </c>
      <c r="G76" s="40">
        <f>'TENAGA KERJA'!L75</f>
        <v>0</v>
      </c>
      <c r="H76" s="40">
        <f>'TENAGA KERJA'!M75</f>
        <v>0</v>
      </c>
      <c r="I76" s="39">
        <f>'TENAGA KERJA'!N75</f>
        <v>0</v>
      </c>
      <c r="J76" s="39">
        <f t="shared" si="14"/>
        <v>0</v>
      </c>
      <c r="K76" s="39">
        <f>'BPJS TK'!D76</f>
        <v>0</v>
      </c>
      <c r="L76" s="39">
        <f>'BPJS TK'!E76</f>
        <v>0</v>
      </c>
      <c r="M76" s="39">
        <f>'BPJS TK'!F76</f>
        <v>0</v>
      </c>
      <c r="N76" s="39">
        <f>'BPJS TK'!H76</f>
        <v>0</v>
      </c>
      <c r="O76" s="39">
        <f>'BPJS KES'!D76</f>
        <v>0</v>
      </c>
      <c r="P76" s="39">
        <f t="shared" si="15"/>
        <v>0</v>
      </c>
      <c r="Q76" s="39">
        <f t="shared" si="16"/>
        <v>0</v>
      </c>
      <c r="R76" s="39">
        <f>'BPJS TK'!G76</f>
        <v>0</v>
      </c>
      <c r="S76" s="39">
        <f>'BPJS TK'!I76</f>
        <v>0</v>
      </c>
      <c r="T76" s="39">
        <f>'BPJS KES'!E76</f>
        <v>0</v>
      </c>
      <c r="U76" s="40">
        <f>'PPH PSL 21 - GROSS (MULAI 2024)'!L76</f>
        <v>0</v>
      </c>
      <c r="V76" s="41">
        <f t="shared" si="17"/>
        <v>0</v>
      </c>
      <c r="W76" s="49">
        <f t="shared" si="13"/>
        <v>0</v>
      </c>
      <c r="X76" s="197"/>
    </row>
    <row r="77" spans="1:25">
      <c r="A77" s="23" t="str">
        <f>IF('TENAGA KERJA'!A76=0,"",'TENAGA KERJA'!A76)</f>
        <v/>
      </c>
      <c r="B77" s="28" t="str">
        <f>IF('TENAGA KERJA'!B76=0,"",'TENAGA KERJA'!B76)</f>
        <v/>
      </c>
      <c r="C77" s="23" t="str">
        <f>IF('TENAGA KERJA'!C76=0,"",'TENAGA KERJA'!C76)</f>
        <v/>
      </c>
      <c r="D77" s="23" t="str">
        <f>IF('TENAGA KERJA'!D76=0,"",'TENAGA KERJA'!D76)</f>
        <v/>
      </c>
      <c r="E77" s="23" t="str">
        <f>IF('TENAGA KERJA'!E76=0,"",'TENAGA KERJA'!E76)</f>
        <v/>
      </c>
      <c r="F77" s="39">
        <f>'TENAGA KERJA'!K76</f>
        <v>0</v>
      </c>
      <c r="G77" s="40">
        <f>'TENAGA KERJA'!L76</f>
        <v>0</v>
      </c>
      <c r="H77" s="40">
        <f>'TENAGA KERJA'!M76</f>
        <v>0</v>
      </c>
      <c r="I77" s="39">
        <f>'TENAGA KERJA'!N76</f>
        <v>0</v>
      </c>
      <c r="J77" s="39">
        <f t="shared" si="14"/>
        <v>0</v>
      </c>
      <c r="K77" s="39">
        <f>'BPJS TK'!D77</f>
        <v>0</v>
      </c>
      <c r="L77" s="39">
        <f>'BPJS TK'!E77</f>
        <v>0</v>
      </c>
      <c r="M77" s="39">
        <f>'BPJS TK'!F77</f>
        <v>0</v>
      </c>
      <c r="N77" s="39">
        <f>'BPJS TK'!H77</f>
        <v>0</v>
      </c>
      <c r="O77" s="39">
        <f>'BPJS KES'!D77</f>
        <v>0</v>
      </c>
      <c r="P77" s="39">
        <f t="shared" si="15"/>
        <v>0</v>
      </c>
      <c r="Q77" s="39">
        <f t="shared" si="16"/>
        <v>0</v>
      </c>
      <c r="R77" s="39">
        <f>'BPJS TK'!G77</f>
        <v>0</v>
      </c>
      <c r="S77" s="39">
        <f>'BPJS TK'!I77</f>
        <v>0</v>
      </c>
      <c r="T77" s="39">
        <f>'BPJS KES'!E77</f>
        <v>0</v>
      </c>
      <c r="U77" s="40">
        <f>'PPH PSL 21 - GROSS (MULAI 2024)'!L77</f>
        <v>0</v>
      </c>
      <c r="V77" s="41">
        <f t="shared" si="17"/>
        <v>0</v>
      </c>
      <c r="W77" s="49">
        <f t="shared" si="13"/>
        <v>0</v>
      </c>
      <c r="X77" s="197"/>
      <c r="Y77" s="50"/>
    </row>
    <row r="78" spans="1:25">
      <c r="A78" s="23" t="str">
        <f>IF('TENAGA KERJA'!A77=0,"",'TENAGA KERJA'!A77)</f>
        <v/>
      </c>
      <c r="B78" s="28" t="str">
        <f>IF('TENAGA KERJA'!B77=0,"",'TENAGA KERJA'!B77)</f>
        <v/>
      </c>
      <c r="C78" s="23" t="str">
        <f>IF('TENAGA KERJA'!C77=0,"",'TENAGA KERJA'!C77)</f>
        <v/>
      </c>
      <c r="D78" s="23" t="str">
        <f>IF('TENAGA KERJA'!D77=0,"",'TENAGA KERJA'!D77)</f>
        <v/>
      </c>
      <c r="E78" s="23" t="str">
        <f>IF('TENAGA KERJA'!E77=0,"",'TENAGA KERJA'!E77)</f>
        <v/>
      </c>
      <c r="F78" s="39">
        <f>'TENAGA KERJA'!K77</f>
        <v>0</v>
      </c>
      <c r="G78" s="40">
        <f>'TENAGA KERJA'!L77</f>
        <v>0</v>
      </c>
      <c r="H78" s="40">
        <f>'TENAGA KERJA'!M77</f>
        <v>0</v>
      </c>
      <c r="I78" s="39">
        <f>'TENAGA KERJA'!N77</f>
        <v>0</v>
      </c>
      <c r="J78" s="39">
        <f t="shared" si="14"/>
        <v>0</v>
      </c>
      <c r="K78" s="39">
        <f>'BPJS TK'!D78</f>
        <v>0</v>
      </c>
      <c r="L78" s="39">
        <f>'BPJS TK'!E78</f>
        <v>0</v>
      </c>
      <c r="M78" s="39">
        <f>'BPJS TK'!F78</f>
        <v>0</v>
      </c>
      <c r="N78" s="39">
        <f>'BPJS TK'!H78</f>
        <v>0</v>
      </c>
      <c r="O78" s="39">
        <f>'BPJS KES'!D78</f>
        <v>0</v>
      </c>
      <c r="P78" s="39">
        <f t="shared" si="15"/>
        <v>0</v>
      </c>
      <c r="Q78" s="39">
        <f t="shared" si="16"/>
        <v>0</v>
      </c>
      <c r="R78" s="39">
        <f>'BPJS TK'!G78</f>
        <v>0</v>
      </c>
      <c r="S78" s="39">
        <f>'BPJS TK'!I78</f>
        <v>0</v>
      </c>
      <c r="T78" s="39">
        <f>'BPJS KES'!E78</f>
        <v>0</v>
      </c>
      <c r="U78" s="40">
        <f>'PPH PSL 21 - GROSS (MULAI 2024)'!L78</f>
        <v>0</v>
      </c>
      <c r="V78" s="41">
        <f t="shared" si="17"/>
        <v>0</v>
      </c>
      <c r="W78" s="49">
        <f t="shared" si="13"/>
        <v>0</v>
      </c>
      <c r="X78" s="197"/>
    </row>
    <row r="79" spans="1:25">
      <c r="A79" s="23" t="str">
        <f>IF('TENAGA KERJA'!A78=0,"",'TENAGA KERJA'!A78)</f>
        <v/>
      </c>
      <c r="B79" s="28" t="str">
        <f>IF('TENAGA KERJA'!B78=0,"",'TENAGA KERJA'!B78)</f>
        <v/>
      </c>
      <c r="C79" s="23" t="str">
        <f>IF('TENAGA KERJA'!C78=0,"",'TENAGA KERJA'!C78)</f>
        <v/>
      </c>
      <c r="D79" s="23" t="str">
        <f>IF('TENAGA KERJA'!D78=0,"",'TENAGA KERJA'!D78)</f>
        <v/>
      </c>
      <c r="E79" s="23" t="str">
        <f>IF('TENAGA KERJA'!E78=0,"",'TENAGA KERJA'!E78)</f>
        <v/>
      </c>
      <c r="F79" s="39">
        <f>'TENAGA KERJA'!K78</f>
        <v>0</v>
      </c>
      <c r="G79" s="40">
        <f>'TENAGA KERJA'!L78</f>
        <v>0</v>
      </c>
      <c r="H79" s="40">
        <f>'TENAGA KERJA'!M78</f>
        <v>0</v>
      </c>
      <c r="I79" s="39">
        <f>'TENAGA KERJA'!N78</f>
        <v>0</v>
      </c>
      <c r="J79" s="39">
        <f t="shared" si="14"/>
        <v>0</v>
      </c>
      <c r="K79" s="39">
        <f>'BPJS TK'!D79</f>
        <v>0</v>
      </c>
      <c r="L79" s="39">
        <f>'BPJS TK'!E79</f>
        <v>0</v>
      </c>
      <c r="M79" s="39">
        <f>'BPJS TK'!F79</f>
        <v>0</v>
      </c>
      <c r="N79" s="39">
        <f>'BPJS TK'!H79</f>
        <v>0</v>
      </c>
      <c r="O79" s="39">
        <f>'BPJS KES'!D79</f>
        <v>0</v>
      </c>
      <c r="P79" s="39">
        <f t="shared" si="15"/>
        <v>0</v>
      </c>
      <c r="Q79" s="39">
        <f t="shared" si="16"/>
        <v>0</v>
      </c>
      <c r="R79" s="39">
        <f>'BPJS TK'!G79</f>
        <v>0</v>
      </c>
      <c r="S79" s="39">
        <f>'BPJS TK'!I79</f>
        <v>0</v>
      </c>
      <c r="T79" s="39">
        <f>'BPJS KES'!E79</f>
        <v>0</v>
      </c>
      <c r="U79" s="40">
        <f>'PPH PSL 21 - GROSS (MULAI 2024)'!L79</f>
        <v>0</v>
      </c>
      <c r="V79" s="41">
        <f t="shared" si="17"/>
        <v>0</v>
      </c>
      <c r="W79" s="49">
        <f t="shared" si="13"/>
        <v>0</v>
      </c>
      <c r="X79" s="197"/>
    </row>
    <row r="80" spans="1:25">
      <c r="A80" s="23" t="str">
        <f>IF('TENAGA KERJA'!A79=0,"",'TENAGA KERJA'!A79)</f>
        <v/>
      </c>
      <c r="B80" s="28" t="str">
        <f>IF('TENAGA KERJA'!B79=0,"",'TENAGA KERJA'!B79)</f>
        <v/>
      </c>
      <c r="C80" s="23" t="str">
        <f>IF('TENAGA KERJA'!C79=0,"",'TENAGA KERJA'!C79)</f>
        <v/>
      </c>
      <c r="D80" s="23" t="str">
        <f>IF('TENAGA KERJA'!D79=0,"",'TENAGA KERJA'!D79)</f>
        <v/>
      </c>
      <c r="E80" s="23" t="str">
        <f>IF('TENAGA KERJA'!E79=0,"",'TENAGA KERJA'!E79)</f>
        <v/>
      </c>
      <c r="F80" s="39">
        <f>'TENAGA KERJA'!K79</f>
        <v>0</v>
      </c>
      <c r="G80" s="40">
        <f>'TENAGA KERJA'!L79</f>
        <v>0</v>
      </c>
      <c r="H80" s="40">
        <f>'TENAGA KERJA'!M79</f>
        <v>0</v>
      </c>
      <c r="I80" s="39">
        <f>'TENAGA KERJA'!N79</f>
        <v>0</v>
      </c>
      <c r="J80" s="39">
        <f t="shared" si="14"/>
        <v>0</v>
      </c>
      <c r="K80" s="39">
        <f>'BPJS TK'!D80</f>
        <v>0</v>
      </c>
      <c r="L80" s="39">
        <f>'BPJS TK'!E80</f>
        <v>0</v>
      </c>
      <c r="M80" s="39">
        <f>'BPJS TK'!F80</f>
        <v>0</v>
      </c>
      <c r="N80" s="39">
        <f>'BPJS TK'!H80</f>
        <v>0</v>
      </c>
      <c r="O80" s="39">
        <f>'BPJS KES'!D80</f>
        <v>0</v>
      </c>
      <c r="P80" s="39">
        <f t="shared" si="15"/>
        <v>0</v>
      </c>
      <c r="Q80" s="39">
        <f t="shared" si="16"/>
        <v>0</v>
      </c>
      <c r="R80" s="39">
        <f>'BPJS TK'!G80</f>
        <v>0</v>
      </c>
      <c r="S80" s="39">
        <f>'BPJS TK'!I80</f>
        <v>0</v>
      </c>
      <c r="T80" s="39">
        <f>'BPJS KES'!E80</f>
        <v>0</v>
      </c>
      <c r="U80" s="40">
        <f>'PPH PSL 21 - GROSS (MULAI 2024)'!L80</f>
        <v>0</v>
      </c>
      <c r="V80" s="41">
        <f t="shared" si="17"/>
        <v>0</v>
      </c>
      <c r="W80" s="49">
        <f t="shared" si="13"/>
        <v>0</v>
      </c>
      <c r="X80" s="197"/>
    </row>
    <row r="81" spans="1:25">
      <c r="A81" s="23" t="str">
        <f>IF('TENAGA KERJA'!A80=0,"",'TENAGA KERJA'!A80)</f>
        <v/>
      </c>
      <c r="B81" s="28" t="str">
        <f>IF('TENAGA KERJA'!B80=0,"",'TENAGA KERJA'!B80)</f>
        <v/>
      </c>
      <c r="C81" s="23" t="str">
        <f>IF('TENAGA KERJA'!C80=0,"",'TENAGA KERJA'!C80)</f>
        <v/>
      </c>
      <c r="D81" s="23" t="str">
        <f>IF('TENAGA KERJA'!D80=0,"",'TENAGA KERJA'!D80)</f>
        <v/>
      </c>
      <c r="E81" s="23" t="str">
        <f>IF('TENAGA KERJA'!E80=0,"",'TENAGA KERJA'!E80)</f>
        <v/>
      </c>
      <c r="F81" s="39">
        <f>'TENAGA KERJA'!K80</f>
        <v>0</v>
      </c>
      <c r="G81" s="40">
        <f>'TENAGA KERJA'!L80</f>
        <v>0</v>
      </c>
      <c r="H81" s="40">
        <f>'TENAGA KERJA'!M80</f>
        <v>0</v>
      </c>
      <c r="I81" s="39">
        <f>'TENAGA KERJA'!N80</f>
        <v>0</v>
      </c>
      <c r="J81" s="39">
        <f t="shared" si="14"/>
        <v>0</v>
      </c>
      <c r="K81" s="39">
        <f>'BPJS TK'!D81</f>
        <v>0</v>
      </c>
      <c r="L81" s="39">
        <f>'BPJS TK'!E81</f>
        <v>0</v>
      </c>
      <c r="M81" s="39">
        <f>'BPJS TK'!F81</f>
        <v>0</v>
      </c>
      <c r="N81" s="39">
        <f>'BPJS TK'!H81</f>
        <v>0</v>
      </c>
      <c r="O81" s="39">
        <f>'BPJS KES'!D81</f>
        <v>0</v>
      </c>
      <c r="P81" s="39">
        <f t="shared" si="15"/>
        <v>0</v>
      </c>
      <c r="Q81" s="39">
        <f t="shared" si="16"/>
        <v>0</v>
      </c>
      <c r="R81" s="39">
        <f>'BPJS TK'!G81</f>
        <v>0</v>
      </c>
      <c r="S81" s="39">
        <f>'BPJS TK'!I81</f>
        <v>0</v>
      </c>
      <c r="T81" s="39">
        <f>'BPJS KES'!E81</f>
        <v>0</v>
      </c>
      <c r="U81" s="40">
        <f>'PPH PSL 21 - GROSS (MULAI 2024)'!L81</f>
        <v>0</v>
      </c>
      <c r="V81" s="41">
        <f t="shared" si="17"/>
        <v>0</v>
      </c>
      <c r="W81" s="49">
        <f t="shared" si="13"/>
        <v>0</v>
      </c>
      <c r="X81" s="197"/>
    </row>
    <row r="82" spans="1:25">
      <c r="A82" s="23" t="str">
        <f>IF('TENAGA KERJA'!A81=0,"",'TENAGA KERJA'!A81)</f>
        <v/>
      </c>
      <c r="B82" s="28" t="str">
        <f>IF('TENAGA KERJA'!B81=0,"",'TENAGA KERJA'!B81)</f>
        <v/>
      </c>
      <c r="C82" s="23" t="str">
        <f>IF('TENAGA KERJA'!C81=0,"",'TENAGA KERJA'!C81)</f>
        <v/>
      </c>
      <c r="D82" s="23" t="str">
        <f>IF('TENAGA KERJA'!D81=0,"",'TENAGA KERJA'!D81)</f>
        <v/>
      </c>
      <c r="E82" s="23" t="str">
        <f>IF('TENAGA KERJA'!E81=0,"",'TENAGA KERJA'!E81)</f>
        <v/>
      </c>
      <c r="F82" s="39">
        <f>'TENAGA KERJA'!K81</f>
        <v>0</v>
      </c>
      <c r="G82" s="40">
        <f>'TENAGA KERJA'!L81</f>
        <v>0</v>
      </c>
      <c r="H82" s="40">
        <f>'TENAGA KERJA'!M81</f>
        <v>0</v>
      </c>
      <c r="I82" s="39">
        <f>'TENAGA KERJA'!N81</f>
        <v>0</v>
      </c>
      <c r="J82" s="39">
        <f t="shared" si="14"/>
        <v>0</v>
      </c>
      <c r="K82" s="39">
        <f>'BPJS TK'!D82</f>
        <v>0</v>
      </c>
      <c r="L82" s="39">
        <f>'BPJS TK'!E82</f>
        <v>0</v>
      </c>
      <c r="M82" s="39">
        <f>'BPJS TK'!F82</f>
        <v>0</v>
      </c>
      <c r="N82" s="39">
        <f>'BPJS TK'!H82</f>
        <v>0</v>
      </c>
      <c r="O82" s="39">
        <f>'BPJS KES'!D82</f>
        <v>0</v>
      </c>
      <c r="P82" s="39">
        <f t="shared" si="15"/>
        <v>0</v>
      </c>
      <c r="Q82" s="39">
        <f t="shared" si="16"/>
        <v>0</v>
      </c>
      <c r="R82" s="39">
        <f>'BPJS TK'!G82</f>
        <v>0</v>
      </c>
      <c r="S82" s="39">
        <f>'BPJS TK'!I82</f>
        <v>0</v>
      </c>
      <c r="T82" s="39">
        <f>'BPJS KES'!E82</f>
        <v>0</v>
      </c>
      <c r="U82" s="40">
        <f>'PPH PSL 21 - GROSS (MULAI 2024)'!L82</f>
        <v>0</v>
      </c>
      <c r="V82" s="41">
        <f t="shared" si="17"/>
        <v>0</v>
      </c>
      <c r="W82" s="49">
        <f t="shared" si="13"/>
        <v>0</v>
      </c>
      <c r="X82" s="197"/>
    </row>
    <row r="83" spans="1:25">
      <c r="A83" s="23" t="str">
        <f>IF('TENAGA KERJA'!A82=0,"",'TENAGA KERJA'!A82)</f>
        <v/>
      </c>
      <c r="B83" s="28" t="str">
        <f>IF('TENAGA KERJA'!B82=0,"",'TENAGA KERJA'!B82)</f>
        <v/>
      </c>
      <c r="C83" s="23" t="str">
        <f>IF('TENAGA KERJA'!C82=0,"",'TENAGA KERJA'!C82)</f>
        <v/>
      </c>
      <c r="D83" s="23" t="str">
        <f>IF('TENAGA KERJA'!D82=0,"",'TENAGA KERJA'!D82)</f>
        <v/>
      </c>
      <c r="E83" s="23" t="str">
        <f>IF('TENAGA KERJA'!E82=0,"",'TENAGA KERJA'!E82)</f>
        <v/>
      </c>
      <c r="F83" s="39">
        <f>'TENAGA KERJA'!K82</f>
        <v>0</v>
      </c>
      <c r="G83" s="40">
        <f>'TENAGA KERJA'!L82</f>
        <v>0</v>
      </c>
      <c r="H83" s="40">
        <f>'TENAGA KERJA'!M82</f>
        <v>0</v>
      </c>
      <c r="I83" s="39">
        <f>'TENAGA KERJA'!N82</f>
        <v>0</v>
      </c>
      <c r="J83" s="39">
        <f t="shared" si="14"/>
        <v>0</v>
      </c>
      <c r="K83" s="39">
        <f>'BPJS TK'!D83</f>
        <v>0</v>
      </c>
      <c r="L83" s="39">
        <f>'BPJS TK'!E83</f>
        <v>0</v>
      </c>
      <c r="M83" s="39">
        <f>'BPJS TK'!F83</f>
        <v>0</v>
      </c>
      <c r="N83" s="39">
        <f>'BPJS TK'!H83</f>
        <v>0</v>
      </c>
      <c r="O83" s="39">
        <f>'BPJS KES'!D83</f>
        <v>0</v>
      </c>
      <c r="P83" s="39">
        <f t="shared" si="15"/>
        <v>0</v>
      </c>
      <c r="Q83" s="39">
        <f t="shared" si="16"/>
        <v>0</v>
      </c>
      <c r="R83" s="39">
        <f>'BPJS TK'!G83</f>
        <v>0</v>
      </c>
      <c r="S83" s="39">
        <f>'BPJS TK'!I83</f>
        <v>0</v>
      </c>
      <c r="T83" s="39">
        <f>'BPJS KES'!E83</f>
        <v>0</v>
      </c>
      <c r="U83" s="40">
        <f>'PPH PSL 21 - GROSS (MULAI 2024)'!L83</f>
        <v>0</v>
      </c>
      <c r="V83" s="41">
        <f t="shared" si="17"/>
        <v>0</v>
      </c>
      <c r="W83" s="49">
        <f t="shared" si="13"/>
        <v>0</v>
      </c>
      <c r="X83" s="197"/>
    </row>
    <row r="84" spans="1:25">
      <c r="A84" s="23" t="str">
        <f>IF('TENAGA KERJA'!A83=0,"",'TENAGA KERJA'!A83)</f>
        <v/>
      </c>
      <c r="B84" s="28" t="str">
        <f>IF('TENAGA KERJA'!B83=0,"",'TENAGA KERJA'!B83)</f>
        <v/>
      </c>
      <c r="C84" s="23" t="str">
        <f>IF('TENAGA KERJA'!C83=0,"",'TENAGA KERJA'!C83)</f>
        <v/>
      </c>
      <c r="D84" s="23" t="str">
        <f>IF('TENAGA KERJA'!D83=0,"",'TENAGA KERJA'!D83)</f>
        <v/>
      </c>
      <c r="E84" s="23" t="str">
        <f>IF('TENAGA KERJA'!E83=0,"",'TENAGA KERJA'!E83)</f>
        <v/>
      </c>
      <c r="F84" s="39">
        <f>'TENAGA KERJA'!K83</f>
        <v>0</v>
      </c>
      <c r="G84" s="40">
        <f>'TENAGA KERJA'!L83</f>
        <v>0</v>
      </c>
      <c r="H84" s="40">
        <f>'TENAGA KERJA'!M83</f>
        <v>0</v>
      </c>
      <c r="I84" s="39">
        <f>'TENAGA KERJA'!N83</f>
        <v>0</v>
      </c>
      <c r="J84" s="39">
        <f t="shared" si="14"/>
        <v>0</v>
      </c>
      <c r="K84" s="39">
        <f>'BPJS TK'!D84</f>
        <v>0</v>
      </c>
      <c r="L84" s="39">
        <f>'BPJS TK'!E84</f>
        <v>0</v>
      </c>
      <c r="M84" s="39">
        <f>'BPJS TK'!F84</f>
        <v>0</v>
      </c>
      <c r="N84" s="39">
        <f>'BPJS TK'!H84</f>
        <v>0</v>
      </c>
      <c r="O84" s="39">
        <f>'BPJS KES'!D84</f>
        <v>0</v>
      </c>
      <c r="P84" s="39">
        <f t="shared" si="15"/>
        <v>0</v>
      </c>
      <c r="Q84" s="39">
        <f t="shared" si="16"/>
        <v>0</v>
      </c>
      <c r="R84" s="39">
        <f>'BPJS TK'!G84</f>
        <v>0</v>
      </c>
      <c r="S84" s="39">
        <f>'BPJS TK'!I84</f>
        <v>0</v>
      </c>
      <c r="T84" s="39">
        <f>'BPJS KES'!E84</f>
        <v>0</v>
      </c>
      <c r="U84" s="40">
        <f>'PPH PSL 21 - GROSS (MULAI 2024)'!L84</f>
        <v>0</v>
      </c>
      <c r="V84" s="41">
        <f t="shared" si="17"/>
        <v>0</v>
      </c>
      <c r="W84" s="49">
        <f t="shared" si="13"/>
        <v>0</v>
      </c>
      <c r="X84" s="197"/>
    </row>
    <row r="85" spans="1:25">
      <c r="A85" s="23" t="str">
        <f>IF('TENAGA KERJA'!A84=0,"",'TENAGA KERJA'!A84)</f>
        <v/>
      </c>
      <c r="B85" s="28" t="str">
        <f>IF('TENAGA KERJA'!B84=0,"",'TENAGA KERJA'!B84)</f>
        <v/>
      </c>
      <c r="C85" s="23" t="str">
        <f>IF('TENAGA KERJA'!C84=0,"",'TENAGA KERJA'!C84)</f>
        <v/>
      </c>
      <c r="D85" s="23" t="str">
        <f>IF('TENAGA KERJA'!D84=0,"",'TENAGA KERJA'!D84)</f>
        <v/>
      </c>
      <c r="E85" s="23" t="str">
        <f>IF('TENAGA KERJA'!E84=0,"",'TENAGA KERJA'!E84)</f>
        <v/>
      </c>
      <c r="F85" s="39">
        <f>'TENAGA KERJA'!K84</f>
        <v>0</v>
      </c>
      <c r="G85" s="40">
        <f>'TENAGA KERJA'!L84</f>
        <v>0</v>
      </c>
      <c r="H85" s="40">
        <f>'TENAGA KERJA'!M84</f>
        <v>0</v>
      </c>
      <c r="I85" s="39">
        <f>'TENAGA KERJA'!N84</f>
        <v>0</v>
      </c>
      <c r="J85" s="39">
        <f t="shared" si="14"/>
        <v>0</v>
      </c>
      <c r="K85" s="39">
        <f>'BPJS TK'!D85</f>
        <v>0</v>
      </c>
      <c r="L85" s="39">
        <f>'BPJS TK'!E85</f>
        <v>0</v>
      </c>
      <c r="M85" s="39">
        <f>'BPJS TK'!F85</f>
        <v>0</v>
      </c>
      <c r="N85" s="39">
        <f>'BPJS TK'!H85</f>
        <v>0</v>
      </c>
      <c r="O85" s="39">
        <f>'BPJS KES'!D85</f>
        <v>0</v>
      </c>
      <c r="P85" s="39">
        <f t="shared" si="15"/>
        <v>0</v>
      </c>
      <c r="Q85" s="39">
        <f t="shared" si="16"/>
        <v>0</v>
      </c>
      <c r="R85" s="39">
        <f>'BPJS TK'!G85</f>
        <v>0</v>
      </c>
      <c r="S85" s="39">
        <f>'BPJS TK'!I85</f>
        <v>0</v>
      </c>
      <c r="T85" s="39">
        <f>'BPJS KES'!E85</f>
        <v>0</v>
      </c>
      <c r="U85" s="40">
        <f>'PPH PSL 21 - GROSS (MULAI 2024)'!L85</f>
        <v>0</v>
      </c>
      <c r="V85" s="41">
        <f t="shared" si="17"/>
        <v>0</v>
      </c>
      <c r="W85" s="49">
        <f t="shared" si="13"/>
        <v>0</v>
      </c>
      <c r="X85" s="197"/>
    </row>
    <row r="86" spans="1:25">
      <c r="A86" s="23" t="str">
        <f>IF('TENAGA KERJA'!A85=0,"",'TENAGA KERJA'!A85)</f>
        <v/>
      </c>
      <c r="B86" s="28" t="str">
        <f>IF('TENAGA KERJA'!B85=0,"",'TENAGA KERJA'!B85)</f>
        <v/>
      </c>
      <c r="C86" s="23" t="str">
        <f>IF('TENAGA KERJA'!C85=0,"",'TENAGA KERJA'!C85)</f>
        <v/>
      </c>
      <c r="D86" s="23" t="str">
        <f>IF('TENAGA KERJA'!D85=0,"",'TENAGA KERJA'!D85)</f>
        <v/>
      </c>
      <c r="E86" s="23" t="str">
        <f>IF('TENAGA KERJA'!E85=0,"",'TENAGA KERJA'!E85)</f>
        <v/>
      </c>
      <c r="F86" s="39">
        <f>'TENAGA KERJA'!K85</f>
        <v>0</v>
      </c>
      <c r="G86" s="40">
        <f>'TENAGA KERJA'!L85</f>
        <v>0</v>
      </c>
      <c r="H86" s="40">
        <f>'TENAGA KERJA'!M85</f>
        <v>0</v>
      </c>
      <c r="I86" s="39">
        <f>'TENAGA KERJA'!N85</f>
        <v>0</v>
      </c>
      <c r="J86" s="39">
        <f t="shared" si="14"/>
        <v>0</v>
      </c>
      <c r="K86" s="39">
        <f>'BPJS TK'!D86</f>
        <v>0</v>
      </c>
      <c r="L86" s="39">
        <f>'BPJS TK'!E86</f>
        <v>0</v>
      </c>
      <c r="M86" s="39">
        <f>'BPJS TK'!F86</f>
        <v>0</v>
      </c>
      <c r="N86" s="39">
        <f>'BPJS TK'!H86</f>
        <v>0</v>
      </c>
      <c r="O86" s="39">
        <f>'BPJS KES'!D86</f>
        <v>0</v>
      </c>
      <c r="P86" s="39">
        <f t="shared" si="15"/>
        <v>0</v>
      </c>
      <c r="Q86" s="39">
        <f t="shared" si="16"/>
        <v>0</v>
      </c>
      <c r="R86" s="39">
        <f>'BPJS TK'!G86</f>
        <v>0</v>
      </c>
      <c r="S86" s="39">
        <f>'BPJS TK'!I86</f>
        <v>0</v>
      </c>
      <c r="T86" s="39">
        <f>'BPJS KES'!E86</f>
        <v>0</v>
      </c>
      <c r="U86" s="40">
        <f>'PPH PSL 21 - GROSS (MULAI 2024)'!L86</f>
        <v>0</v>
      </c>
      <c r="V86" s="41">
        <f t="shared" si="17"/>
        <v>0</v>
      </c>
      <c r="W86" s="49">
        <f t="shared" si="13"/>
        <v>0</v>
      </c>
      <c r="X86" s="197"/>
    </row>
    <row r="87" spans="1:25">
      <c r="A87" s="23" t="str">
        <f>IF('TENAGA KERJA'!A86=0,"",'TENAGA KERJA'!A86)</f>
        <v/>
      </c>
      <c r="B87" s="28" t="str">
        <f>IF('TENAGA KERJA'!B86=0,"",'TENAGA KERJA'!B86)</f>
        <v/>
      </c>
      <c r="C87" s="23" t="str">
        <f>IF('TENAGA KERJA'!C86=0,"",'TENAGA KERJA'!C86)</f>
        <v/>
      </c>
      <c r="D87" s="23" t="str">
        <f>IF('TENAGA KERJA'!D86=0,"",'TENAGA KERJA'!D86)</f>
        <v/>
      </c>
      <c r="E87" s="23" t="str">
        <f>IF('TENAGA KERJA'!E86=0,"",'TENAGA KERJA'!E86)</f>
        <v/>
      </c>
      <c r="F87" s="39">
        <f>'TENAGA KERJA'!K86</f>
        <v>0</v>
      </c>
      <c r="G87" s="40">
        <f>'TENAGA KERJA'!L86</f>
        <v>0</v>
      </c>
      <c r="H87" s="40">
        <f>'TENAGA KERJA'!M86</f>
        <v>0</v>
      </c>
      <c r="I87" s="39">
        <f>'TENAGA KERJA'!N86</f>
        <v>0</v>
      </c>
      <c r="J87" s="39">
        <f t="shared" si="14"/>
        <v>0</v>
      </c>
      <c r="K87" s="39">
        <f>'BPJS TK'!D87</f>
        <v>0</v>
      </c>
      <c r="L87" s="39">
        <f>'BPJS TK'!E87</f>
        <v>0</v>
      </c>
      <c r="M87" s="39">
        <f>'BPJS TK'!F87</f>
        <v>0</v>
      </c>
      <c r="N87" s="39">
        <f>'BPJS TK'!H87</f>
        <v>0</v>
      </c>
      <c r="O87" s="39">
        <f>'BPJS KES'!D87</f>
        <v>0</v>
      </c>
      <c r="P87" s="39">
        <f t="shared" si="15"/>
        <v>0</v>
      </c>
      <c r="Q87" s="39">
        <f t="shared" si="16"/>
        <v>0</v>
      </c>
      <c r="R87" s="39">
        <f>'BPJS TK'!G87</f>
        <v>0</v>
      </c>
      <c r="S87" s="39">
        <f>'BPJS TK'!I87</f>
        <v>0</v>
      </c>
      <c r="T87" s="39">
        <f>'BPJS KES'!E87</f>
        <v>0</v>
      </c>
      <c r="U87" s="40">
        <f>'PPH PSL 21 - GROSS (MULAI 2024)'!L87</f>
        <v>0</v>
      </c>
      <c r="V87" s="41">
        <f t="shared" si="17"/>
        <v>0</v>
      </c>
      <c r="W87" s="49">
        <f t="shared" si="13"/>
        <v>0</v>
      </c>
      <c r="X87" s="197"/>
    </row>
    <row r="88" spans="1:25">
      <c r="A88" s="23" t="str">
        <f>IF('TENAGA KERJA'!A87=0,"",'TENAGA KERJA'!A87)</f>
        <v/>
      </c>
      <c r="B88" s="28" t="str">
        <f>IF('TENAGA KERJA'!B87=0,"",'TENAGA KERJA'!B87)</f>
        <v/>
      </c>
      <c r="C88" s="23" t="str">
        <f>IF('TENAGA KERJA'!C87=0,"",'TENAGA KERJA'!C87)</f>
        <v/>
      </c>
      <c r="D88" s="23" t="str">
        <f>IF('TENAGA KERJA'!D87=0,"",'TENAGA KERJA'!D87)</f>
        <v/>
      </c>
      <c r="E88" s="23" t="str">
        <f>IF('TENAGA KERJA'!E87=0,"",'TENAGA KERJA'!E87)</f>
        <v/>
      </c>
      <c r="F88" s="39">
        <f>'TENAGA KERJA'!K87</f>
        <v>0</v>
      </c>
      <c r="G88" s="40">
        <f>'TENAGA KERJA'!L87</f>
        <v>0</v>
      </c>
      <c r="H88" s="40">
        <f>'TENAGA KERJA'!M87</f>
        <v>0</v>
      </c>
      <c r="I88" s="39">
        <f>'TENAGA KERJA'!N87</f>
        <v>0</v>
      </c>
      <c r="J88" s="39">
        <f t="shared" si="14"/>
        <v>0</v>
      </c>
      <c r="K88" s="39">
        <f>'BPJS TK'!D88</f>
        <v>0</v>
      </c>
      <c r="L88" s="39">
        <f>'BPJS TK'!E88</f>
        <v>0</v>
      </c>
      <c r="M88" s="39">
        <f>'BPJS TK'!F88</f>
        <v>0</v>
      </c>
      <c r="N88" s="39">
        <f>'BPJS TK'!H88</f>
        <v>0</v>
      </c>
      <c r="O88" s="39">
        <f>'BPJS KES'!D88</f>
        <v>0</v>
      </c>
      <c r="P88" s="39">
        <f t="shared" si="15"/>
        <v>0</v>
      </c>
      <c r="Q88" s="39">
        <f t="shared" si="16"/>
        <v>0</v>
      </c>
      <c r="R88" s="39">
        <f>'BPJS TK'!G88</f>
        <v>0</v>
      </c>
      <c r="S88" s="39">
        <f>'BPJS TK'!I88</f>
        <v>0</v>
      </c>
      <c r="T88" s="39">
        <f>'BPJS KES'!E88</f>
        <v>0</v>
      </c>
      <c r="U88" s="40">
        <f>'PPH PSL 21 - GROSS (MULAI 2024)'!L88</f>
        <v>0</v>
      </c>
      <c r="V88" s="41">
        <f t="shared" si="17"/>
        <v>0</v>
      </c>
      <c r="W88" s="49">
        <f t="shared" si="13"/>
        <v>0</v>
      </c>
      <c r="X88" s="197"/>
      <c r="Y88" s="52"/>
    </row>
    <row r="89" spans="1:25">
      <c r="A89" s="23" t="str">
        <f>IF('TENAGA KERJA'!A88=0,"",'TENAGA KERJA'!A88)</f>
        <v/>
      </c>
      <c r="B89" s="28" t="str">
        <f>IF('TENAGA KERJA'!B88=0,"",'TENAGA KERJA'!B88)</f>
        <v/>
      </c>
      <c r="C89" s="23" t="str">
        <f>IF('TENAGA KERJA'!C88=0,"",'TENAGA KERJA'!C88)</f>
        <v/>
      </c>
      <c r="D89" s="23" t="str">
        <f>IF('TENAGA KERJA'!D88=0,"",'TENAGA KERJA'!D88)</f>
        <v/>
      </c>
      <c r="E89" s="23" t="str">
        <f>IF('TENAGA KERJA'!E88=0,"",'TENAGA KERJA'!E88)</f>
        <v/>
      </c>
      <c r="F89" s="39">
        <f>'TENAGA KERJA'!K88</f>
        <v>0</v>
      </c>
      <c r="G89" s="40">
        <f>'TENAGA KERJA'!L88</f>
        <v>0</v>
      </c>
      <c r="H89" s="40">
        <f>'TENAGA KERJA'!M88</f>
        <v>0</v>
      </c>
      <c r="I89" s="39">
        <f>'TENAGA KERJA'!N88</f>
        <v>0</v>
      </c>
      <c r="J89" s="39">
        <f t="shared" si="14"/>
        <v>0</v>
      </c>
      <c r="K89" s="39">
        <f>'BPJS TK'!D89</f>
        <v>0</v>
      </c>
      <c r="L89" s="39">
        <f>'BPJS TK'!E89</f>
        <v>0</v>
      </c>
      <c r="M89" s="39">
        <f>'BPJS TK'!F89</f>
        <v>0</v>
      </c>
      <c r="N89" s="39">
        <f>'BPJS TK'!H89</f>
        <v>0</v>
      </c>
      <c r="O89" s="39">
        <f>'BPJS KES'!D89</f>
        <v>0</v>
      </c>
      <c r="P89" s="39">
        <f t="shared" si="15"/>
        <v>0</v>
      </c>
      <c r="Q89" s="39">
        <f t="shared" si="16"/>
        <v>0</v>
      </c>
      <c r="R89" s="39">
        <f>'BPJS TK'!G89</f>
        <v>0</v>
      </c>
      <c r="S89" s="39">
        <f>'BPJS TK'!I89</f>
        <v>0</v>
      </c>
      <c r="T89" s="39">
        <f>'BPJS KES'!E89</f>
        <v>0</v>
      </c>
      <c r="U89" s="40">
        <f>'PPH PSL 21 - GROSS (MULAI 2024)'!L89</f>
        <v>0</v>
      </c>
      <c r="V89" s="41">
        <f t="shared" si="17"/>
        <v>0</v>
      </c>
      <c r="W89" s="49">
        <f t="shared" si="13"/>
        <v>0</v>
      </c>
      <c r="X89" s="197"/>
    </row>
    <row r="90" spans="1:25">
      <c r="A90" s="23" t="str">
        <f>IF('TENAGA KERJA'!A89=0,"",'TENAGA KERJA'!A89)</f>
        <v/>
      </c>
      <c r="B90" s="28" t="str">
        <f>IF('TENAGA KERJA'!B89=0,"",'TENAGA KERJA'!B89)</f>
        <v/>
      </c>
      <c r="C90" s="23" t="str">
        <f>IF('TENAGA KERJA'!C89=0,"",'TENAGA KERJA'!C89)</f>
        <v/>
      </c>
      <c r="D90" s="23" t="str">
        <f>IF('TENAGA KERJA'!D89=0,"",'TENAGA KERJA'!D89)</f>
        <v/>
      </c>
      <c r="E90" s="23" t="str">
        <f>IF('TENAGA KERJA'!E89=0,"",'TENAGA KERJA'!E89)</f>
        <v/>
      </c>
      <c r="F90" s="39">
        <f>'TENAGA KERJA'!K89</f>
        <v>0</v>
      </c>
      <c r="G90" s="40">
        <f>'TENAGA KERJA'!L89</f>
        <v>0</v>
      </c>
      <c r="H90" s="40">
        <f>'TENAGA KERJA'!M89</f>
        <v>0</v>
      </c>
      <c r="I90" s="39">
        <f>'TENAGA KERJA'!N89</f>
        <v>0</v>
      </c>
      <c r="J90" s="39">
        <f t="shared" si="14"/>
        <v>0</v>
      </c>
      <c r="K90" s="39">
        <f>'BPJS TK'!D90</f>
        <v>0</v>
      </c>
      <c r="L90" s="39">
        <f>'BPJS TK'!E90</f>
        <v>0</v>
      </c>
      <c r="M90" s="39">
        <f>'BPJS TK'!F90</f>
        <v>0</v>
      </c>
      <c r="N90" s="39">
        <f>'BPJS TK'!H90</f>
        <v>0</v>
      </c>
      <c r="O90" s="39">
        <f>'BPJS KES'!D90</f>
        <v>0</v>
      </c>
      <c r="P90" s="39">
        <f t="shared" si="15"/>
        <v>0</v>
      </c>
      <c r="Q90" s="39">
        <f t="shared" si="16"/>
        <v>0</v>
      </c>
      <c r="R90" s="39">
        <f>'BPJS TK'!G90</f>
        <v>0</v>
      </c>
      <c r="S90" s="39">
        <f>'BPJS TK'!I90</f>
        <v>0</v>
      </c>
      <c r="T90" s="39">
        <f>'BPJS KES'!E90</f>
        <v>0</v>
      </c>
      <c r="U90" s="40">
        <f>'PPH PSL 21 - GROSS (MULAI 2024)'!L90</f>
        <v>0</v>
      </c>
      <c r="V90" s="41">
        <f t="shared" si="17"/>
        <v>0</v>
      </c>
      <c r="W90" s="49">
        <f t="shared" si="13"/>
        <v>0</v>
      </c>
      <c r="X90" s="197"/>
    </row>
    <row r="91" spans="1:25">
      <c r="A91" s="23" t="str">
        <f>IF('TENAGA KERJA'!A90=0,"",'TENAGA KERJA'!A90)</f>
        <v/>
      </c>
      <c r="B91" s="28" t="str">
        <f>IF('TENAGA KERJA'!B90=0,"",'TENAGA KERJA'!B90)</f>
        <v/>
      </c>
      <c r="C91" s="23" t="str">
        <f>IF('TENAGA KERJA'!C90=0,"",'TENAGA KERJA'!C90)</f>
        <v/>
      </c>
      <c r="D91" s="23" t="str">
        <f>IF('TENAGA KERJA'!D90=0,"",'TENAGA KERJA'!D90)</f>
        <v/>
      </c>
      <c r="E91" s="23" t="str">
        <f>IF('TENAGA KERJA'!E90=0,"",'TENAGA KERJA'!E90)</f>
        <v/>
      </c>
      <c r="F91" s="39">
        <f>'TENAGA KERJA'!K90</f>
        <v>0</v>
      </c>
      <c r="G91" s="40">
        <f>'TENAGA KERJA'!L90</f>
        <v>0</v>
      </c>
      <c r="H91" s="40">
        <f>'TENAGA KERJA'!M90</f>
        <v>0</v>
      </c>
      <c r="I91" s="39">
        <f>'TENAGA KERJA'!N90</f>
        <v>0</v>
      </c>
      <c r="J91" s="39">
        <f t="shared" si="14"/>
        <v>0</v>
      </c>
      <c r="K91" s="39">
        <f>'BPJS TK'!D91</f>
        <v>0</v>
      </c>
      <c r="L91" s="39">
        <f>'BPJS TK'!E91</f>
        <v>0</v>
      </c>
      <c r="M91" s="39">
        <f>'BPJS TK'!F91</f>
        <v>0</v>
      </c>
      <c r="N91" s="39">
        <f>'BPJS TK'!H91</f>
        <v>0</v>
      </c>
      <c r="O91" s="39">
        <f>'BPJS KES'!D91</f>
        <v>0</v>
      </c>
      <c r="P91" s="39">
        <f t="shared" si="15"/>
        <v>0</v>
      </c>
      <c r="Q91" s="39">
        <f t="shared" si="16"/>
        <v>0</v>
      </c>
      <c r="R91" s="39">
        <f>'BPJS TK'!G91</f>
        <v>0</v>
      </c>
      <c r="S91" s="39">
        <f>'BPJS TK'!I91</f>
        <v>0</v>
      </c>
      <c r="T91" s="39">
        <f>'BPJS KES'!E91</f>
        <v>0</v>
      </c>
      <c r="U91" s="40">
        <f>'PPH PSL 21 - GROSS (MULAI 2024)'!L91</f>
        <v>0</v>
      </c>
      <c r="V91" s="41">
        <f t="shared" si="17"/>
        <v>0</v>
      </c>
      <c r="W91" s="49">
        <f t="shared" si="13"/>
        <v>0</v>
      </c>
      <c r="X91" s="197"/>
    </row>
    <row r="92" spans="1:25">
      <c r="A92" s="23" t="str">
        <f>IF('TENAGA KERJA'!A91=0,"",'TENAGA KERJA'!A91)</f>
        <v/>
      </c>
      <c r="B92" s="28" t="str">
        <f>IF('TENAGA KERJA'!B91=0,"",'TENAGA KERJA'!B91)</f>
        <v/>
      </c>
      <c r="C92" s="23" t="str">
        <f>IF('TENAGA KERJA'!C91=0,"",'TENAGA KERJA'!C91)</f>
        <v/>
      </c>
      <c r="D92" s="23" t="str">
        <f>IF('TENAGA KERJA'!D91=0,"",'TENAGA KERJA'!D91)</f>
        <v/>
      </c>
      <c r="E92" s="23" t="str">
        <f>IF('TENAGA KERJA'!E91=0,"",'TENAGA KERJA'!E91)</f>
        <v/>
      </c>
      <c r="F92" s="39">
        <f>'TENAGA KERJA'!K91</f>
        <v>0</v>
      </c>
      <c r="G92" s="40">
        <f>'TENAGA KERJA'!L91</f>
        <v>0</v>
      </c>
      <c r="H92" s="40">
        <f>'TENAGA KERJA'!M91</f>
        <v>0</v>
      </c>
      <c r="I92" s="39">
        <f>'TENAGA KERJA'!N91</f>
        <v>0</v>
      </c>
      <c r="J92" s="39">
        <f t="shared" si="14"/>
        <v>0</v>
      </c>
      <c r="K92" s="39">
        <f>'BPJS TK'!D92</f>
        <v>0</v>
      </c>
      <c r="L92" s="39">
        <f>'BPJS TK'!E92</f>
        <v>0</v>
      </c>
      <c r="M92" s="39">
        <f>'BPJS TK'!F92</f>
        <v>0</v>
      </c>
      <c r="N92" s="39">
        <f>'BPJS TK'!H92</f>
        <v>0</v>
      </c>
      <c r="O92" s="39">
        <f>'BPJS KES'!D92</f>
        <v>0</v>
      </c>
      <c r="P92" s="39">
        <f t="shared" si="15"/>
        <v>0</v>
      </c>
      <c r="Q92" s="39">
        <f t="shared" si="16"/>
        <v>0</v>
      </c>
      <c r="R92" s="39">
        <f>'BPJS TK'!G92</f>
        <v>0</v>
      </c>
      <c r="S92" s="39">
        <f>'BPJS TK'!I92</f>
        <v>0</v>
      </c>
      <c r="T92" s="39">
        <f>'BPJS KES'!E92</f>
        <v>0</v>
      </c>
      <c r="U92" s="40">
        <f>'PPH PSL 21 - GROSS (MULAI 2024)'!L92</f>
        <v>0</v>
      </c>
      <c r="V92" s="41">
        <f t="shared" si="17"/>
        <v>0</v>
      </c>
      <c r="W92" s="49">
        <f t="shared" si="13"/>
        <v>0</v>
      </c>
      <c r="X92" s="197"/>
    </row>
    <row r="93" spans="1:25">
      <c r="A93" s="23" t="str">
        <f>IF('TENAGA KERJA'!A92=0,"",'TENAGA KERJA'!A92)</f>
        <v/>
      </c>
      <c r="B93" s="28" t="str">
        <f>IF('TENAGA KERJA'!B92=0,"",'TENAGA KERJA'!B92)</f>
        <v/>
      </c>
      <c r="C93" s="23" t="str">
        <f>IF('TENAGA KERJA'!C92=0,"",'TENAGA KERJA'!C92)</f>
        <v/>
      </c>
      <c r="D93" s="23" t="str">
        <f>IF('TENAGA KERJA'!D92=0,"",'TENAGA KERJA'!D92)</f>
        <v/>
      </c>
      <c r="E93" s="23" t="str">
        <f>IF('TENAGA KERJA'!E92=0,"",'TENAGA KERJA'!E92)</f>
        <v/>
      </c>
      <c r="F93" s="39">
        <f>'TENAGA KERJA'!K92</f>
        <v>0</v>
      </c>
      <c r="G93" s="40">
        <f>'TENAGA KERJA'!L92</f>
        <v>0</v>
      </c>
      <c r="H93" s="40">
        <f>'TENAGA KERJA'!M92</f>
        <v>0</v>
      </c>
      <c r="I93" s="39">
        <f>'TENAGA KERJA'!N92</f>
        <v>0</v>
      </c>
      <c r="J93" s="39">
        <f t="shared" si="14"/>
        <v>0</v>
      </c>
      <c r="K93" s="39">
        <f>'BPJS TK'!D93</f>
        <v>0</v>
      </c>
      <c r="L93" s="39">
        <f>'BPJS TK'!E93</f>
        <v>0</v>
      </c>
      <c r="M93" s="39">
        <f>'BPJS TK'!F93</f>
        <v>0</v>
      </c>
      <c r="N93" s="39">
        <f>'BPJS TK'!H93</f>
        <v>0</v>
      </c>
      <c r="O93" s="39">
        <f>'BPJS KES'!D93</f>
        <v>0</v>
      </c>
      <c r="P93" s="39">
        <f t="shared" si="15"/>
        <v>0</v>
      </c>
      <c r="Q93" s="39">
        <f t="shared" si="16"/>
        <v>0</v>
      </c>
      <c r="R93" s="39">
        <f>'BPJS TK'!G93</f>
        <v>0</v>
      </c>
      <c r="S93" s="39">
        <f>'BPJS TK'!I93</f>
        <v>0</v>
      </c>
      <c r="T93" s="39">
        <f>'BPJS KES'!E93</f>
        <v>0</v>
      </c>
      <c r="U93" s="40">
        <f>'PPH PSL 21 - GROSS (MULAI 2024)'!L93</f>
        <v>0</v>
      </c>
      <c r="V93" s="41">
        <f t="shared" si="17"/>
        <v>0</v>
      </c>
      <c r="W93" s="49">
        <f t="shared" si="13"/>
        <v>0</v>
      </c>
      <c r="X93" s="197"/>
    </row>
    <row r="94" spans="1:25">
      <c r="A94" s="23" t="str">
        <f>IF('TENAGA KERJA'!A93=0,"",'TENAGA KERJA'!A93)</f>
        <v/>
      </c>
      <c r="B94" s="28" t="str">
        <f>IF('TENAGA KERJA'!B93=0,"",'TENAGA KERJA'!B93)</f>
        <v/>
      </c>
      <c r="C94" s="23" t="str">
        <f>IF('TENAGA KERJA'!C93=0,"",'TENAGA KERJA'!C93)</f>
        <v/>
      </c>
      <c r="D94" s="23" t="str">
        <f>IF('TENAGA KERJA'!D93=0,"",'TENAGA KERJA'!D93)</f>
        <v/>
      </c>
      <c r="E94" s="23" t="str">
        <f>IF('TENAGA KERJA'!E93=0,"",'TENAGA KERJA'!E93)</f>
        <v/>
      </c>
      <c r="F94" s="39">
        <f>'TENAGA KERJA'!K93</f>
        <v>0</v>
      </c>
      <c r="G94" s="40">
        <f>'TENAGA KERJA'!L93</f>
        <v>0</v>
      </c>
      <c r="H94" s="40">
        <f>'TENAGA KERJA'!M93</f>
        <v>0</v>
      </c>
      <c r="I94" s="39">
        <f>'TENAGA KERJA'!N93</f>
        <v>0</v>
      </c>
      <c r="J94" s="39">
        <f t="shared" si="14"/>
        <v>0</v>
      </c>
      <c r="K94" s="39">
        <f>'BPJS TK'!D94</f>
        <v>0</v>
      </c>
      <c r="L94" s="39">
        <f>'BPJS TK'!E94</f>
        <v>0</v>
      </c>
      <c r="M94" s="39">
        <f>'BPJS TK'!F94</f>
        <v>0</v>
      </c>
      <c r="N94" s="39">
        <f>'BPJS TK'!H94</f>
        <v>0</v>
      </c>
      <c r="O94" s="39">
        <f>'BPJS KES'!D94</f>
        <v>0</v>
      </c>
      <c r="P94" s="39">
        <f t="shared" si="15"/>
        <v>0</v>
      </c>
      <c r="Q94" s="39">
        <f t="shared" si="16"/>
        <v>0</v>
      </c>
      <c r="R94" s="39">
        <f>'BPJS TK'!G94</f>
        <v>0</v>
      </c>
      <c r="S94" s="39">
        <f>'BPJS TK'!I94</f>
        <v>0</v>
      </c>
      <c r="T94" s="39">
        <f>'BPJS KES'!E94</f>
        <v>0</v>
      </c>
      <c r="U94" s="40">
        <f>'PPH PSL 21 - GROSS (MULAI 2024)'!L94</f>
        <v>0</v>
      </c>
      <c r="V94" s="41">
        <f t="shared" si="17"/>
        <v>0</v>
      </c>
      <c r="W94" s="49">
        <f t="shared" si="13"/>
        <v>0</v>
      </c>
      <c r="X94" s="197"/>
    </row>
    <row r="95" spans="1:25">
      <c r="A95" s="23" t="str">
        <f>IF('TENAGA KERJA'!A94=0,"",'TENAGA KERJA'!A94)</f>
        <v/>
      </c>
      <c r="B95" s="28" t="str">
        <f>IF('TENAGA KERJA'!B94=0,"",'TENAGA KERJA'!B94)</f>
        <v/>
      </c>
      <c r="C95" s="23" t="str">
        <f>IF('TENAGA KERJA'!C94=0,"",'TENAGA KERJA'!C94)</f>
        <v/>
      </c>
      <c r="D95" s="23" t="str">
        <f>IF('TENAGA KERJA'!D94=0,"",'TENAGA KERJA'!D94)</f>
        <v/>
      </c>
      <c r="E95" s="23" t="str">
        <f>IF('TENAGA KERJA'!E94=0,"",'TENAGA KERJA'!E94)</f>
        <v/>
      </c>
      <c r="F95" s="39">
        <f>'TENAGA KERJA'!K94</f>
        <v>0</v>
      </c>
      <c r="G95" s="40">
        <f>'TENAGA KERJA'!L94</f>
        <v>0</v>
      </c>
      <c r="H95" s="40">
        <f>'TENAGA KERJA'!M94</f>
        <v>0</v>
      </c>
      <c r="I95" s="39">
        <f>'TENAGA KERJA'!N94</f>
        <v>0</v>
      </c>
      <c r="J95" s="39">
        <f t="shared" si="14"/>
        <v>0</v>
      </c>
      <c r="K95" s="39">
        <f>'BPJS TK'!D95</f>
        <v>0</v>
      </c>
      <c r="L95" s="39">
        <f>'BPJS TK'!E95</f>
        <v>0</v>
      </c>
      <c r="M95" s="39">
        <f>'BPJS TK'!F95</f>
        <v>0</v>
      </c>
      <c r="N95" s="39">
        <f>'BPJS TK'!H95</f>
        <v>0</v>
      </c>
      <c r="O95" s="39">
        <f>'BPJS KES'!D95</f>
        <v>0</v>
      </c>
      <c r="P95" s="39">
        <f t="shared" si="15"/>
        <v>0</v>
      </c>
      <c r="Q95" s="39">
        <f t="shared" si="16"/>
        <v>0</v>
      </c>
      <c r="R95" s="39">
        <f>'BPJS TK'!G95</f>
        <v>0</v>
      </c>
      <c r="S95" s="39">
        <f>'BPJS TK'!I95</f>
        <v>0</v>
      </c>
      <c r="T95" s="39">
        <f>'BPJS KES'!E95</f>
        <v>0</v>
      </c>
      <c r="U95" s="40">
        <f>'PPH PSL 21 - GROSS (MULAI 2024)'!L95</f>
        <v>0</v>
      </c>
      <c r="V95" s="41">
        <f t="shared" si="17"/>
        <v>0</v>
      </c>
      <c r="W95" s="49">
        <f t="shared" si="13"/>
        <v>0</v>
      </c>
      <c r="X95" s="197"/>
    </row>
    <row r="96" spans="1:25">
      <c r="A96" s="23" t="str">
        <f>IF('TENAGA KERJA'!A95=0,"",'TENAGA KERJA'!A95)</f>
        <v/>
      </c>
      <c r="B96" s="28" t="str">
        <f>IF('TENAGA KERJA'!B95=0,"",'TENAGA KERJA'!B95)</f>
        <v/>
      </c>
      <c r="C96" s="23" t="str">
        <f>IF('TENAGA KERJA'!C95=0,"",'TENAGA KERJA'!C95)</f>
        <v/>
      </c>
      <c r="D96" s="23" t="str">
        <f>IF('TENAGA KERJA'!D95=0,"",'TENAGA KERJA'!D95)</f>
        <v/>
      </c>
      <c r="E96" s="23" t="str">
        <f>IF('TENAGA KERJA'!E95=0,"",'TENAGA KERJA'!E95)</f>
        <v/>
      </c>
      <c r="F96" s="39">
        <f>'TENAGA KERJA'!K95</f>
        <v>0</v>
      </c>
      <c r="G96" s="40">
        <f>'TENAGA KERJA'!L95</f>
        <v>0</v>
      </c>
      <c r="H96" s="40">
        <f>'TENAGA KERJA'!M95</f>
        <v>0</v>
      </c>
      <c r="I96" s="39">
        <f>'TENAGA KERJA'!N95</f>
        <v>0</v>
      </c>
      <c r="J96" s="39">
        <f t="shared" si="14"/>
        <v>0</v>
      </c>
      <c r="K96" s="39">
        <f>'BPJS TK'!D96</f>
        <v>0</v>
      </c>
      <c r="L96" s="39">
        <f>'BPJS TK'!E96</f>
        <v>0</v>
      </c>
      <c r="M96" s="39">
        <f>'BPJS TK'!F96</f>
        <v>0</v>
      </c>
      <c r="N96" s="39">
        <f>'BPJS TK'!H96</f>
        <v>0</v>
      </c>
      <c r="O96" s="39">
        <f>'BPJS KES'!D96</f>
        <v>0</v>
      </c>
      <c r="P96" s="39">
        <f t="shared" si="15"/>
        <v>0</v>
      </c>
      <c r="Q96" s="39">
        <f t="shared" si="16"/>
        <v>0</v>
      </c>
      <c r="R96" s="39">
        <f>'BPJS TK'!G96</f>
        <v>0</v>
      </c>
      <c r="S96" s="39">
        <f>'BPJS TK'!I96</f>
        <v>0</v>
      </c>
      <c r="T96" s="39">
        <f>'BPJS KES'!E96</f>
        <v>0</v>
      </c>
      <c r="U96" s="40">
        <f>'PPH PSL 21 - GROSS (MULAI 2024)'!L96</f>
        <v>0</v>
      </c>
      <c r="V96" s="41">
        <f t="shared" si="17"/>
        <v>0</v>
      </c>
      <c r="W96" s="49">
        <f t="shared" si="13"/>
        <v>0</v>
      </c>
      <c r="X96" s="197"/>
    </row>
    <row r="97" spans="1:26">
      <c r="A97" s="23" t="str">
        <f>IF('TENAGA KERJA'!A96=0,"",'TENAGA KERJA'!A96)</f>
        <v/>
      </c>
      <c r="B97" s="28" t="str">
        <f>IF('TENAGA KERJA'!B96=0,"",'TENAGA KERJA'!B96)</f>
        <v/>
      </c>
      <c r="C97" s="23" t="str">
        <f>IF('TENAGA KERJA'!C96=0,"",'TENAGA KERJA'!C96)</f>
        <v/>
      </c>
      <c r="D97" s="23" t="str">
        <f>IF('TENAGA KERJA'!D96=0,"",'TENAGA KERJA'!D96)</f>
        <v/>
      </c>
      <c r="E97" s="23" t="str">
        <f>IF('TENAGA KERJA'!E96=0,"",'TENAGA KERJA'!E96)</f>
        <v/>
      </c>
      <c r="F97" s="39">
        <f>'TENAGA KERJA'!K96</f>
        <v>0</v>
      </c>
      <c r="G97" s="40">
        <f>'TENAGA KERJA'!L96</f>
        <v>0</v>
      </c>
      <c r="H97" s="40">
        <f>'TENAGA KERJA'!M96</f>
        <v>0</v>
      </c>
      <c r="I97" s="39">
        <f>'TENAGA KERJA'!N96</f>
        <v>0</v>
      </c>
      <c r="J97" s="39">
        <f t="shared" si="14"/>
        <v>0</v>
      </c>
      <c r="K97" s="39">
        <f>'BPJS TK'!D97</f>
        <v>0</v>
      </c>
      <c r="L97" s="39">
        <f>'BPJS TK'!E97</f>
        <v>0</v>
      </c>
      <c r="M97" s="39">
        <f>'BPJS TK'!F97</f>
        <v>0</v>
      </c>
      <c r="N97" s="39">
        <f>'BPJS TK'!H97</f>
        <v>0</v>
      </c>
      <c r="O97" s="39">
        <f>'BPJS KES'!D97</f>
        <v>0</v>
      </c>
      <c r="P97" s="39">
        <f t="shared" si="15"/>
        <v>0</v>
      </c>
      <c r="Q97" s="39">
        <f t="shared" si="16"/>
        <v>0</v>
      </c>
      <c r="R97" s="39">
        <f>'BPJS TK'!G97</f>
        <v>0</v>
      </c>
      <c r="S97" s="39">
        <f>'BPJS TK'!I97</f>
        <v>0</v>
      </c>
      <c r="T97" s="39">
        <f>'BPJS KES'!E97</f>
        <v>0</v>
      </c>
      <c r="U97" s="40">
        <f>'PPH PSL 21 - GROSS (MULAI 2024)'!L97</f>
        <v>0</v>
      </c>
      <c r="V97" s="41">
        <f t="shared" si="17"/>
        <v>0</v>
      </c>
      <c r="W97" s="49">
        <f t="shared" si="13"/>
        <v>0</v>
      </c>
      <c r="X97" s="197"/>
      <c r="Y97" s="52"/>
      <c r="Z97" s="52"/>
    </row>
    <row r="98" spans="1:26">
      <c r="A98" s="23" t="str">
        <f>IF('TENAGA KERJA'!A97=0,"",'TENAGA KERJA'!A97)</f>
        <v/>
      </c>
      <c r="B98" s="28" t="str">
        <f>IF('TENAGA KERJA'!B97=0,"",'TENAGA KERJA'!B97)</f>
        <v/>
      </c>
      <c r="C98" s="23" t="str">
        <f>IF('TENAGA KERJA'!C97=0,"",'TENAGA KERJA'!C97)</f>
        <v/>
      </c>
      <c r="D98" s="23" t="str">
        <f>IF('TENAGA KERJA'!D97=0,"",'TENAGA KERJA'!D97)</f>
        <v/>
      </c>
      <c r="E98" s="23" t="str">
        <f>IF('TENAGA KERJA'!E97=0,"",'TENAGA KERJA'!E97)</f>
        <v/>
      </c>
      <c r="F98" s="39">
        <f>'TENAGA KERJA'!K97</f>
        <v>0</v>
      </c>
      <c r="G98" s="40">
        <f>'TENAGA KERJA'!L97</f>
        <v>0</v>
      </c>
      <c r="H98" s="40">
        <f>'TENAGA KERJA'!M97</f>
        <v>0</v>
      </c>
      <c r="I98" s="39">
        <f>'TENAGA KERJA'!N97</f>
        <v>0</v>
      </c>
      <c r="J98" s="39">
        <f t="shared" si="14"/>
        <v>0</v>
      </c>
      <c r="K98" s="39">
        <f>'BPJS TK'!D98</f>
        <v>0</v>
      </c>
      <c r="L98" s="39">
        <f>'BPJS TK'!E98</f>
        <v>0</v>
      </c>
      <c r="M98" s="39">
        <f>'BPJS TK'!F98</f>
        <v>0</v>
      </c>
      <c r="N98" s="39">
        <f>'BPJS TK'!H98</f>
        <v>0</v>
      </c>
      <c r="O98" s="39">
        <f>'BPJS KES'!D98</f>
        <v>0</v>
      </c>
      <c r="P98" s="39">
        <f t="shared" si="15"/>
        <v>0</v>
      </c>
      <c r="Q98" s="39">
        <f t="shared" si="16"/>
        <v>0</v>
      </c>
      <c r="R98" s="39">
        <f>'BPJS TK'!G98</f>
        <v>0</v>
      </c>
      <c r="S98" s="39">
        <f>'BPJS TK'!I98</f>
        <v>0</v>
      </c>
      <c r="T98" s="39">
        <f>'BPJS KES'!E98</f>
        <v>0</v>
      </c>
      <c r="U98" s="40">
        <f>'PPH PSL 21 - GROSS (MULAI 2024)'!L98</f>
        <v>0</v>
      </c>
      <c r="V98" s="41">
        <f t="shared" si="17"/>
        <v>0</v>
      </c>
      <c r="W98" s="49">
        <f t="shared" si="13"/>
        <v>0</v>
      </c>
      <c r="X98" s="197"/>
    </row>
    <row r="99" spans="1:26">
      <c r="A99" s="23" t="str">
        <f>IF('TENAGA KERJA'!A98=0,"",'TENAGA KERJA'!A98)</f>
        <v/>
      </c>
      <c r="B99" s="28" t="str">
        <f>IF('TENAGA KERJA'!B98=0,"",'TENAGA KERJA'!B98)</f>
        <v/>
      </c>
      <c r="C99" s="23" t="str">
        <f>IF('TENAGA KERJA'!C98=0,"",'TENAGA KERJA'!C98)</f>
        <v/>
      </c>
      <c r="D99" s="23" t="str">
        <f>IF('TENAGA KERJA'!D98=0,"",'TENAGA KERJA'!D98)</f>
        <v/>
      </c>
      <c r="E99" s="23" t="str">
        <f>IF('TENAGA KERJA'!E98=0,"",'TENAGA KERJA'!E98)</f>
        <v/>
      </c>
      <c r="F99" s="39">
        <f>'TENAGA KERJA'!K98</f>
        <v>0</v>
      </c>
      <c r="G99" s="40">
        <f>'TENAGA KERJA'!L98</f>
        <v>0</v>
      </c>
      <c r="H99" s="40">
        <f>'TENAGA KERJA'!M98</f>
        <v>0</v>
      </c>
      <c r="I99" s="39">
        <f>'TENAGA KERJA'!N98</f>
        <v>0</v>
      </c>
      <c r="J99" s="39">
        <f t="shared" si="14"/>
        <v>0</v>
      </c>
      <c r="K99" s="39">
        <f>'BPJS TK'!D99</f>
        <v>16832.899300000001</v>
      </c>
      <c r="L99" s="39">
        <f>'BPJS TK'!E99</f>
        <v>5674.0110000000004</v>
      </c>
      <c r="M99" s="39">
        <f>'BPJS TK'!F99</f>
        <v>69979.468999999997</v>
      </c>
      <c r="N99" s="39">
        <f>'BPJS TK'!H99</f>
        <v>0</v>
      </c>
      <c r="O99" s="39">
        <f>'BPJS KES'!D99</f>
        <v>175653.48</v>
      </c>
      <c r="P99" s="39">
        <f t="shared" si="15"/>
        <v>268139.85930000001</v>
      </c>
      <c r="Q99" s="39">
        <f t="shared" si="16"/>
        <v>268139.85930000001</v>
      </c>
      <c r="R99" s="39">
        <f>'BPJS TK'!G99</f>
        <v>37826.74</v>
      </c>
      <c r="S99" s="39">
        <f>'BPJS TK'!I99</f>
        <v>0</v>
      </c>
      <c r="T99" s="39">
        <f>'BPJS KES'!E99</f>
        <v>43913.37</v>
      </c>
      <c r="U99" s="40">
        <f>'PPH PSL 21 - GROSS (MULAI 2024)'!L99</f>
        <v>0</v>
      </c>
      <c r="V99" s="41">
        <f t="shared" si="17"/>
        <v>81740.11</v>
      </c>
      <c r="W99" s="49">
        <f t="shared" si="13"/>
        <v>-81740.11</v>
      </c>
      <c r="X99" s="197">
        <f>X100+W185+W179+W180+W181-W179</f>
        <v>2336519.7800000003</v>
      </c>
    </row>
    <row r="100" spans="1:26">
      <c r="A100" s="23" t="str">
        <f>IF('TENAGA KERJA'!A99=0,"",'TENAGA KERJA'!A99)</f>
        <v/>
      </c>
      <c r="B100" s="28" t="str">
        <f>IF('TENAGA KERJA'!B99=0,"",'TENAGA KERJA'!B99)</f>
        <v/>
      </c>
      <c r="C100" s="23" t="str">
        <f>IF('TENAGA KERJA'!C99=0,"",'TENAGA KERJA'!C99)</f>
        <v/>
      </c>
      <c r="D100" s="23" t="str">
        <f>IF('TENAGA KERJA'!D99=0,"",'TENAGA KERJA'!D99)</f>
        <v/>
      </c>
      <c r="E100" s="23" t="str">
        <f>IF('TENAGA KERJA'!E99=0,"",'TENAGA KERJA'!E99)</f>
        <v/>
      </c>
      <c r="F100" s="39">
        <f>'TENAGA KERJA'!K99</f>
        <v>0</v>
      </c>
      <c r="G100" s="40">
        <f>'TENAGA KERJA'!L99</f>
        <v>0</v>
      </c>
      <c r="H100" s="40">
        <f>'TENAGA KERJA'!M99</f>
        <v>0</v>
      </c>
      <c r="I100" s="39"/>
      <c r="J100" s="39">
        <f t="shared" si="14"/>
        <v>0</v>
      </c>
      <c r="K100" s="39">
        <f>'BPJS TK'!D100</f>
        <v>0</v>
      </c>
      <c r="L100" s="39">
        <f>'BPJS TK'!E100</f>
        <v>0</v>
      </c>
      <c r="M100" s="39">
        <f>'BPJS TK'!F100</f>
        <v>0</v>
      </c>
      <c r="N100" s="39">
        <f>'BPJS TK'!H100</f>
        <v>0</v>
      </c>
      <c r="O100" s="39">
        <f>'BPJS KES'!D100</f>
        <v>0</v>
      </c>
      <c r="P100" s="39">
        <f t="shared" si="15"/>
        <v>0</v>
      </c>
      <c r="Q100" s="39">
        <f t="shared" si="16"/>
        <v>0</v>
      </c>
      <c r="R100" s="39">
        <f>'BPJS TK'!G100</f>
        <v>0</v>
      </c>
      <c r="S100" s="39">
        <f>'BPJS TK'!I100</f>
        <v>0</v>
      </c>
      <c r="T100" s="39">
        <f>'BPJS KES'!E100</f>
        <v>0</v>
      </c>
      <c r="U100" s="40">
        <f>'PPH PSL 21 - GROSS (MULAI 2024)'!L100</f>
        <v>0</v>
      </c>
      <c r="V100" s="41">
        <f t="shared" si="17"/>
        <v>0</v>
      </c>
      <c r="W100" s="49">
        <f t="shared" si="13"/>
        <v>0</v>
      </c>
      <c r="X100" s="197">
        <f>SUM(W29:W99)+W168</f>
        <v>2336519.7800000003</v>
      </c>
      <c r="Y100" s="52"/>
    </row>
    <row r="101" spans="1:26">
      <c r="A101" s="23" t="str">
        <f>IF('TENAGA KERJA'!A100=0,"",'TENAGA KERJA'!A100)</f>
        <v/>
      </c>
      <c r="B101" s="28" t="str">
        <f>IF('TENAGA KERJA'!B100=0,"",'TENAGA KERJA'!B100)</f>
        <v/>
      </c>
      <c r="C101" s="23" t="str">
        <f>IF('TENAGA KERJA'!C100=0,"",'TENAGA KERJA'!C100)</f>
        <v/>
      </c>
      <c r="D101" s="23" t="str">
        <f>IF('TENAGA KERJA'!D100=0,"",'TENAGA KERJA'!D100)</f>
        <v/>
      </c>
      <c r="E101" s="23" t="str">
        <f>IF('TENAGA KERJA'!E100=0,"",'TENAGA KERJA'!E100)</f>
        <v/>
      </c>
      <c r="F101" s="39">
        <f>'TENAGA KERJA'!K100</f>
        <v>0</v>
      </c>
      <c r="G101" s="40">
        <f>'TENAGA KERJA'!L100</f>
        <v>0</v>
      </c>
      <c r="H101" s="40">
        <f>'TENAGA KERJA'!M100</f>
        <v>0</v>
      </c>
      <c r="I101" s="39">
        <f>'TENAGA KERJA'!N100</f>
        <v>0</v>
      </c>
      <c r="J101" s="39">
        <f t="shared" si="14"/>
        <v>0</v>
      </c>
      <c r="K101" s="39">
        <f>'BPJS TK'!D101</f>
        <v>0</v>
      </c>
      <c r="L101" s="39">
        <f>'BPJS TK'!E101</f>
        <v>0</v>
      </c>
      <c r="M101" s="39">
        <f>'BPJS TK'!F101</f>
        <v>0</v>
      </c>
      <c r="N101" s="39">
        <f>'BPJS TK'!H101</f>
        <v>0</v>
      </c>
      <c r="O101" s="39">
        <f>'BPJS KES'!D101</f>
        <v>0</v>
      </c>
      <c r="P101" s="39">
        <f t="shared" si="15"/>
        <v>0</v>
      </c>
      <c r="Q101" s="39">
        <f t="shared" si="16"/>
        <v>0</v>
      </c>
      <c r="R101" s="39">
        <f>'BPJS TK'!G101</f>
        <v>0</v>
      </c>
      <c r="S101" s="39">
        <f>'BPJS TK'!I101</f>
        <v>0</v>
      </c>
      <c r="T101" s="39">
        <f>'BPJS KES'!E101</f>
        <v>0</v>
      </c>
      <c r="U101" s="40">
        <f>'PPH PSL 21 - GROSS (MULAI 2024)'!L101</f>
        <v>0</v>
      </c>
      <c r="V101" s="41">
        <f t="shared" si="17"/>
        <v>0</v>
      </c>
      <c r="W101" s="49">
        <f t="shared" si="13"/>
        <v>0</v>
      </c>
      <c r="X101" s="197">
        <v>437618644.10364544</v>
      </c>
    </row>
    <row r="102" spans="1:26">
      <c r="A102" s="23" t="str">
        <f>IF('TENAGA KERJA'!A101=0,"",'TENAGA KERJA'!A101)</f>
        <v/>
      </c>
      <c r="B102" s="28" t="str">
        <f>IF('TENAGA KERJA'!B101=0,"",'TENAGA KERJA'!B101)</f>
        <v/>
      </c>
      <c r="C102" s="23" t="str">
        <f>IF('TENAGA KERJA'!C101=0,"",'TENAGA KERJA'!C101)</f>
        <v/>
      </c>
      <c r="D102" s="23" t="str">
        <f>IF('TENAGA KERJA'!D101=0,"",'TENAGA KERJA'!D101)</f>
        <v/>
      </c>
      <c r="E102" s="23" t="str">
        <f>IF('TENAGA KERJA'!E101=0,"",'TENAGA KERJA'!E101)</f>
        <v/>
      </c>
      <c r="F102" s="39">
        <f>'TENAGA KERJA'!K101</f>
        <v>0</v>
      </c>
      <c r="G102" s="40">
        <f>'TENAGA KERJA'!L101</f>
        <v>0</v>
      </c>
      <c r="H102" s="40">
        <f>'TENAGA KERJA'!M101</f>
        <v>0</v>
      </c>
      <c r="I102" s="39">
        <f>'TENAGA KERJA'!N101</f>
        <v>0</v>
      </c>
      <c r="J102" s="39">
        <f t="shared" si="14"/>
        <v>0</v>
      </c>
      <c r="K102" s="39">
        <f>'BPJS TK'!D102</f>
        <v>0</v>
      </c>
      <c r="L102" s="39">
        <f>'BPJS TK'!E102</f>
        <v>0</v>
      </c>
      <c r="M102" s="39">
        <f>'BPJS TK'!F102</f>
        <v>0</v>
      </c>
      <c r="N102" s="39">
        <f>'BPJS TK'!H102</f>
        <v>0</v>
      </c>
      <c r="O102" s="39">
        <f>'BPJS KES'!D102</f>
        <v>0</v>
      </c>
      <c r="P102" s="39">
        <f t="shared" si="15"/>
        <v>0</v>
      </c>
      <c r="Q102" s="39">
        <f t="shared" si="16"/>
        <v>0</v>
      </c>
      <c r="R102" s="39">
        <f>'BPJS TK'!G102</f>
        <v>0</v>
      </c>
      <c r="S102" s="39">
        <f>'BPJS TK'!I102</f>
        <v>0</v>
      </c>
      <c r="T102" s="39">
        <f>'BPJS KES'!E102</f>
        <v>0</v>
      </c>
      <c r="U102" s="40">
        <f>'PPH PSL 21 - GROSS (MULAI 2024)'!L102</f>
        <v>0</v>
      </c>
      <c r="V102" s="41">
        <f t="shared" si="17"/>
        <v>0</v>
      </c>
      <c r="W102" s="49">
        <f t="shared" si="13"/>
        <v>0</v>
      </c>
      <c r="X102" s="197">
        <f>X100-X101</f>
        <v>-435282124.32364547</v>
      </c>
      <c r="Y102" s="50"/>
      <c r="Z102" s="52"/>
    </row>
    <row r="103" spans="1:26">
      <c r="A103" s="23" t="str">
        <f>IF('TENAGA KERJA'!A102=0,"",'TENAGA KERJA'!A102)</f>
        <v/>
      </c>
      <c r="B103" s="28" t="str">
        <f>IF('TENAGA KERJA'!B102=0,"",'TENAGA KERJA'!B102)</f>
        <v/>
      </c>
      <c r="C103" s="23" t="str">
        <f>IF('TENAGA KERJA'!C102=0,"",'TENAGA KERJA'!C102)</f>
        <v/>
      </c>
      <c r="D103" s="23" t="str">
        <f>IF('TENAGA KERJA'!D102=0,"",'TENAGA KERJA'!D102)</f>
        <v/>
      </c>
      <c r="E103" s="23" t="str">
        <f>IF('TENAGA KERJA'!E102=0,"",'TENAGA KERJA'!E102)</f>
        <v/>
      </c>
      <c r="F103" s="39">
        <f>'TENAGA KERJA'!K102</f>
        <v>0</v>
      </c>
      <c r="G103" s="40">
        <f>'TENAGA KERJA'!L102</f>
        <v>0</v>
      </c>
      <c r="H103" s="40">
        <f>'TENAGA KERJA'!M102</f>
        <v>0</v>
      </c>
      <c r="I103" s="39">
        <f>'TENAGA KERJA'!N102</f>
        <v>0</v>
      </c>
      <c r="J103" s="39">
        <f t="shared" si="14"/>
        <v>0</v>
      </c>
      <c r="K103" s="39">
        <f>'BPJS TK'!D103</f>
        <v>0</v>
      </c>
      <c r="L103" s="39">
        <f>'BPJS TK'!E103</f>
        <v>0</v>
      </c>
      <c r="M103" s="39">
        <f>'BPJS TK'!F103</f>
        <v>0</v>
      </c>
      <c r="N103" s="39">
        <f>'BPJS TK'!H103</f>
        <v>0</v>
      </c>
      <c r="O103" s="39">
        <f>'BPJS KES'!D103</f>
        <v>0</v>
      </c>
      <c r="P103" s="39">
        <f t="shared" si="15"/>
        <v>0</v>
      </c>
      <c r="Q103" s="39">
        <f t="shared" si="16"/>
        <v>0</v>
      </c>
      <c r="R103" s="39">
        <f>'BPJS TK'!G103</f>
        <v>0</v>
      </c>
      <c r="S103" s="39">
        <f>'BPJS TK'!I103</f>
        <v>0</v>
      </c>
      <c r="T103" s="39">
        <f>'BPJS KES'!E103</f>
        <v>0</v>
      </c>
      <c r="U103" s="40">
        <f>'PPH PSL 21 - GROSS (MULAI 2024)'!L103</f>
        <v>0</v>
      </c>
      <c r="V103" s="41">
        <f t="shared" si="17"/>
        <v>0</v>
      </c>
      <c r="W103" s="49">
        <f t="shared" si="13"/>
        <v>0</v>
      </c>
      <c r="X103" s="197"/>
      <c r="Y103" s="52"/>
    </row>
    <row r="104" spans="1:26">
      <c r="A104" s="23" t="str">
        <f>IF('TENAGA KERJA'!A103=0,"",'TENAGA KERJA'!A103)</f>
        <v/>
      </c>
      <c r="B104" s="28" t="str">
        <f>IF('TENAGA KERJA'!B103=0,"",'TENAGA KERJA'!B103)</f>
        <v/>
      </c>
      <c r="C104" s="23" t="str">
        <f>IF('TENAGA KERJA'!C103=0,"",'TENAGA KERJA'!C103)</f>
        <v/>
      </c>
      <c r="D104" s="23" t="str">
        <f>IF('TENAGA KERJA'!D103=0,"",'TENAGA KERJA'!D103)</f>
        <v/>
      </c>
      <c r="E104" s="23" t="str">
        <f>IF('TENAGA KERJA'!E103=0,"",'TENAGA KERJA'!E103)</f>
        <v/>
      </c>
      <c r="F104" s="39">
        <f>'TENAGA KERJA'!K103</f>
        <v>0</v>
      </c>
      <c r="G104" s="40">
        <f>'TENAGA KERJA'!L103</f>
        <v>0</v>
      </c>
      <c r="H104" s="40">
        <f>'TENAGA KERJA'!M103</f>
        <v>0</v>
      </c>
      <c r="I104" s="39">
        <f>'TENAGA KERJA'!N103</f>
        <v>0</v>
      </c>
      <c r="J104" s="39">
        <f t="shared" si="14"/>
        <v>0</v>
      </c>
      <c r="K104" s="39">
        <f>'BPJS TK'!D104</f>
        <v>0</v>
      </c>
      <c r="L104" s="39">
        <f>'BPJS TK'!E104</f>
        <v>0</v>
      </c>
      <c r="M104" s="39">
        <f>'BPJS TK'!F104</f>
        <v>0</v>
      </c>
      <c r="N104" s="39">
        <f>'BPJS TK'!H104</f>
        <v>0</v>
      </c>
      <c r="O104" s="39">
        <f>'BPJS KES'!D104</f>
        <v>0</v>
      </c>
      <c r="P104" s="39">
        <f t="shared" si="15"/>
        <v>0</v>
      </c>
      <c r="Q104" s="39">
        <f t="shared" si="16"/>
        <v>0</v>
      </c>
      <c r="R104" s="39">
        <f>'BPJS TK'!G104</f>
        <v>0</v>
      </c>
      <c r="S104" s="39">
        <f>'BPJS TK'!I104</f>
        <v>0</v>
      </c>
      <c r="T104" s="39">
        <f>'BPJS KES'!E104</f>
        <v>0</v>
      </c>
      <c r="U104" s="40">
        <f>'PPH PSL 21 - GROSS (MULAI 2024)'!L104</f>
        <v>0</v>
      </c>
      <c r="V104" s="41">
        <f t="shared" si="17"/>
        <v>0</v>
      </c>
      <c r="W104" s="49">
        <f t="shared" si="13"/>
        <v>0</v>
      </c>
      <c r="X104" s="197"/>
    </row>
    <row r="105" spans="1:26">
      <c r="A105" s="23" t="str">
        <f>IF('TENAGA KERJA'!A104=0,"",'TENAGA KERJA'!A104)</f>
        <v/>
      </c>
      <c r="B105" s="28" t="str">
        <f>IF('TENAGA KERJA'!B104=0,"",'TENAGA KERJA'!B104)</f>
        <v/>
      </c>
      <c r="C105" s="23" t="str">
        <f>IF('TENAGA KERJA'!C104=0,"",'TENAGA KERJA'!C104)</f>
        <v/>
      </c>
      <c r="D105" s="23" t="str">
        <f>IF('TENAGA KERJA'!D104=0,"",'TENAGA KERJA'!D104)</f>
        <v/>
      </c>
      <c r="E105" s="23" t="str">
        <f>IF('TENAGA KERJA'!E104=0,"",'TENAGA KERJA'!E104)</f>
        <v/>
      </c>
      <c r="F105" s="39">
        <f>'TENAGA KERJA'!K104</f>
        <v>0</v>
      </c>
      <c r="G105" s="40">
        <f>'TENAGA KERJA'!L104</f>
        <v>0</v>
      </c>
      <c r="H105" s="40">
        <f>'TENAGA KERJA'!M104</f>
        <v>0</v>
      </c>
      <c r="I105" s="39">
        <f>'TENAGA KERJA'!N104</f>
        <v>0</v>
      </c>
      <c r="J105" s="39">
        <f t="shared" si="14"/>
        <v>0</v>
      </c>
      <c r="K105" s="39">
        <f>'BPJS TK'!D105</f>
        <v>0</v>
      </c>
      <c r="L105" s="39">
        <f>'BPJS TK'!E105</f>
        <v>0</v>
      </c>
      <c r="M105" s="39">
        <f>'BPJS TK'!F105</f>
        <v>0</v>
      </c>
      <c r="N105" s="39">
        <f>'BPJS TK'!H105</f>
        <v>0</v>
      </c>
      <c r="O105" s="39">
        <f>'BPJS KES'!D105</f>
        <v>0</v>
      </c>
      <c r="P105" s="39">
        <f t="shared" si="15"/>
        <v>0</v>
      </c>
      <c r="Q105" s="39">
        <f t="shared" si="16"/>
        <v>0</v>
      </c>
      <c r="R105" s="39">
        <f>'BPJS TK'!G105</f>
        <v>0</v>
      </c>
      <c r="S105" s="39">
        <f>'BPJS TK'!I105</f>
        <v>0</v>
      </c>
      <c r="T105" s="39">
        <f>'BPJS KES'!E105</f>
        <v>0</v>
      </c>
      <c r="U105" s="40">
        <f>'PPH PSL 21 - GROSS (MULAI 2024)'!L105</f>
        <v>0</v>
      </c>
      <c r="V105" s="41">
        <f t="shared" si="17"/>
        <v>0</v>
      </c>
      <c r="W105" s="49">
        <f t="shared" si="13"/>
        <v>0</v>
      </c>
      <c r="X105" s="197"/>
    </row>
    <row r="106" spans="1:26">
      <c r="A106" s="23" t="str">
        <f>IF('TENAGA KERJA'!A105=0,"",'TENAGA KERJA'!A105)</f>
        <v/>
      </c>
      <c r="B106" s="28" t="str">
        <f>IF('TENAGA KERJA'!B105=0,"",'TENAGA KERJA'!B105)</f>
        <v/>
      </c>
      <c r="C106" s="23" t="str">
        <f>IF('TENAGA KERJA'!C105=0,"",'TENAGA KERJA'!C105)</f>
        <v/>
      </c>
      <c r="D106" s="23" t="str">
        <f>IF('TENAGA KERJA'!D105=0,"",'TENAGA KERJA'!D105)</f>
        <v/>
      </c>
      <c r="E106" s="23" t="str">
        <f>IF('TENAGA KERJA'!E105=0,"",'TENAGA KERJA'!E105)</f>
        <v/>
      </c>
      <c r="F106" s="39">
        <f>'TENAGA KERJA'!K105</f>
        <v>0</v>
      </c>
      <c r="G106" s="40">
        <f>'TENAGA KERJA'!L105</f>
        <v>0</v>
      </c>
      <c r="H106" s="40">
        <f>'TENAGA KERJA'!M105</f>
        <v>0</v>
      </c>
      <c r="I106" s="39">
        <f>'TENAGA KERJA'!N105</f>
        <v>0</v>
      </c>
      <c r="J106" s="39">
        <f t="shared" si="14"/>
        <v>0</v>
      </c>
      <c r="K106" s="39">
        <f>'BPJS TK'!D106</f>
        <v>0</v>
      </c>
      <c r="L106" s="39">
        <f>'BPJS TK'!E106</f>
        <v>0</v>
      </c>
      <c r="M106" s="39">
        <f>'BPJS TK'!F106</f>
        <v>0</v>
      </c>
      <c r="N106" s="39">
        <f>'BPJS TK'!H106</f>
        <v>0</v>
      </c>
      <c r="O106" s="39">
        <f>'BPJS KES'!D106</f>
        <v>0</v>
      </c>
      <c r="P106" s="39">
        <f t="shared" si="15"/>
        <v>0</v>
      </c>
      <c r="Q106" s="39">
        <f t="shared" si="16"/>
        <v>0</v>
      </c>
      <c r="R106" s="39">
        <f>'BPJS TK'!G106</f>
        <v>0</v>
      </c>
      <c r="S106" s="39">
        <f>'BPJS TK'!I106</f>
        <v>0</v>
      </c>
      <c r="T106" s="39">
        <f>'BPJS KES'!E106</f>
        <v>0</v>
      </c>
      <c r="U106" s="40">
        <f>'PPH PSL 21 - GROSS (MULAI 2024)'!L106</f>
        <v>0</v>
      </c>
      <c r="V106" s="41">
        <f t="shared" si="17"/>
        <v>0</v>
      </c>
      <c r="W106" s="49">
        <f t="shared" si="13"/>
        <v>0</v>
      </c>
      <c r="X106" s="197"/>
    </row>
    <row r="107" spans="1:26">
      <c r="A107" s="23" t="str">
        <f>IF('TENAGA KERJA'!A106=0,"",'TENAGA KERJA'!A106)</f>
        <v/>
      </c>
      <c r="B107" s="28" t="str">
        <f>IF('TENAGA KERJA'!B106=0,"",'TENAGA KERJA'!B106)</f>
        <v/>
      </c>
      <c r="C107" s="23" t="str">
        <f>IF('TENAGA KERJA'!C106=0,"",'TENAGA KERJA'!C106)</f>
        <v/>
      </c>
      <c r="D107" s="23" t="str">
        <f>IF('TENAGA KERJA'!D106=0,"",'TENAGA KERJA'!D106)</f>
        <v/>
      </c>
      <c r="E107" s="23" t="str">
        <f>IF('TENAGA KERJA'!E106=0,"",'TENAGA KERJA'!E106)</f>
        <v/>
      </c>
      <c r="F107" s="39">
        <f>'TENAGA KERJA'!K106</f>
        <v>0</v>
      </c>
      <c r="G107" s="40">
        <f>'TENAGA KERJA'!L106</f>
        <v>0</v>
      </c>
      <c r="H107" s="40">
        <f>'TENAGA KERJA'!M106</f>
        <v>0</v>
      </c>
      <c r="I107" s="39">
        <f>'TENAGA KERJA'!N106</f>
        <v>0</v>
      </c>
      <c r="J107" s="39">
        <f t="shared" si="14"/>
        <v>0</v>
      </c>
      <c r="K107" s="39">
        <f>'BPJS TK'!D107</f>
        <v>0</v>
      </c>
      <c r="L107" s="39">
        <f>'BPJS TK'!E107</f>
        <v>0</v>
      </c>
      <c r="M107" s="39">
        <f>'BPJS TK'!F107</f>
        <v>0</v>
      </c>
      <c r="N107" s="39">
        <f>'BPJS TK'!H107</f>
        <v>0</v>
      </c>
      <c r="O107" s="39">
        <f>'BPJS KES'!D107</f>
        <v>0</v>
      </c>
      <c r="P107" s="39">
        <f t="shared" si="15"/>
        <v>0</v>
      </c>
      <c r="Q107" s="39">
        <f t="shared" si="16"/>
        <v>0</v>
      </c>
      <c r="R107" s="39">
        <f>'BPJS TK'!G107</f>
        <v>0</v>
      </c>
      <c r="S107" s="39">
        <f>'BPJS TK'!I107</f>
        <v>0</v>
      </c>
      <c r="T107" s="39">
        <f>'BPJS KES'!E107</f>
        <v>0</v>
      </c>
      <c r="U107" s="40">
        <f>'PPH PSL 21 - GROSS (MULAI 2024)'!L107</f>
        <v>0</v>
      </c>
      <c r="V107" s="41">
        <f t="shared" si="17"/>
        <v>0</v>
      </c>
      <c r="W107" s="49">
        <f t="shared" si="13"/>
        <v>0</v>
      </c>
      <c r="X107" s="197"/>
    </row>
    <row r="108" spans="1:26">
      <c r="A108" s="23" t="str">
        <f>IF('TENAGA KERJA'!A107=0,"",'TENAGA KERJA'!A107)</f>
        <v/>
      </c>
      <c r="B108" s="28" t="str">
        <f>IF('TENAGA KERJA'!B107=0,"",'TENAGA KERJA'!B107)</f>
        <v/>
      </c>
      <c r="C108" s="23" t="str">
        <f>IF('TENAGA KERJA'!C107=0,"",'TENAGA KERJA'!C107)</f>
        <v/>
      </c>
      <c r="D108" s="23" t="str">
        <f>IF('TENAGA KERJA'!D107=0,"",'TENAGA KERJA'!D107)</f>
        <v/>
      </c>
      <c r="E108" s="23" t="str">
        <f>IF('TENAGA KERJA'!E107=0,"",'TENAGA KERJA'!E107)</f>
        <v/>
      </c>
      <c r="F108" s="39">
        <f>'TENAGA KERJA'!K107</f>
        <v>0</v>
      </c>
      <c r="G108" s="40">
        <f>'TENAGA KERJA'!L107</f>
        <v>0</v>
      </c>
      <c r="H108" s="40">
        <f>'TENAGA KERJA'!M107</f>
        <v>0</v>
      </c>
      <c r="I108" s="39">
        <f>'TENAGA KERJA'!N107</f>
        <v>0</v>
      </c>
      <c r="J108" s="39">
        <f t="shared" si="14"/>
        <v>0</v>
      </c>
      <c r="K108" s="39">
        <f>'BPJS TK'!D108</f>
        <v>0</v>
      </c>
      <c r="L108" s="39">
        <f>'BPJS TK'!E108</f>
        <v>0</v>
      </c>
      <c r="M108" s="39">
        <f>'BPJS TK'!F108</f>
        <v>0</v>
      </c>
      <c r="N108" s="39">
        <f>'BPJS TK'!H108</f>
        <v>0</v>
      </c>
      <c r="O108" s="39">
        <f>'BPJS KES'!D108</f>
        <v>0</v>
      </c>
      <c r="P108" s="39">
        <f t="shared" si="15"/>
        <v>0</v>
      </c>
      <c r="Q108" s="39">
        <f t="shared" si="16"/>
        <v>0</v>
      </c>
      <c r="R108" s="39">
        <f>'BPJS TK'!G108</f>
        <v>0</v>
      </c>
      <c r="S108" s="39">
        <f>'BPJS TK'!I108</f>
        <v>0</v>
      </c>
      <c r="T108" s="39">
        <f>'BPJS KES'!E108</f>
        <v>0</v>
      </c>
      <c r="U108" s="40">
        <f>'PPH PSL 21 - GROSS (MULAI 2024)'!L108</f>
        <v>0</v>
      </c>
      <c r="V108" s="41">
        <f t="shared" si="17"/>
        <v>0</v>
      </c>
      <c r="W108" s="49">
        <f t="shared" si="13"/>
        <v>0</v>
      </c>
      <c r="X108" s="197"/>
    </row>
    <row r="109" spans="1:26">
      <c r="A109" s="23" t="str">
        <f>IF('TENAGA KERJA'!A108=0,"",'TENAGA KERJA'!A108)</f>
        <v/>
      </c>
      <c r="B109" s="28" t="str">
        <f>IF('TENAGA KERJA'!B108=0,"",'TENAGA KERJA'!B108)</f>
        <v/>
      </c>
      <c r="C109" s="23" t="str">
        <f>IF('TENAGA KERJA'!C108=0,"",'TENAGA KERJA'!C108)</f>
        <v/>
      </c>
      <c r="D109" s="23" t="str">
        <f>IF('TENAGA KERJA'!D108=0,"",'TENAGA KERJA'!D108)</f>
        <v/>
      </c>
      <c r="E109" s="23" t="str">
        <f>IF('TENAGA KERJA'!E108=0,"",'TENAGA KERJA'!E108)</f>
        <v/>
      </c>
      <c r="F109" s="39">
        <f>'TENAGA KERJA'!K108</f>
        <v>0</v>
      </c>
      <c r="G109" s="40">
        <f>'TENAGA KERJA'!L108</f>
        <v>0</v>
      </c>
      <c r="H109" s="40">
        <f>'TENAGA KERJA'!M108</f>
        <v>0</v>
      </c>
      <c r="I109" s="39">
        <f>'TENAGA KERJA'!N108</f>
        <v>0</v>
      </c>
      <c r="J109" s="39">
        <f t="shared" si="14"/>
        <v>0</v>
      </c>
      <c r="K109" s="39">
        <f>'BPJS TK'!D109</f>
        <v>0</v>
      </c>
      <c r="L109" s="39">
        <f>'BPJS TK'!E109</f>
        <v>0</v>
      </c>
      <c r="M109" s="39">
        <f>'BPJS TK'!F109</f>
        <v>0</v>
      </c>
      <c r="N109" s="39">
        <f>'BPJS TK'!H109</f>
        <v>0</v>
      </c>
      <c r="O109" s="39">
        <f>'BPJS KES'!D109</f>
        <v>0</v>
      </c>
      <c r="P109" s="39">
        <f t="shared" si="15"/>
        <v>0</v>
      </c>
      <c r="Q109" s="39">
        <f t="shared" si="16"/>
        <v>0</v>
      </c>
      <c r="R109" s="39">
        <f>'BPJS TK'!G109</f>
        <v>0</v>
      </c>
      <c r="S109" s="39">
        <f>'BPJS TK'!I109</f>
        <v>0</v>
      </c>
      <c r="T109" s="39">
        <f>'BPJS KES'!E109</f>
        <v>0</v>
      </c>
      <c r="U109" s="40">
        <f>'PPH PSL 21 - GROSS (MULAI 2024)'!L109</f>
        <v>0</v>
      </c>
      <c r="V109" s="41">
        <f t="shared" si="17"/>
        <v>0</v>
      </c>
      <c r="W109" s="49">
        <f t="shared" si="13"/>
        <v>0</v>
      </c>
      <c r="X109" s="197"/>
    </row>
    <row r="110" spans="1:26">
      <c r="A110" s="23" t="str">
        <f>IF('TENAGA KERJA'!A109=0,"",'TENAGA KERJA'!A109)</f>
        <v/>
      </c>
      <c r="B110" s="28" t="str">
        <f>IF('TENAGA KERJA'!B109=0,"",'TENAGA KERJA'!B109)</f>
        <v/>
      </c>
      <c r="C110" s="23" t="str">
        <f>IF('TENAGA KERJA'!C109=0,"",'TENAGA KERJA'!C109)</f>
        <v/>
      </c>
      <c r="D110" s="23" t="str">
        <f>IF('TENAGA KERJA'!D109=0,"",'TENAGA KERJA'!D109)</f>
        <v/>
      </c>
      <c r="E110" s="23" t="str">
        <f>IF('TENAGA KERJA'!E109=0,"",'TENAGA KERJA'!E109)</f>
        <v/>
      </c>
      <c r="F110" s="39">
        <f>'TENAGA KERJA'!K109</f>
        <v>0</v>
      </c>
      <c r="G110" s="40">
        <f>'TENAGA KERJA'!L109</f>
        <v>0</v>
      </c>
      <c r="H110" s="40">
        <f>'TENAGA KERJA'!M109</f>
        <v>0</v>
      </c>
      <c r="I110" s="39">
        <f>'TENAGA KERJA'!N109</f>
        <v>0</v>
      </c>
      <c r="J110" s="39">
        <f t="shared" si="14"/>
        <v>0</v>
      </c>
      <c r="K110" s="39">
        <f>'BPJS TK'!D110</f>
        <v>0</v>
      </c>
      <c r="L110" s="39">
        <f>'BPJS TK'!E110</f>
        <v>0</v>
      </c>
      <c r="M110" s="39">
        <f>'BPJS TK'!F110</f>
        <v>0</v>
      </c>
      <c r="N110" s="39">
        <f>'BPJS TK'!H110</f>
        <v>0</v>
      </c>
      <c r="O110" s="39">
        <f>'BPJS KES'!D110</f>
        <v>0</v>
      </c>
      <c r="P110" s="39">
        <f t="shared" si="15"/>
        <v>0</v>
      </c>
      <c r="Q110" s="39">
        <f t="shared" si="16"/>
        <v>0</v>
      </c>
      <c r="R110" s="39">
        <f>'BPJS TK'!G110</f>
        <v>0</v>
      </c>
      <c r="S110" s="39">
        <f>'BPJS TK'!I110</f>
        <v>0</v>
      </c>
      <c r="T110" s="39">
        <f>'BPJS KES'!E110</f>
        <v>0</v>
      </c>
      <c r="U110" s="40">
        <f>'PPH PSL 21 - GROSS (MULAI 2024)'!L110</f>
        <v>0</v>
      </c>
      <c r="V110" s="41">
        <f t="shared" si="17"/>
        <v>0</v>
      </c>
      <c r="W110" s="49">
        <f t="shared" si="13"/>
        <v>0</v>
      </c>
      <c r="X110" s="197"/>
    </row>
    <row r="111" spans="1:26">
      <c r="A111" s="23" t="str">
        <f>IF('TENAGA KERJA'!A110=0,"",'TENAGA KERJA'!A110)</f>
        <v/>
      </c>
      <c r="B111" s="28" t="str">
        <f>IF('TENAGA KERJA'!B110=0,"",'TENAGA KERJA'!B110)</f>
        <v/>
      </c>
      <c r="C111" s="23" t="str">
        <f>IF('TENAGA KERJA'!C110=0,"",'TENAGA KERJA'!C110)</f>
        <v/>
      </c>
      <c r="D111" s="23" t="str">
        <f>IF('TENAGA KERJA'!D110=0,"",'TENAGA KERJA'!D110)</f>
        <v/>
      </c>
      <c r="E111" s="23" t="str">
        <f>IF('TENAGA KERJA'!E110=0,"",'TENAGA KERJA'!E110)</f>
        <v/>
      </c>
      <c r="F111" s="39">
        <f>'TENAGA KERJA'!K110</f>
        <v>0</v>
      </c>
      <c r="G111" s="40">
        <f>'TENAGA KERJA'!L110</f>
        <v>0</v>
      </c>
      <c r="H111" s="40">
        <f>'TENAGA KERJA'!M110</f>
        <v>0</v>
      </c>
      <c r="I111" s="39">
        <f>'TENAGA KERJA'!N110</f>
        <v>0</v>
      </c>
      <c r="J111" s="39">
        <f t="shared" si="14"/>
        <v>0</v>
      </c>
      <c r="K111" s="39">
        <f>'BPJS TK'!D111</f>
        <v>0</v>
      </c>
      <c r="L111" s="39">
        <f>'BPJS TK'!E111</f>
        <v>0</v>
      </c>
      <c r="M111" s="39">
        <f>'BPJS TK'!F111</f>
        <v>0</v>
      </c>
      <c r="N111" s="39">
        <f>'BPJS TK'!H111</f>
        <v>0</v>
      </c>
      <c r="O111" s="39">
        <f>'BPJS KES'!D111</f>
        <v>0</v>
      </c>
      <c r="P111" s="39">
        <f t="shared" si="15"/>
        <v>0</v>
      </c>
      <c r="Q111" s="39">
        <f t="shared" si="16"/>
        <v>0</v>
      </c>
      <c r="R111" s="39">
        <f>'BPJS TK'!G111</f>
        <v>0</v>
      </c>
      <c r="S111" s="39">
        <f>'BPJS TK'!I111</f>
        <v>0</v>
      </c>
      <c r="T111" s="39">
        <f>'BPJS KES'!E111</f>
        <v>0</v>
      </c>
      <c r="U111" s="40">
        <f>'PPH PSL 21 - GROSS (MULAI 2024)'!L111</f>
        <v>0</v>
      </c>
      <c r="V111" s="41">
        <f t="shared" si="17"/>
        <v>0</v>
      </c>
      <c r="W111" s="49">
        <f t="shared" si="13"/>
        <v>0</v>
      </c>
      <c r="X111" s="197"/>
    </row>
    <row r="112" spans="1:26">
      <c r="A112" s="23" t="str">
        <f>IF('TENAGA KERJA'!A111=0,"",'TENAGA KERJA'!A111)</f>
        <v/>
      </c>
      <c r="B112" s="28" t="str">
        <f>IF('TENAGA KERJA'!B111=0,"",'TENAGA KERJA'!B111)</f>
        <v/>
      </c>
      <c r="C112" s="23" t="str">
        <f>IF('TENAGA KERJA'!C111=0,"",'TENAGA KERJA'!C111)</f>
        <v/>
      </c>
      <c r="D112" s="23" t="str">
        <f>IF('TENAGA KERJA'!D111=0,"",'TENAGA KERJA'!D111)</f>
        <v/>
      </c>
      <c r="E112" s="23" t="str">
        <f>IF('TENAGA KERJA'!E111=0,"",'TENAGA KERJA'!E111)</f>
        <v/>
      </c>
      <c r="F112" s="39">
        <f>'TENAGA KERJA'!K111</f>
        <v>0</v>
      </c>
      <c r="G112" s="40">
        <f>'TENAGA KERJA'!L111</f>
        <v>0</v>
      </c>
      <c r="H112" s="40">
        <f>'TENAGA KERJA'!M111</f>
        <v>0</v>
      </c>
      <c r="I112" s="39">
        <f>'TENAGA KERJA'!N111</f>
        <v>0</v>
      </c>
      <c r="J112" s="39">
        <f t="shared" si="14"/>
        <v>0</v>
      </c>
      <c r="K112" s="39">
        <f>'BPJS TK'!D112</f>
        <v>0</v>
      </c>
      <c r="L112" s="39">
        <f>'BPJS TK'!E112</f>
        <v>0</v>
      </c>
      <c r="M112" s="39">
        <f>'BPJS TK'!F112</f>
        <v>0</v>
      </c>
      <c r="N112" s="39">
        <f>'BPJS TK'!H112</f>
        <v>0</v>
      </c>
      <c r="O112" s="39">
        <f>'BPJS KES'!D112</f>
        <v>0</v>
      </c>
      <c r="P112" s="39">
        <f t="shared" si="15"/>
        <v>0</v>
      </c>
      <c r="Q112" s="39">
        <f t="shared" si="16"/>
        <v>0</v>
      </c>
      <c r="R112" s="39">
        <f>'BPJS TK'!G112</f>
        <v>0</v>
      </c>
      <c r="S112" s="39">
        <f>'BPJS TK'!I112</f>
        <v>0</v>
      </c>
      <c r="T112" s="39">
        <f>'BPJS KES'!E112</f>
        <v>0</v>
      </c>
      <c r="U112" s="40">
        <f>'PPH PSL 21 - GROSS (MULAI 2024)'!L112</f>
        <v>0</v>
      </c>
      <c r="V112" s="41">
        <f t="shared" si="17"/>
        <v>0</v>
      </c>
      <c r="W112" s="49">
        <f t="shared" si="13"/>
        <v>0</v>
      </c>
      <c r="X112" s="197"/>
    </row>
    <row r="113" spans="1:25">
      <c r="A113" s="23" t="str">
        <f>IF('TENAGA KERJA'!A112=0,"",'TENAGA KERJA'!A112)</f>
        <v/>
      </c>
      <c r="B113" s="28" t="str">
        <f>IF('TENAGA KERJA'!B112=0,"",'TENAGA KERJA'!B112)</f>
        <v/>
      </c>
      <c r="C113" s="23" t="str">
        <f>IF('TENAGA KERJA'!C112=0,"",'TENAGA KERJA'!C112)</f>
        <v/>
      </c>
      <c r="D113" s="23" t="str">
        <f>IF('TENAGA KERJA'!D112=0,"",'TENAGA KERJA'!D112)</f>
        <v/>
      </c>
      <c r="E113" s="23" t="str">
        <f>IF('TENAGA KERJA'!E112=0,"",'TENAGA KERJA'!E112)</f>
        <v/>
      </c>
      <c r="F113" s="39">
        <f>'TENAGA KERJA'!K112</f>
        <v>0</v>
      </c>
      <c r="G113" s="40">
        <f>'TENAGA KERJA'!L112</f>
        <v>0</v>
      </c>
      <c r="H113" s="40">
        <f>'TENAGA KERJA'!M112</f>
        <v>0</v>
      </c>
      <c r="I113" s="39">
        <f>'TENAGA KERJA'!N112</f>
        <v>0</v>
      </c>
      <c r="J113" s="39">
        <f t="shared" si="14"/>
        <v>0</v>
      </c>
      <c r="K113" s="39">
        <f>'BPJS TK'!D113</f>
        <v>0</v>
      </c>
      <c r="L113" s="39">
        <f>'BPJS TK'!E113</f>
        <v>0</v>
      </c>
      <c r="M113" s="39">
        <f>'BPJS TK'!F113</f>
        <v>0</v>
      </c>
      <c r="N113" s="39">
        <f>'BPJS TK'!H113</f>
        <v>0</v>
      </c>
      <c r="O113" s="39">
        <f>'BPJS KES'!D113</f>
        <v>0</v>
      </c>
      <c r="P113" s="39">
        <f t="shared" si="15"/>
        <v>0</v>
      </c>
      <c r="Q113" s="39">
        <f t="shared" si="16"/>
        <v>0</v>
      </c>
      <c r="R113" s="39">
        <f>'BPJS TK'!G113</f>
        <v>0</v>
      </c>
      <c r="S113" s="39">
        <f>'BPJS TK'!I113</f>
        <v>0</v>
      </c>
      <c r="T113" s="39">
        <f>'BPJS KES'!E113</f>
        <v>0</v>
      </c>
      <c r="U113" s="40">
        <f>'PPH PSL 21 - GROSS (MULAI 2024)'!L113</f>
        <v>0</v>
      </c>
      <c r="V113" s="41">
        <f t="shared" si="17"/>
        <v>0</v>
      </c>
      <c r="W113" s="49">
        <f t="shared" si="13"/>
        <v>0</v>
      </c>
      <c r="X113" s="197"/>
    </row>
    <row r="114" spans="1:25">
      <c r="A114" s="23" t="str">
        <f>IF('TENAGA KERJA'!A113=0,"",'TENAGA KERJA'!A113)</f>
        <v/>
      </c>
      <c r="B114" s="28" t="str">
        <f>IF('TENAGA KERJA'!B113=0,"",'TENAGA KERJA'!B113)</f>
        <v/>
      </c>
      <c r="C114" s="23" t="str">
        <f>IF('TENAGA KERJA'!C113=0,"",'TENAGA KERJA'!C113)</f>
        <v/>
      </c>
      <c r="D114" s="23" t="str">
        <f>IF('TENAGA KERJA'!D113=0,"",'TENAGA KERJA'!D113)</f>
        <v/>
      </c>
      <c r="E114" s="23" t="str">
        <f>IF('TENAGA KERJA'!E113=0,"",'TENAGA KERJA'!E113)</f>
        <v/>
      </c>
      <c r="F114" s="39">
        <f>'TENAGA KERJA'!K113</f>
        <v>0</v>
      </c>
      <c r="G114" s="40">
        <f>'TENAGA KERJA'!L113</f>
        <v>0</v>
      </c>
      <c r="H114" s="40">
        <f>'TENAGA KERJA'!M113</f>
        <v>0</v>
      </c>
      <c r="I114" s="39">
        <f>'TENAGA KERJA'!N113</f>
        <v>0</v>
      </c>
      <c r="J114" s="39">
        <f t="shared" si="14"/>
        <v>0</v>
      </c>
      <c r="K114" s="39">
        <f>'BPJS TK'!D114</f>
        <v>0</v>
      </c>
      <c r="L114" s="39">
        <f>'BPJS TK'!E114</f>
        <v>0</v>
      </c>
      <c r="M114" s="39">
        <f>'BPJS TK'!F114</f>
        <v>0</v>
      </c>
      <c r="N114" s="39">
        <f>'BPJS TK'!H114</f>
        <v>0</v>
      </c>
      <c r="O114" s="39">
        <f>'BPJS KES'!D114</f>
        <v>0</v>
      </c>
      <c r="P114" s="39">
        <f t="shared" si="15"/>
        <v>0</v>
      </c>
      <c r="Q114" s="39">
        <f t="shared" si="16"/>
        <v>0</v>
      </c>
      <c r="R114" s="39">
        <f>'BPJS TK'!G114</f>
        <v>0</v>
      </c>
      <c r="S114" s="39">
        <f>'BPJS TK'!I114</f>
        <v>0</v>
      </c>
      <c r="T114" s="39">
        <f>'BPJS KES'!E114</f>
        <v>0</v>
      </c>
      <c r="U114" s="40">
        <f>'PPH PSL 21 - GROSS (MULAI 2024)'!L114</f>
        <v>0</v>
      </c>
      <c r="V114" s="41">
        <f t="shared" si="17"/>
        <v>0</v>
      </c>
      <c r="W114" s="49">
        <f t="shared" si="13"/>
        <v>0</v>
      </c>
      <c r="X114" s="197"/>
    </row>
    <row r="115" spans="1:25">
      <c r="A115" s="23" t="str">
        <f>IF('TENAGA KERJA'!A114=0,"",'TENAGA KERJA'!A114)</f>
        <v/>
      </c>
      <c r="B115" s="28" t="str">
        <f>IF('TENAGA KERJA'!B114=0,"",'TENAGA KERJA'!B114)</f>
        <v/>
      </c>
      <c r="C115" s="23" t="str">
        <f>IF('TENAGA KERJA'!C114=0,"",'TENAGA KERJA'!C114)</f>
        <v/>
      </c>
      <c r="D115" s="23" t="str">
        <f>IF('TENAGA KERJA'!D114=0,"",'TENAGA KERJA'!D114)</f>
        <v/>
      </c>
      <c r="E115" s="23" t="str">
        <f>IF('TENAGA KERJA'!E114=0,"",'TENAGA KERJA'!E114)</f>
        <v/>
      </c>
      <c r="F115" s="39">
        <f>'TENAGA KERJA'!K114</f>
        <v>0</v>
      </c>
      <c r="G115" s="40">
        <f>'TENAGA KERJA'!L114</f>
        <v>0</v>
      </c>
      <c r="H115" s="40">
        <f>'TENAGA KERJA'!M114</f>
        <v>0</v>
      </c>
      <c r="I115" s="39">
        <f>'TENAGA KERJA'!N114</f>
        <v>0</v>
      </c>
      <c r="J115" s="39">
        <f t="shared" si="14"/>
        <v>0</v>
      </c>
      <c r="K115" s="39">
        <f>'BPJS TK'!D115</f>
        <v>0</v>
      </c>
      <c r="L115" s="39">
        <f>'BPJS TK'!E115</f>
        <v>0</v>
      </c>
      <c r="M115" s="39">
        <f>'BPJS TK'!F115</f>
        <v>0</v>
      </c>
      <c r="N115" s="39">
        <f>'BPJS TK'!H115</f>
        <v>0</v>
      </c>
      <c r="O115" s="39">
        <f>'BPJS KES'!D115</f>
        <v>0</v>
      </c>
      <c r="P115" s="39">
        <f t="shared" si="15"/>
        <v>0</v>
      </c>
      <c r="Q115" s="39">
        <f t="shared" si="16"/>
        <v>0</v>
      </c>
      <c r="R115" s="39">
        <f>'BPJS TK'!G115</f>
        <v>0</v>
      </c>
      <c r="S115" s="39">
        <f>'BPJS TK'!I115</f>
        <v>0</v>
      </c>
      <c r="T115" s="39">
        <f>'BPJS KES'!E115</f>
        <v>0</v>
      </c>
      <c r="U115" s="40">
        <f>'PPH PSL 21 - GROSS (MULAI 2024)'!L115</f>
        <v>0</v>
      </c>
      <c r="V115" s="41">
        <f t="shared" si="17"/>
        <v>0</v>
      </c>
      <c r="W115" s="49">
        <f t="shared" si="13"/>
        <v>0</v>
      </c>
      <c r="X115" s="203"/>
      <c r="Y115" s="52"/>
    </row>
    <row r="116" spans="1:25">
      <c r="A116" s="23" t="str">
        <f>IF('TENAGA KERJA'!A115=0,"",'TENAGA KERJA'!A115)</f>
        <v/>
      </c>
      <c r="B116" s="28" t="str">
        <f>IF('TENAGA KERJA'!B115=0,"",'TENAGA KERJA'!B115)</f>
        <v/>
      </c>
      <c r="C116" s="23" t="str">
        <f>IF('TENAGA KERJA'!C115=0,"",'TENAGA KERJA'!C115)</f>
        <v/>
      </c>
      <c r="D116" s="23" t="str">
        <f>IF('TENAGA KERJA'!D115=0,"",'TENAGA KERJA'!D115)</f>
        <v/>
      </c>
      <c r="E116" s="23" t="str">
        <f>IF('TENAGA KERJA'!E115=0,"",'TENAGA KERJA'!E115)</f>
        <v/>
      </c>
      <c r="F116" s="39">
        <f>'TENAGA KERJA'!K115</f>
        <v>0</v>
      </c>
      <c r="G116" s="40">
        <f>'TENAGA KERJA'!L115</f>
        <v>0</v>
      </c>
      <c r="H116" s="40">
        <f>'TENAGA KERJA'!M115</f>
        <v>0</v>
      </c>
      <c r="I116" s="39">
        <f>'TENAGA KERJA'!N115</f>
        <v>0</v>
      </c>
      <c r="J116" s="39">
        <f t="shared" si="14"/>
        <v>0</v>
      </c>
      <c r="K116" s="39">
        <f>'BPJS TK'!D116</f>
        <v>0</v>
      </c>
      <c r="L116" s="39">
        <f>'BPJS TK'!E116</f>
        <v>0</v>
      </c>
      <c r="M116" s="39">
        <f>'BPJS TK'!F116</f>
        <v>0</v>
      </c>
      <c r="N116" s="39">
        <f>'BPJS TK'!H116</f>
        <v>0</v>
      </c>
      <c r="O116" s="39">
        <f>'BPJS KES'!D116</f>
        <v>0</v>
      </c>
      <c r="P116" s="39">
        <f t="shared" si="15"/>
        <v>0</v>
      </c>
      <c r="Q116" s="39">
        <f t="shared" si="16"/>
        <v>0</v>
      </c>
      <c r="R116" s="39">
        <f>'BPJS TK'!G116</f>
        <v>0</v>
      </c>
      <c r="S116" s="39">
        <f>'BPJS TK'!I116</f>
        <v>0</v>
      </c>
      <c r="T116" s="39">
        <f>'BPJS KES'!E116</f>
        <v>0</v>
      </c>
      <c r="U116" s="40">
        <f>'PPH PSL 21 - GROSS (MULAI 2024)'!L116</f>
        <v>0</v>
      </c>
      <c r="V116" s="41">
        <f t="shared" si="17"/>
        <v>0</v>
      </c>
      <c r="W116" s="49">
        <f t="shared" si="13"/>
        <v>0</v>
      </c>
      <c r="X116" s="197"/>
    </row>
    <row r="117" spans="1:25">
      <c r="A117" s="23" t="str">
        <f>IF('TENAGA KERJA'!A116=0,"",'TENAGA KERJA'!A116)</f>
        <v/>
      </c>
      <c r="B117" s="28" t="str">
        <f>IF('TENAGA KERJA'!B116=0,"",'TENAGA KERJA'!B116)</f>
        <v/>
      </c>
      <c r="C117" s="23" t="str">
        <f>IF('TENAGA KERJA'!C116=0,"",'TENAGA KERJA'!C116)</f>
        <v/>
      </c>
      <c r="D117" s="23" t="str">
        <f>IF('TENAGA KERJA'!D116=0,"",'TENAGA KERJA'!D116)</f>
        <v/>
      </c>
      <c r="E117" s="23" t="str">
        <f>IF('TENAGA KERJA'!E116=0,"",'TENAGA KERJA'!E116)</f>
        <v/>
      </c>
      <c r="F117" s="39">
        <f>'TENAGA KERJA'!K116</f>
        <v>0</v>
      </c>
      <c r="G117" s="40">
        <f>'TENAGA KERJA'!L116</f>
        <v>0</v>
      </c>
      <c r="H117" s="40">
        <f>'TENAGA KERJA'!M116</f>
        <v>0</v>
      </c>
      <c r="I117" s="39">
        <f>'TENAGA KERJA'!N116</f>
        <v>0</v>
      </c>
      <c r="J117" s="39">
        <f t="shared" si="14"/>
        <v>0</v>
      </c>
      <c r="K117" s="39">
        <f>'BPJS TK'!D117</f>
        <v>0</v>
      </c>
      <c r="L117" s="39">
        <f>'BPJS TK'!E117</f>
        <v>0</v>
      </c>
      <c r="M117" s="39">
        <f>'BPJS TK'!F117</f>
        <v>0</v>
      </c>
      <c r="N117" s="39">
        <f>'BPJS TK'!H117</f>
        <v>0</v>
      </c>
      <c r="O117" s="39">
        <f>'BPJS KES'!D117</f>
        <v>0</v>
      </c>
      <c r="P117" s="39">
        <f t="shared" si="15"/>
        <v>0</v>
      </c>
      <c r="Q117" s="39">
        <f t="shared" si="16"/>
        <v>0</v>
      </c>
      <c r="R117" s="39">
        <f>'BPJS TK'!G117</f>
        <v>0</v>
      </c>
      <c r="S117" s="39">
        <f>'BPJS TK'!I117</f>
        <v>0</v>
      </c>
      <c r="T117" s="39">
        <f>'BPJS KES'!E117</f>
        <v>0</v>
      </c>
      <c r="U117" s="40">
        <f>'PPH PSL 21 - GROSS (MULAI 2024)'!L117</f>
        <v>0</v>
      </c>
      <c r="V117" s="41">
        <f t="shared" si="17"/>
        <v>0</v>
      </c>
      <c r="W117" s="49">
        <f t="shared" si="13"/>
        <v>0</v>
      </c>
      <c r="X117" s="197"/>
    </row>
    <row r="118" spans="1:25">
      <c r="A118" s="23" t="str">
        <f>IF('TENAGA KERJA'!A117=0,"",'TENAGA KERJA'!A117)</f>
        <v/>
      </c>
      <c r="B118" s="28" t="str">
        <f>IF('TENAGA KERJA'!B117=0,"",'TENAGA KERJA'!B117)</f>
        <v/>
      </c>
      <c r="C118" s="23" t="str">
        <f>IF('TENAGA KERJA'!C117=0,"",'TENAGA KERJA'!C117)</f>
        <v/>
      </c>
      <c r="D118" s="23" t="str">
        <f>IF('TENAGA KERJA'!D117=0,"",'TENAGA KERJA'!D117)</f>
        <v/>
      </c>
      <c r="E118" s="23" t="str">
        <f>IF('TENAGA KERJA'!E117=0,"",'TENAGA KERJA'!E117)</f>
        <v/>
      </c>
      <c r="F118" s="39">
        <f>'TENAGA KERJA'!K117</f>
        <v>0</v>
      </c>
      <c r="G118" s="40">
        <f>'TENAGA KERJA'!L117</f>
        <v>0</v>
      </c>
      <c r="H118" s="40">
        <f>'TENAGA KERJA'!M117</f>
        <v>0</v>
      </c>
      <c r="I118" s="39">
        <f>'TENAGA KERJA'!N117</f>
        <v>0</v>
      </c>
      <c r="J118" s="39">
        <f t="shared" si="14"/>
        <v>0</v>
      </c>
      <c r="K118" s="39">
        <f>'BPJS TK'!D118</f>
        <v>0</v>
      </c>
      <c r="L118" s="39">
        <f>'BPJS TK'!E118</f>
        <v>0</v>
      </c>
      <c r="M118" s="39">
        <f>'BPJS TK'!F118</f>
        <v>0</v>
      </c>
      <c r="N118" s="39">
        <f>'BPJS TK'!H118</f>
        <v>0</v>
      </c>
      <c r="O118" s="39">
        <f>'BPJS KES'!D118</f>
        <v>0</v>
      </c>
      <c r="P118" s="39">
        <f t="shared" si="15"/>
        <v>0</v>
      </c>
      <c r="Q118" s="39">
        <f t="shared" si="16"/>
        <v>0</v>
      </c>
      <c r="R118" s="39">
        <f>'BPJS TK'!G118</f>
        <v>0</v>
      </c>
      <c r="S118" s="39">
        <f>'BPJS TK'!I118</f>
        <v>0</v>
      </c>
      <c r="T118" s="39">
        <f>'BPJS KES'!E118</f>
        <v>0</v>
      </c>
      <c r="U118" s="40">
        <f>'PPH PSL 21 - GROSS (MULAI 2024)'!L118</f>
        <v>0</v>
      </c>
      <c r="V118" s="41">
        <f t="shared" si="17"/>
        <v>0</v>
      </c>
      <c r="W118" s="49">
        <f t="shared" si="13"/>
        <v>0</v>
      </c>
      <c r="X118" s="197"/>
    </row>
    <row r="119" spans="1:25">
      <c r="A119" s="23" t="str">
        <f>IF('TENAGA KERJA'!A118=0,"",'TENAGA KERJA'!A118)</f>
        <v/>
      </c>
      <c r="B119" s="28" t="str">
        <f>IF('TENAGA KERJA'!B118=0,"",'TENAGA KERJA'!B118)</f>
        <v/>
      </c>
      <c r="C119" s="23" t="str">
        <f>IF('TENAGA KERJA'!C118=0,"",'TENAGA KERJA'!C118)</f>
        <v/>
      </c>
      <c r="D119" s="23" t="str">
        <f>IF('TENAGA KERJA'!D118=0,"",'TENAGA KERJA'!D118)</f>
        <v/>
      </c>
      <c r="E119" s="23" t="str">
        <f>IF('TENAGA KERJA'!E118=0,"",'TENAGA KERJA'!E118)</f>
        <v/>
      </c>
      <c r="F119" s="39">
        <f>'TENAGA KERJA'!K118</f>
        <v>0</v>
      </c>
      <c r="G119" s="40">
        <f>'TENAGA KERJA'!L118</f>
        <v>0</v>
      </c>
      <c r="H119" s="40">
        <f>'TENAGA KERJA'!M118</f>
        <v>0</v>
      </c>
      <c r="I119" s="39">
        <f>'TENAGA KERJA'!N118</f>
        <v>0</v>
      </c>
      <c r="J119" s="39">
        <f t="shared" si="14"/>
        <v>0</v>
      </c>
      <c r="K119" s="39">
        <f>'BPJS TK'!D119</f>
        <v>0</v>
      </c>
      <c r="L119" s="39">
        <f>'BPJS TK'!E119</f>
        <v>0</v>
      </c>
      <c r="M119" s="39">
        <f>'BPJS TK'!F119</f>
        <v>0</v>
      </c>
      <c r="N119" s="39">
        <f>'BPJS TK'!H119</f>
        <v>0</v>
      </c>
      <c r="O119" s="39">
        <f>'BPJS KES'!D119</f>
        <v>0</v>
      </c>
      <c r="P119" s="39">
        <f t="shared" si="15"/>
        <v>0</v>
      </c>
      <c r="Q119" s="39">
        <f t="shared" si="16"/>
        <v>0</v>
      </c>
      <c r="R119" s="39">
        <f>'BPJS TK'!G119</f>
        <v>0</v>
      </c>
      <c r="S119" s="39">
        <f>'BPJS TK'!I119</f>
        <v>0</v>
      </c>
      <c r="T119" s="39">
        <f>'BPJS KES'!E119</f>
        <v>0</v>
      </c>
      <c r="U119" s="40">
        <f>'PPH PSL 21 - GROSS (MULAI 2024)'!L119</f>
        <v>0</v>
      </c>
      <c r="V119" s="41">
        <f t="shared" si="17"/>
        <v>0</v>
      </c>
      <c r="W119" s="49">
        <f t="shared" si="13"/>
        <v>0</v>
      </c>
      <c r="X119" s="197"/>
    </row>
    <row r="120" spans="1:25">
      <c r="A120" s="23" t="str">
        <f>IF('TENAGA KERJA'!A119=0,"",'TENAGA KERJA'!A119)</f>
        <v/>
      </c>
      <c r="B120" s="28" t="str">
        <f>IF('TENAGA KERJA'!B119=0,"",'TENAGA KERJA'!B119)</f>
        <v/>
      </c>
      <c r="C120" s="23" t="str">
        <f>IF('TENAGA KERJA'!C119=0,"",'TENAGA KERJA'!C119)</f>
        <v/>
      </c>
      <c r="D120" s="23" t="str">
        <f>IF('TENAGA KERJA'!D119=0,"",'TENAGA KERJA'!D119)</f>
        <v/>
      </c>
      <c r="E120" s="23" t="str">
        <f>IF('TENAGA KERJA'!E119=0,"",'TENAGA KERJA'!E119)</f>
        <v/>
      </c>
      <c r="F120" s="39">
        <f>'TENAGA KERJA'!K119</f>
        <v>0</v>
      </c>
      <c r="G120" s="40">
        <f>'TENAGA KERJA'!L119</f>
        <v>0</v>
      </c>
      <c r="H120" s="40">
        <f>'TENAGA KERJA'!M119</f>
        <v>0</v>
      </c>
      <c r="I120" s="39">
        <f>'TENAGA KERJA'!N119</f>
        <v>0</v>
      </c>
      <c r="J120" s="39">
        <f t="shared" si="14"/>
        <v>0</v>
      </c>
      <c r="K120" s="39">
        <f>'BPJS TK'!D120</f>
        <v>0</v>
      </c>
      <c r="L120" s="39">
        <f>'BPJS TK'!E120</f>
        <v>0</v>
      </c>
      <c r="M120" s="39">
        <f>'BPJS TK'!F120</f>
        <v>0</v>
      </c>
      <c r="N120" s="39">
        <f>'BPJS TK'!H120</f>
        <v>0</v>
      </c>
      <c r="O120" s="39">
        <f>'BPJS KES'!D120</f>
        <v>0</v>
      </c>
      <c r="P120" s="39">
        <f t="shared" si="15"/>
        <v>0</v>
      </c>
      <c r="Q120" s="39">
        <f t="shared" si="16"/>
        <v>0</v>
      </c>
      <c r="R120" s="39">
        <f>'BPJS TK'!G120</f>
        <v>0</v>
      </c>
      <c r="S120" s="39">
        <f>'BPJS TK'!I120</f>
        <v>0</v>
      </c>
      <c r="T120" s="39">
        <f>'BPJS KES'!E120</f>
        <v>0</v>
      </c>
      <c r="U120" s="40">
        <f>'PPH PSL 21 - GROSS (MULAI 2024)'!L120</f>
        <v>0</v>
      </c>
      <c r="V120" s="41">
        <f t="shared" si="17"/>
        <v>0</v>
      </c>
      <c r="W120" s="49">
        <f t="shared" si="13"/>
        <v>0</v>
      </c>
      <c r="X120" s="197"/>
    </row>
    <row r="121" spans="1:25">
      <c r="A121" s="23" t="str">
        <f>IF('TENAGA KERJA'!A120=0,"",'TENAGA KERJA'!A120)</f>
        <v/>
      </c>
      <c r="B121" s="28" t="str">
        <f>IF('TENAGA KERJA'!B120=0,"",'TENAGA KERJA'!B120)</f>
        <v/>
      </c>
      <c r="C121" s="23" t="str">
        <f>IF('TENAGA KERJA'!C120=0,"",'TENAGA KERJA'!C120)</f>
        <v/>
      </c>
      <c r="D121" s="23" t="str">
        <f>IF('TENAGA KERJA'!D120=0,"",'TENAGA KERJA'!D120)</f>
        <v/>
      </c>
      <c r="E121" s="23" t="str">
        <f>IF('TENAGA KERJA'!E120=0,"",'TENAGA KERJA'!E120)</f>
        <v/>
      </c>
      <c r="F121" s="39">
        <f>'TENAGA KERJA'!K120</f>
        <v>0</v>
      </c>
      <c r="G121" s="40">
        <f>'TENAGA KERJA'!L120</f>
        <v>0</v>
      </c>
      <c r="H121" s="40">
        <f>'TENAGA KERJA'!M120</f>
        <v>0</v>
      </c>
      <c r="I121" s="39">
        <f>'TENAGA KERJA'!N120</f>
        <v>0</v>
      </c>
      <c r="J121" s="39">
        <f t="shared" si="14"/>
        <v>0</v>
      </c>
      <c r="K121" s="39">
        <f>'BPJS TK'!D121</f>
        <v>0</v>
      </c>
      <c r="L121" s="39">
        <f>'BPJS TK'!E121</f>
        <v>0</v>
      </c>
      <c r="M121" s="39">
        <f>'BPJS TK'!F121</f>
        <v>0</v>
      </c>
      <c r="N121" s="39">
        <f>'BPJS TK'!H121</f>
        <v>0</v>
      </c>
      <c r="O121" s="39">
        <f>'BPJS KES'!D121</f>
        <v>0</v>
      </c>
      <c r="P121" s="39">
        <f t="shared" si="15"/>
        <v>0</v>
      </c>
      <c r="Q121" s="39">
        <f t="shared" si="16"/>
        <v>0</v>
      </c>
      <c r="R121" s="39">
        <f>'BPJS TK'!G121</f>
        <v>0</v>
      </c>
      <c r="S121" s="39">
        <f>'BPJS TK'!I121</f>
        <v>0</v>
      </c>
      <c r="T121" s="39">
        <f>'BPJS KES'!E121</f>
        <v>0</v>
      </c>
      <c r="U121" s="40">
        <f>'PPH PSL 21 - GROSS (MULAI 2024)'!L121</f>
        <v>0</v>
      </c>
      <c r="V121" s="41">
        <f t="shared" si="17"/>
        <v>0</v>
      </c>
      <c r="W121" s="49">
        <f t="shared" si="13"/>
        <v>0</v>
      </c>
      <c r="X121" s="197"/>
    </row>
    <row r="122" spans="1:25">
      <c r="A122" s="23" t="str">
        <f>IF('TENAGA KERJA'!A121=0,"",'TENAGA KERJA'!A121)</f>
        <v/>
      </c>
      <c r="B122" s="28" t="str">
        <f>IF('TENAGA KERJA'!B121=0,"",'TENAGA KERJA'!B121)</f>
        <v/>
      </c>
      <c r="C122" s="23" t="str">
        <f>IF('TENAGA KERJA'!C121=0,"",'TENAGA KERJA'!C121)</f>
        <v/>
      </c>
      <c r="D122" s="23" t="str">
        <f>IF('TENAGA KERJA'!D121=0,"",'TENAGA KERJA'!D121)</f>
        <v/>
      </c>
      <c r="E122" s="23" t="str">
        <f>IF('TENAGA KERJA'!E121=0,"",'TENAGA KERJA'!E121)</f>
        <v/>
      </c>
      <c r="F122" s="39">
        <f>'TENAGA KERJA'!K121</f>
        <v>0</v>
      </c>
      <c r="G122" s="40">
        <f>'TENAGA KERJA'!L121</f>
        <v>0</v>
      </c>
      <c r="H122" s="40">
        <f>'TENAGA KERJA'!M121</f>
        <v>0</v>
      </c>
      <c r="I122" s="39">
        <f>'TENAGA KERJA'!N121</f>
        <v>0</v>
      </c>
      <c r="J122" s="39">
        <f t="shared" si="14"/>
        <v>0</v>
      </c>
      <c r="K122" s="39">
        <f>'BPJS TK'!D122</f>
        <v>0</v>
      </c>
      <c r="L122" s="39">
        <f>'BPJS TK'!E122</f>
        <v>0</v>
      </c>
      <c r="M122" s="39">
        <f>'BPJS TK'!F122</f>
        <v>0</v>
      </c>
      <c r="N122" s="39">
        <f>'BPJS TK'!H122</f>
        <v>0</v>
      </c>
      <c r="O122" s="39">
        <f>'BPJS KES'!D122</f>
        <v>0</v>
      </c>
      <c r="P122" s="39">
        <f t="shared" si="15"/>
        <v>0</v>
      </c>
      <c r="Q122" s="39">
        <f t="shared" si="16"/>
        <v>0</v>
      </c>
      <c r="R122" s="39">
        <f>'BPJS TK'!G122</f>
        <v>0</v>
      </c>
      <c r="S122" s="39">
        <f>'BPJS TK'!I122</f>
        <v>0</v>
      </c>
      <c r="T122" s="39">
        <f>'BPJS KES'!E122</f>
        <v>0</v>
      </c>
      <c r="U122" s="40">
        <f>'PPH PSL 21 - GROSS (MULAI 2024)'!L122</f>
        <v>0</v>
      </c>
      <c r="V122" s="41">
        <f t="shared" si="17"/>
        <v>0</v>
      </c>
      <c r="W122" s="49">
        <f t="shared" si="13"/>
        <v>0</v>
      </c>
      <c r="X122" s="197"/>
    </row>
    <row r="123" spans="1:25">
      <c r="A123" s="23" t="str">
        <f>IF('TENAGA KERJA'!A122=0,"",'TENAGA KERJA'!A122)</f>
        <v/>
      </c>
      <c r="B123" s="28" t="str">
        <f>IF('TENAGA KERJA'!B122=0,"",'TENAGA KERJA'!B122)</f>
        <v/>
      </c>
      <c r="C123" s="23" t="str">
        <f>IF('TENAGA KERJA'!C122=0,"",'TENAGA KERJA'!C122)</f>
        <v/>
      </c>
      <c r="D123" s="23" t="str">
        <f>IF('TENAGA KERJA'!D122=0,"",'TENAGA KERJA'!D122)</f>
        <v/>
      </c>
      <c r="E123" s="23" t="str">
        <f>IF('TENAGA KERJA'!E122=0,"",'TENAGA KERJA'!E122)</f>
        <v/>
      </c>
      <c r="F123" s="39">
        <f>'TENAGA KERJA'!K122</f>
        <v>0</v>
      </c>
      <c r="G123" s="40">
        <f>'TENAGA KERJA'!L122</f>
        <v>0</v>
      </c>
      <c r="H123" s="40">
        <f>'TENAGA KERJA'!M122</f>
        <v>0</v>
      </c>
      <c r="I123" s="39">
        <f>'TENAGA KERJA'!N122</f>
        <v>0</v>
      </c>
      <c r="J123" s="39">
        <f t="shared" si="14"/>
        <v>0</v>
      </c>
      <c r="K123" s="39">
        <f>'BPJS TK'!D123</f>
        <v>0</v>
      </c>
      <c r="L123" s="39">
        <f>'BPJS TK'!E123</f>
        <v>0</v>
      </c>
      <c r="M123" s="39">
        <f>'BPJS TK'!F123</f>
        <v>0</v>
      </c>
      <c r="N123" s="39">
        <f>'BPJS TK'!H123</f>
        <v>0</v>
      </c>
      <c r="O123" s="39">
        <f>'BPJS KES'!D123</f>
        <v>0</v>
      </c>
      <c r="P123" s="39">
        <f t="shared" si="15"/>
        <v>0</v>
      </c>
      <c r="Q123" s="39">
        <f t="shared" si="16"/>
        <v>0</v>
      </c>
      <c r="R123" s="39">
        <f>'BPJS TK'!G123</f>
        <v>0</v>
      </c>
      <c r="S123" s="39">
        <f>'BPJS TK'!I123</f>
        <v>0</v>
      </c>
      <c r="T123" s="39">
        <f>'BPJS KES'!E123</f>
        <v>0</v>
      </c>
      <c r="U123" s="40">
        <f>'PPH PSL 21 - GROSS (MULAI 2024)'!L123</f>
        <v>0</v>
      </c>
      <c r="V123" s="41">
        <f t="shared" si="17"/>
        <v>0</v>
      </c>
      <c r="W123" s="49">
        <f t="shared" si="13"/>
        <v>0</v>
      </c>
      <c r="X123" s="197"/>
    </row>
    <row r="124" spans="1:25">
      <c r="A124" s="23" t="str">
        <f>IF('TENAGA KERJA'!A123=0,"",'TENAGA KERJA'!A123)</f>
        <v/>
      </c>
      <c r="B124" s="28" t="str">
        <f>IF('TENAGA KERJA'!B123=0,"",'TENAGA KERJA'!B123)</f>
        <v/>
      </c>
      <c r="C124" s="23" t="str">
        <f>IF('TENAGA KERJA'!C123=0,"",'TENAGA KERJA'!C123)</f>
        <v/>
      </c>
      <c r="D124" s="23" t="str">
        <f>IF('TENAGA KERJA'!D123=0,"",'TENAGA KERJA'!D123)</f>
        <v/>
      </c>
      <c r="E124" s="23" t="str">
        <f>IF('TENAGA KERJA'!E123=0,"",'TENAGA KERJA'!E123)</f>
        <v/>
      </c>
      <c r="F124" s="39">
        <f>'TENAGA KERJA'!K123</f>
        <v>0</v>
      </c>
      <c r="G124" s="40">
        <f>'TENAGA KERJA'!L123</f>
        <v>0</v>
      </c>
      <c r="H124" s="40">
        <f>'TENAGA KERJA'!M123</f>
        <v>0</v>
      </c>
      <c r="I124" s="39">
        <f>'TENAGA KERJA'!N123</f>
        <v>0</v>
      </c>
      <c r="J124" s="39">
        <f t="shared" si="14"/>
        <v>0</v>
      </c>
      <c r="K124" s="39">
        <f>'BPJS TK'!D124</f>
        <v>0</v>
      </c>
      <c r="L124" s="39">
        <f>'BPJS TK'!E124</f>
        <v>0</v>
      </c>
      <c r="M124" s="39">
        <f>'BPJS TK'!F124</f>
        <v>0</v>
      </c>
      <c r="N124" s="39">
        <f>'BPJS TK'!H124</f>
        <v>0</v>
      </c>
      <c r="O124" s="39">
        <f>'BPJS KES'!D124</f>
        <v>0</v>
      </c>
      <c r="P124" s="39">
        <f t="shared" si="15"/>
        <v>0</v>
      </c>
      <c r="Q124" s="39">
        <f t="shared" si="16"/>
        <v>0</v>
      </c>
      <c r="R124" s="39">
        <f>'BPJS TK'!G124</f>
        <v>0</v>
      </c>
      <c r="S124" s="39">
        <f>'BPJS TK'!I124</f>
        <v>0</v>
      </c>
      <c r="T124" s="39">
        <f>'BPJS KES'!E124</f>
        <v>0</v>
      </c>
      <c r="U124" s="40">
        <f>'PPH PSL 21 - GROSS (MULAI 2024)'!L124</f>
        <v>0</v>
      </c>
      <c r="V124" s="41">
        <f t="shared" si="17"/>
        <v>0</v>
      </c>
      <c r="W124" s="49">
        <f t="shared" si="13"/>
        <v>0</v>
      </c>
      <c r="X124" s="197"/>
    </row>
    <row r="125" spans="1:25">
      <c r="A125" s="23" t="str">
        <f>IF('TENAGA KERJA'!A124=0,"",'TENAGA KERJA'!A124)</f>
        <v/>
      </c>
      <c r="B125" s="28" t="str">
        <f>IF('TENAGA KERJA'!B124=0,"",'TENAGA KERJA'!B124)</f>
        <v/>
      </c>
      <c r="C125" s="23" t="str">
        <f>IF('TENAGA KERJA'!C124=0,"",'TENAGA KERJA'!C124)</f>
        <v/>
      </c>
      <c r="D125" s="23" t="str">
        <f>IF('TENAGA KERJA'!D124=0,"",'TENAGA KERJA'!D124)</f>
        <v/>
      </c>
      <c r="E125" s="23" t="str">
        <f>IF('TENAGA KERJA'!E124=0,"",'TENAGA KERJA'!E124)</f>
        <v/>
      </c>
      <c r="F125" s="39">
        <f>'TENAGA KERJA'!K124</f>
        <v>0</v>
      </c>
      <c r="G125" s="40">
        <f>'TENAGA KERJA'!L124</f>
        <v>0</v>
      </c>
      <c r="H125" s="40">
        <f>'TENAGA KERJA'!M124</f>
        <v>0</v>
      </c>
      <c r="I125" s="39">
        <f>'TENAGA KERJA'!N124</f>
        <v>0</v>
      </c>
      <c r="J125" s="39">
        <f t="shared" si="14"/>
        <v>0</v>
      </c>
      <c r="K125" s="39">
        <f>'BPJS TK'!D125</f>
        <v>0</v>
      </c>
      <c r="L125" s="39">
        <f>'BPJS TK'!E125</f>
        <v>0</v>
      </c>
      <c r="M125" s="39">
        <f>'BPJS TK'!F125</f>
        <v>0</v>
      </c>
      <c r="N125" s="39">
        <f>'BPJS TK'!H125</f>
        <v>0</v>
      </c>
      <c r="O125" s="39">
        <f>'BPJS KES'!D125</f>
        <v>0</v>
      </c>
      <c r="P125" s="39">
        <f t="shared" si="15"/>
        <v>0</v>
      </c>
      <c r="Q125" s="39">
        <f t="shared" si="16"/>
        <v>0</v>
      </c>
      <c r="R125" s="39">
        <f>'BPJS TK'!G125</f>
        <v>0</v>
      </c>
      <c r="S125" s="39">
        <f>'BPJS TK'!I125</f>
        <v>0</v>
      </c>
      <c r="T125" s="39">
        <f>'BPJS KES'!E125</f>
        <v>0</v>
      </c>
      <c r="U125" s="40">
        <f>'PPH PSL 21 - GROSS (MULAI 2024)'!L125</f>
        <v>0</v>
      </c>
      <c r="V125" s="41">
        <f t="shared" si="17"/>
        <v>0</v>
      </c>
      <c r="W125" s="49">
        <f t="shared" si="13"/>
        <v>0</v>
      </c>
      <c r="X125" s="197"/>
    </row>
    <row r="126" spans="1:25">
      <c r="A126" s="23" t="str">
        <f>IF('TENAGA KERJA'!A125=0,"",'TENAGA KERJA'!A125)</f>
        <v/>
      </c>
      <c r="B126" s="28" t="str">
        <f>IF('TENAGA KERJA'!B125=0,"",'TENAGA KERJA'!B125)</f>
        <v/>
      </c>
      <c r="C126" s="23" t="str">
        <f>IF('TENAGA KERJA'!C125=0,"",'TENAGA KERJA'!C125)</f>
        <v/>
      </c>
      <c r="D126" s="23" t="str">
        <f>IF('TENAGA KERJA'!D125=0,"",'TENAGA KERJA'!D125)</f>
        <v/>
      </c>
      <c r="E126" s="23" t="str">
        <f>IF('TENAGA KERJA'!E125=0,"",'TENAGA KERJA'!E125)</f>
        <v/>
      </c>
      <c r="F126" s="39">
        <f>'TENAGA KERJA'!K125</f>
        <v>0</v>
      </c>
      <c r="G126" s="40">
        <f>'TENAGA KERJA'!L125</f>
        <v>0</v>
      </c>
      <c r="H126" s="40">
        <f>'TENAGA KERJA'!M125</f>
        <v>0</v>
      </c>
      <c r="I126" s="39">
        <f>'TENAGA KERJA'!N125</f>
        <v>0</v>
      </c>
      <c r="J126" s="39">
        <f t="shared" si="14"/>
        <v>0</v>
      </c>
      <c r="K126" s="39">
        <f>'BPJS TK'!D126</f>
        <v>0</v>
      </c>
      <c r="L126" s="39">
        <f>'BPJS TK'!E126</f>
        <v>0</v>
      </c>
      <c r="M126" s="39">
        <f>'BPJS TK'!F126</f>
        <v>0</v>
      </c>
      <c r="N126" s="39">
        <f>'BPJS TK'!H126</f>
        <v>0</v>
      </c>
      <c r="O126" s="39">
        <f>'BPJS KES'!D126</f>
        <v>0</v>
      </c>
      <c r="P126" s="39">
        <f t="shared" si="15"/>
        <v>0</v>
      </c>
      <c r="Q126" s="39">
        <f t="shared" si="16"/>
        <v>0</v>
      </c>
      <c r="R126" s="39">
        <f>'BPJS TK'!G126</f>
        <v>0</v>
      </c>
      <c r="S126" s="39">
        <f>'BPJS TK'!I126</f>
        <v>0</v>
      </c>
      <c r="T126" s="39">
        <f>'BPJS KES'!E126</f>
        <v>0</v>
      </c>
      <c r="U126" s="40">
        <f>'PPH PSL 21 - GROSS (MULAI 2024)'!L126</f>
        <v>0</v>
      </c>
      <c r="V126" s="41">
        <f t="shared" si="17"/>
        <v>0</v>
      </c>
      <c r="W126" s="49">
        <f t="shared" si="13"/>
        <v>0</v>
      </c>
      <c r="X126" s="197"/>
    </row>
    <row r="127" spans="1:25">
      <c r="A127" s="23" t="str">
        <f>IF('TENAGA KERJA'!A126=0,"",'TENAGA KERJA'!A126)</f>
        <v/>
      </c>
      <c r="B127" s="28" t="str">
        <f>IF('TENAGA KERJA'!B126=0,"",'TENAGA KERJA'!B126)</f>
        <v/>
      </c>
      <c r="C127" s="23" t="str">
        <f>IF('TENAGA KERJA'!C126=0,"",'TENAGA KERJA'!C126)</f>
        <v/>
      </c>
      <c r="D127" s="23" t="str">
        <f>IF('TENAGA KERJA'!D126=0,"",'TENAGA KERJA'!D126)</f>
        <v/>
      </c>
      <c r="E127" s="23" t="str">
        <f>IF('TENAGA KERJA'!E126=0,"",'TENAGA KERJA'!E126)</f>
        <v/>
      </c>
      <c r="F127" s="39">
        <f>'TENAGA KERJA'!K126</f>
        <v>0</v>
      </c>
      <c r="G127" s="40">
        <f>'TENAGA KERJA'!L126</f>
        <v>0</v>
      </c>
      <c r="H127" s="40">
        <f>'TENAGA KERJA'!M126</f>
        <v>0</v>
      </c>
      <c r="I127" s="39">
        <f>'TENAGA KERJA'!N126</f>
        <v>0</v>
      </c>
      <c r="J127" s="39">
        <f t="shared" si="14"/>
        <v>0</v>
      </c>
      <c r="K127" s="39">
        <f>'BPJS TK'!D127</f>
        <v>0</v>
      </c>
      <c r="L127" s="39">
        <f>'BPJS TK'!E127</f>
        <v>0</v>
      </c>
      <c r="M127" s="39">
        <f>'BPJS TK'!F127</f>
        <v>0</v>
      </c>
      <c r="N127" s="39">
        <f>'BPJS TK'!H127</f>
        <v>0</v>
      </c>
      <c r="O127" s="39">
        <f>'BPJS KES'!D127</f>
        <v>0</v>
      </c>
      <c r="P127" s="39">
        <f t="shared" si="15"/>
        <v>0</v>
      </c>
      <c r="Q127" s="39">
        <f t="shared" si="16"/>
        <v>0</v>
      </c>
      <c r="R127" s="39">
        <f>'BPJS TK'!G127</f>
        <v>0</v>
      </c>
      <c r="S127" s="39">
        <f>'BPJS TK'!I127</f>
        <v>0</v>
      </c>
      <c r="T127" s="39">
        <f>'BPJS KES'!E127</f>
        <v>0</v>
      </c>
      <c r="U127" s="40">
        <f>'PPH PSL 21 - GROSS (MULAI 2024)'!L127</f>
        <v>0</v>
      </c>
      <c r="V127" s="41">
        <f t="shared" si="17"/>
        <v>0</v>
      </c>
      <c r="W127" s="49">
        <f t="shared" si="13"/>
        <v>0</v>
      </c>
      <c r="X127" s="197"/>
      <c r="Y127" s="52"/>
    </row>
    <row r="128" spans="1:25">
      <c r="A128" s="23" t="str">
        <f>IF('TENAGA KERJA'!A127=0,"",'TENAGA KERJA'!A127)</f>
        <v/>
      </c>
      <c r="B128" s="28" t="str">
        <f>IF('TENAGA KERJA'!B127=0,"",'TENAGA KERJA'!B127)</f>
        <v/>
      </c>
      <c r="C128" s="23" t="str">
        <f>IF('TENAGA KERJA'!C127=0,"",'TENAGA KERJA'!C127)</f>
        <v/>
      </c>
      <c r="D128" s="23" t="str">
        <f>IF('TENAGA KERJA'!D127=0,"",'TENAGA KERJA'!D127)</f>
        <v/>
      </c>
      <c r="E128" s="23" t="str">
        <f>IF('TENAGA KERJA'!E127=0,"",'TENAGA KERJA'!E127)</f>
        <v/>
      </c>
      <c r="F128" s="39">
        <f>'TENAGA KERJA'!K127</f>
        <v>0</v>
      </c>
      <c r="G128" s="40">
        <f>'TENAGA KERJA'!L127</f>
        <v>0</v>
      </c>
      <c r="H128" s="40">
        <f>'TENAGA KERJA'!M127</f>
        <v>0</v>
      </c>
      <c r="I128" s="39">
        <f>'TENAGA KERJA'!N127</f>
        <v>0</v>
      </c>
      <c r="J128" s="39">
        <f t="shared" si="14"/>
        <v>0</v>
      </c>
      <c r="K128" s="39">
        <f>'BPJS TK'!D128</f>
        <v>0</v>
      </c>
      <c r="L128" s="39">
        <f>'BPJS TK'!E128</f>
        <v>0</v>
      </c>
      <c r="M128" s="39">
        <f>'BPJS TK'!F128</f>
        <v>0</v>
      </c>
      <c r="N128" s="39">
        <f>'BPJS TK'!H128</f>
        <v>0</v>
      </c>
      <c r="O128" s="39">
        <f>'BPJS KES'!D128</f>
        <v>0</v>
      </c>
      <c r="P128" s="39">
        <f t="shared" si="15"/>
        <v>0</v>
      </c>
      <c r="Q128" s="39">
        <f t="shared" si="16"/>
        <v>0</v>
      </c>
      <c r="R128" s="39">
        <f>'BPJS TK'!G128</f>
        <v>0</v>
      </c>
      <c r="S128" s="39">
        <f>'BPJS TK'!I128</f>
        <v>0</v>
      </c>
      <c r="T128" s="39">
        <f>'BPJS KES'!E128</f>
        <v>0</v>
      </c>
      <c r="U128" s="40">
        <f>'PPH PSL 21 - GROSS (MULAI 2024)'!L128</f>
        <v>0</v>
      </c>
      <c r="V128" s="41">
        <f t="shared" si="17"/>
        <v>0</v>
      </c>
      <c r="W128" s="49">
        <f t="shared" si="13"/>
        <v>0</v>
      </c>
      <c r="X128" s="197"/>
    </row>
    <row r="129" spans="1:26">
      <c r="A129" s="23" t="str">
        <f>IF('TENAGA KERJA'!A128=0,"",'TENAGA KERJA'!A128)</f>
        <v/>
      </c>
      <c r="B129" s="28" t="str">
        <f>IF('TENAGA KERJA'!B128=0,"",'TENAGA KERJA'!B128)</f>
        <v/>
      </c>
      <c r="C129" s="23" t="str">
        <f>IF('TENAGA KERJA'!C128=0,"",'TENAGA KERJA'!C128)</f>
        <v/>
      </c>
      <c r="D129" s="23" t="str">
        <f>IF('TENAGA KERJA'!D128=0,"",'TENAGA KERJA'!D128)</f>
        <v/>
      </c>
      <c r="E129" s="23" t="str">
        <f>IF('TENAGA KERJA'!E128=0,"",'TENAGA KERJA'!E128)</f>
        <v/>
      </c>
      <c r="F129" s="39">
        <f>'TENAGA KERJA'!K128</f>
        <v>0</v>
      </c>
      <c r="G129" s="40">
        <f>'TENAGA KERJA'!L128</f>
        <v>0</v>
      </c>
      <c r="H129" s="40">
        <f>'TENAGA KERJA'!M128</f>
        <v>0</v>
      </c>
      <c r="I129" s="39">
        <f>'TENAGA KERJA'!N128</f>
        <v>0</v>
      </c>
      <c r="J129" s="39">
        <f t="shared" si="14"/>
        <v>0</v>
      </c>
      <c r="K129" s="39">
        <f>'BPJS TK'!D129</f>
        <v>0</v>
      </c>
      <c r="L129" s="39">
        <f>'BPJS TK'!E129</f>
        <v>0</v>
      </c>
      <c r="M129" s="39">
        <f>'BPJS TK'!F129</f>
        <v>0</v>
      </c>
      <c r="N129" s="39">
        <f>'BPJS TK'!H129</f>
        <v>0</v>
      </c>
      <c r="O129" s="39">
        <f>'BPJS KES'!D129</f>
        <v>0</v>
      </c>
      <c r="P129" s="39">
        <f t="shared" si="15"/>
        <v>0</v>
      </c>
      <c r="Q129" s="39">
        <f t="shared" si="16"/>
        <v>0</v>
      </c>
      <c r="R129" s="39">
        <f>'BPJS TK'!G129</f>
        <v>0</v>
      </c>
      <c r="S129" s="39">
        <f>'BPJS TK'!I129</f>
        <v>0</v>
      </c>
      <c r="T129" s="39">
        <f>'BPJS KES'!E129</f>
        <v>0</v>
      </c>
      <c r="U129" s="40">
        <f>'PPH PSL 21 - GROSS (MULAI 2024)'!L129</f>
        <v>0</v>
      </c>
      <c r="V129" s="41">
        <f t="shared" si="17"/>
        <v>0</v>
      </c>
      <c r="W129" s="49">
        <f t="shared" si="13"/>
        <v>0</v>
      </c>
      <c r="X129" s="197"/>
    </row>
    <row r="130" spans="1:26">
      <c r="A130" s="23" t="str">
        <f>IF('TENAGA KERJA'!A129=0,"",'TENAGA KERJA'!A129)</f>
        <v/>
      </c>
      <c r="B130" s="28" t="str">
        <f>IF('TENAGA KERJA'!B129=0,"",'TENAGA KERJA'!B129)</f>
        <v/>
      </c>
      <c r="C130" s="23" t="str">
        <f>IF('TENAGA KERJA'!C129=0,"",'TENAGA KERJA'!C129)</f>
        <v/>
      </c>
      <c r="D130" s="23" t="str">
        <f>IF('TENAGA KERJA'!D129=0,"",'TENAGA KERJA'!D129)</f>
        <v/>
      </c>
      <c r="E130" s="23" t="str">
        <f>IF('TENAGA KERJA'!E129=0,"",'TENAGA KERJA'!E129)</f>
        <v/>
      </c>
      <c r="F130" s="39">
        <f>'TENAGA KERJA'!K129</f>
        <v>0</v>
      </c>
      <c r="G130" s="40">
        <f>'TENAGA KERJA'!L129</f>
        <v>0</v>
      </c>
      <c r="H130" s="40">
        <f>'TENAGA KERJA'!M129</f>
        <v>0</v>
      </c>
      <c r="I130" s="39">
        <f>'TENAGA KERJA'!N129</f>
        <v>0</v>
      </c>
      <c r="J130" s="39">
        <f t="shared" si="14"/>
        <v>0</v>
      </c>
      <c r="K130" s="39">
        <f>'BPJS TK'!D130</f>
        <v>0</v>
      </c>
      <c r="L130" s="39">
        <f>'BPJS TK'!E130</f>
        <v>0</v>
      </c>
      <c r="M130" s="39">
        <f>'BPJS TK'!F130</f>
        <v>0</v>
      </c>
      <c r="N130" s="39">
        <f>'BPJS TK'!H130</f>
        <v>0</v>
      </c>
      <c r="O130" s="39">
        <f>'BPJS KES'!D130</f>
        <v>0</v>
      </c>
      <c r="P130" s="39">
        <f t="shared" si="15"/>
        <v>0</v>
      </c>
      <c r="Q130" s="39">
        <f t="shared" si="16"/>
        <v>0</v>
      </c>
      <c r="R130" s="39">
        <f>'BPJS TK'!G130</f>
        <v>0</v>
      </c>
      <c r="S130" s="39">
        <f>'BPJS TK'!I130</f>
        <v>0</v>
      </c>
      <c r="T130" s="39">
        <f>'BPJS KES'!E130</f>
        <v>0</v>
      </c>
      <c r="U130" s="40">
        <f>'PPH PSL 21 - GROSS (MULAI 2024)'!L130</f>
        <v>0</v>
      </c>
      <c r="V130" s="41">
        <f t="shared" si="17"/>
        <v>0</v>
      </c>
      <c r="W130" s="49">
        <f t="shared" si="13"/>
        <v>0</v>
      </c>
      <c r="X130" s="197"/>
    </row>
    <row r="131" spans="1:26">
      <c r="A131" s="23" t="str">
        <f>IF('TENAGA KERJA'!A130=0,"",'TENAGA KERJA'!A130)</f>
        <v/>
      </c>
      <c r="B131" s="28" t="str">
        <f>IF('TENAGA KERJA'!B130=0,"",'TENAGA KERJA'!B130)</f>
        <v/>
      </c>
      <c r="C131" s="23" t="str">
        <f>IF('TENAGA KERJA'!C130=0,"",'TENAGA KERJA'!C130)</f>
        <v/>
      </c>
      <c r="D131" s="23" t="str">
        <f>IF('TENAGA KERJA'!D130=0,"",'TENAGA KERJA'!D130)</f>
        <v/>
      </c>
      <c r="E131" s="23" t="str">
        <f>IF('TENAGA KERJA'!E130=0,"",'TENAGA KERJA'!E130)</f>
        <v/>
      </c>
      <c r="F131" s="39">
        <f>'TENAGA KERJA'!K130</f>
        <v>0</v>
      </c>
      <c r="G131" s="40">
        <f>'TENAGA KERJA'!L130</f>
        <v>0</v>
      </c>
      <c r="H131" s="40">
        <f>'TENAGA KERJA'!M130</f>
        <v>0</v>
      </c>
      <c r="I131" s="39">
        <f>'TENAGA KERJA'!N130</f>
        <v>0</v>
      </c>
      <c r="J131" s="39">
        <f t="shared" si="14"/>
        <v>0</v>
      </c>
      <c r="K131" s="39">
        <f>'BPJS TK'!D131</f>
        <v>16832.899300000001</v>
      </c>
      <c r="L131" s="39">
        <f>'BPJS TK'!E131</f>
        <v>5674.0110000000004</v>
      </c>
      <c r="M131" s="39">
        <f>'BPJS TK'!F131</f>
        <v>69979.468999999997</v>
      </c>
      <c r="N131" s="39">
        <f>'BPJS TK'!H131</f>
        <v>0</v>
      </c>
      <c r="O131" s="39">
        <f>'BPJS KES'!D131</f>
        <v>175653.48</v>
      </c>
      <c r="P131" s="39">
        <f t="shared" si="15"/>
        <v>268139.85930000001</v>
      </c>
      <c r="Q131" s="39">
        <f t="shared" si="16"/>
        <v>268139.85930000001</v>
      </c>
      <c r="R131" s="39">
        <f>'BPJS TK'!G131</f>
        <v>37826.74</v>
      </c>
      <c r="S131" s="39">
        <f>'BPJS TK'!I131</f>
        <v>0</v>
      </c>
      <c r="T131" s="39">
        <f>'BPJS KES'!E131</f>
        <v>43913.37</v>
      </c>
      <c r="U131" s="40">
        <f>'PPH PSL 21 - GROSS (MULAI 2024)'!L131</f>
        <v>0</v>
      </c>
      <c r="V131" s="41">
        <f t="shared" si="17"/>
        <v>81740.11</v>
      </c>
      <c r="W131" s="49">
        <f t="shared" ref="W131:W194" si="18">J131-V131</f>
        <v>-81740.11</v>
      </c>
      <c r="X131" s="197"/>
      <c r="Y131" s="50"/>
      <c r="Z131" s="52"/>
    </row>
    <row r="132" spans="1:26">
      <c r="A132" s="23" t="str">
        <f>IF('TENAGA KERJA'!A131=0,"",'TENAGA KERJA'!A131)</f>
        <v/>
      </c>
      <c r="B132" s="28" t="str">
        <f>IF('TENAGA KERJA'!B131=0,"",'TENAGA KERJA'!B131)</f>
        <v/>
      </c>
      <c r="C132" s="23" t="str">
        <f>IF('TENAGA KERJA'!C131=0,"",'TENAGA KERJA'!C131)</f>
        <v/>
      </c>
      <c r="D132" s="23" t="str">
        <f>IF('TENAGA KERJA'!D131=0,"",'TENAGA KERJA'!D131)</f>
        <v/>
      </c>
      <c r="E132" s="23" t="str">
        <f>IF('TENAGA KERJA'!E131=0,"",'TENAGA KERJA'!E131)</f>
        <v/>
      </c>
      <c r="F132" s="39">
        <f>'TENAGA KERJA'!K131</f>
        <v>0</v>
      </c>
      <c r="G132" s="40">
        <f>'TENAGA KERJA'!L131</f>
        <v>0</v>
      </c>
      <c r="H132" s="40">
        <f>'TENAGA KERJA'!M131</f>
        <v>0</v>
      </c>
      <c r="I132" s="39">
        <f>'TENAGA KERJA'!N131</f>
        <v>0</v>
      </c>
      <c r="J132" s="39">
        <f t="shared" si="14"/>
        <v>0</v>
      </c>
      <c r="K132" s="39">
        <f>'BPJS TK'!D132</f>
        <v>0</v>
      </c>
      <c r="L132" s="39">
        <f>'BPJS TK'!E132</f>
        <v>0</v>
      </c>
      <c r="M132" s="39">
        <f>'BPJS TK'!F132</f>
        <v>0</v>
      </c>
      <c r="N132" s="39">
        <f>'BPJS TK'!H132</f>
        <v>0</v>
      </c>
      <c r="O132" s="39">
        <f>'BPJS KES'!D132</f>
        <v>0</v>
      </c>
      <c r="P132" s="39">
        <f t="shared" si="15"/>
        <v>0</v>
      </c>
      <c r="Q132" s="39">
        <f t="shared" si="16"/>
        <v>0</v>
      </c>
      <c r="R132" s="39">
        <f>'BPJS TK'!G132</f>
        <v>0</v>
      </c>
      <c r="S132" s="39">
        <f>'BPJS TK'!I132</f>
        <v>0</v>
      </c>
      <c r="T132" s="39">
        <f>'BPJS KES'!E132</f>
        <v>0</v>
      </c>
      <c r="U132" s="40">
        <f>'PPH PSL 21 - GROSS (MULAI 2024)'!L132</f>
        <v>0</v>
      </c>
      <c r="V132" s="41">
        <f t="shared" si="17"/>
        <v>0</v>
      </c>
      <c r="W132" s="49">
        <f t="shared" si="18"/>
        <v>0</v>
      </c>
      <c r="X132" s="197"/>
    </row>
    <row r="133" spans="1:26">
      <c r="A133" s="23" t="str">
        <f>IF('TENAGA KERJA'!A132=0,"",'TENAGA KERJA'!A132)</f>
        <v/>
      </c>
      <c r="B133" s="28" t="str">
        <f>IF('TENAGA KERJA'!B132=0,"",'TENAGA KERJA'!B132)</f>
        <v/>
      </c>
      <c r="C133" s="23" t="str">
        <f>IF('TENAGA KERJA'!C132=0,"",'TENAGA KERJA'!C132)</f>
        <v/>
      </c>
      <c r="D133" s="23" t="str">
        <f>IF('TENAGA KERJA'!D132=0,"",'TENAGA KERJA'!D132)</f>
        <v/>
      </c>
      <c r="E133" s="23" t="str">
        <f>IF('TENAGA KERJA'!E132=0,"",'TENAGA KERJA'!E132)</f>
        <v/>
      </c>
      <c r="F133" s="39">
        <f>'TENAGA KERJA'!K132</f>
        <v>0</v>
      </c>
      <c r="G133" s="40">
        <f>'TENAGA KERJA'!L132</f>
        <v>0</v>
      </c>
      <c r="H133" s="40">
        <f>'TENAGA KERJA'!M132</f>
        <v>0</v>
      </c>
      <c r="I133" s="39">
        <f>'TENAGA KERJA'!N132</f>
        <v>0</v>
      </c>
      <c r="J133" s="39">
        <f t="shared" ref="J133:J196" si="19">SUM(F133:I133)</f>
        <v>0</v>
      </c>
      <c r="K133" s="39">
        <f>'BPJS TK'!D133</f>
        <v>0</v>
      </c>
      <c r="L133" s="39">
        <f>'BPJS TK'!E133</f>
        <v>0</v>
      </c>
      <c r="M133" s="39">
        <f>'BPJS TK'!F133</f>
        <v>0</v>
      </c>
      <c r="N133" s="39">
        <f>'BPJS TK'!H133</f>
        <v>0</v>
      </c>
      <c r="O133" s="39">
        <f>'BPJS KES'!D133</f>
        <v>0</v>
      </c>
      <c r="P133" s="39">
        <f t="shared" ref="P133:P196" si="20">SUM(K133:O133)</f>
        <v>0</v>
      </c>
      <c r="Q133" s="39">
        <f t="shared" ref="Q133:Q196" si="21">J133+P133</f>
        <v>0</v>
      </c>
      <c r="R133" s="39">
        <f>'BPJS TK'!G133</f>
        <v>0</v>
      </c>
      <c r="S133" s="39">
        <f>'BPJS TK'!I133</f>
        <v>0</v>
      </c>
      <c r="T133" s="39">
        <f>'BPJS KES'!E133</f>
        <v>0</v>
      </c>
      <c r="U133" s="40">
        <f>'PPH PSL 21 - GROSS (MULAI 2024)'!L133</f>
        <v>0</v>
      </c>
      <c r="V133" s="41">
        <f t="shared" ref="V133:V196" si="22">SUM(R133:U133)</f>
        <v>0</v>
      </c>
      <c r="W133" s="49">
        <f t="shared" si="18"/>
        <v>0</v>
      </c>
      <c r="X133" s="197"/>
    </row>
    <row r="134" spans="1:26">
      <c r="A134" s="23" t="str">
        <f>IF('TENAGA KERJA'!A133=0,"",'TENAGA KERJA'!A133)</f>
        <v/>
      </c>
      <c r="B134" s="28" t="str">
        <f>IF('TENAGA KERJA'!B133=0,"",'TENAGA KERJA'!B133)</f>
        <v/>
      </c>
      <c r="C134" s="23" t="str">
        <f>IF('TENAGA KERJA'!C133=0,"",'TENAGA KERJA'!C133)</f>
        <v/>
      </c>
      <c r="D134" s="23" t="str">
        <f>IF('TENAGA KERJA'!D133=0,"",'TENAGA KERJA'!D133)</f>
        <v/>
      </c>
      <c r="E134" s="23" t="str">
        <f>IF('TENAGA KERJA'!E133=0,"",'TENAGA KERJA'!E133)</f>
        <v/>
      </c>
      <c r="F134" s="39">
        <f>'TENAGA KERJA'!K133</f>
        <v>0</v>
      </c>
      <c r="G134" s="40">
        <f>'TENAGA KERJA'!L133</f>
        <v>0</v>
      </c>
      <c r="H134" s="40">
        <f>'TENAGA KERJA'!M133</f>
        <v>0</v>
      </c>
      <c r="I134" s="39">
        <f>'TENAGA KERJA'!N133</f>
        <v>0</v>
      </c>
      <c r="J134" s="39">
        <f t="shared" si="19"/>
        <v>0</v>
      </c>
      <c r="K134" s="39">
        <f>'BPJS TK'!D134</f>
        <v>0</v>
      </c>
      <c r="L134" s="39">
        <f>'BPJS TK'!E134</f>
        <v>0</v>
      </c>
      <c r="M134" s="39">
        <f>'BPJS TK'!F134</f>
        <v>0</v>
      </c>
      <c r="N134" s="39">
        <f>'BPJS TK'!H134</f>
        <v>0</v>
      </c>
      <c r="O134" s="39">
        <f>'BPJS KES'!D134</f>
        <v>0</v>
      </c>
      <c r="P134" s="39">
        <f t="shared" si="20"/>
        <v>0</v>
      </c>
      <c r="Q134" s="39">
        <f t="shared" si="21"/>
        <v>0</v>
      </c>
      <c r="R134" s="39">
        <f>'BPJS TK'!G134</f>
        <v>0</v>
      </c>
      <c r="S134" s="39">
        <f>'BPJS TK'!I134</f>
        <v>0</v>
      </c>
      <c r="T134" s="39">
        <f>'BPJS KES'!E134</f>
        <v>0</v>
      </c>
      <c r="U134" s="40">
        <f>'PPH PSL 21 - GROSS (MULAI 2024)'!L134</f>
        <v>0</v>
      </c>
      <c r="V134" s="41">
        <f t="shared" si="22"/>
        <v>0</v>
      </c>
      <c r="W134" s="49">
        <f t="shared" si="18"/>
        <v>0</v>
      </c>
      <c r="X134" s="197"/>
      <c r="Y134" s="51"/>
    </row>
    <row r="135" spans="1:26">
      <c r="A135" s="23" t="str">
        <f>IF('TENAGA KERJA'!A134=0,"",'TENAGA KERJA'!A134)</f>
        <v/>
      </c>
      <c r="B135" s="28" t="str">
        <f>IF('TENAGA KERJA'!B134=0,"",'TENAGA KERJA'!B134)</f>
        <v/>
      </c>
      <c r="C135" s="23" t="str">
        <f>IF('TENAGA KERJA'!C134=0,"",'TENAGA KERJA'!C134)</f>
        <v/>
      </c>
      <c r="D135" s="23" t="str">
        <f>IF('TENAGA KERJA'!D134=0,"",'TENAGA KERJA'!D134)</f>
        <v/>
      </c>
      <c r="E135" s="23" t="str">
        <f>IF('TENAGA KERJA'!E134=0,"",'TENAGA KERJA'!E134)</f>
        <v/>
      </c>
      <c r="F135" s="39">
        <f>'TENAGA KERJA'!K134</f>
        <v>0</v>
      </c>
      <c r="G135" s="40">
        <f>'TENAGA KERJA'!L134</f>
        <v>0</v>
      </c>
      <c r="H135" s="40">
        <f>'TENAGA KERJA'!M134</f>
        <v>0</v>
      </c>
      <c r="I135" s="39">
        <f>'TENAGA KERJA'!N134</f>
        <v>0</v>
      </c>
      <c r="J135" s="39">
        <f t="shared" si="19"/>
        <v>0</v>
      </c>
      <c r="K135" s="39">
        <f>'BPJS TK'!D135</f>
        <v>0</v>
      </c>
      <c r="L135" s="39">
        <f>'BPJS TK'!E135</f>
        <v>0</v>
      </c>
      <c r="M135" s="39">
        <f>'BPJS TK'!F135</f>
        <v>0</v>
      </c>
      <c r="N135" s="39">
        <f>'BPJS TK'!H135</f>
        <v>0</v>
      </c>
      <c r="O135" s="39">
        <f>'BPJS KES'!D135</f>
        <v>0</v>
      </c>
      <c r="P135" s="39">
        <f t="shared" si="20"/>
        <v>0</v>
      </c>
      <c r="Q135" s="39">
        <f t="shared" si="21"/>
        <v>0</v>
      </c>
      <c r="R135" s="39">
        <f>'BPJS TK'!G135</f>
        <v>0</v>
      </c>
      <c r="S135" s="39">
        <f>'BPJS TK'!I135</f>
        <v>0</v>
      </c>
      <c r="T135" s="39">
        <f>'BPJS KES'!E135</f>
        <v>0</v>
      </c>
      <c r="U135" s="40">
        <f>'PPH PSL 21 - GROSS (MULAI 2024)'!L135</f>
        <v>0</v>
      </c>
      <c r="V135" s="41">
        <f t="shared" si="22"/>
        <v>0</v>
      </c>
      <c r="W135" s="49">
        <f t="shared" si="18"/>
        <v>0</v>
      </c>
      <c r="X135" s="197"/>
      <c r="Y135" s="50"/>
    </row>
    <row r="136" spans="1:26">
      <c r="A136" s="23" t="str">
        <f>IF('TENAGA KERJA'!A135=0,"",'TENAGA KERJA'!A135)</f>
        <v/>
      </c>
      <c r="B136" s="28" t="str">
        <f>IF('TENAGA KERJA'!B135=0,"",'TENAGA KERJA'!B135)</f>
        <v/>
      </c>
      <c r="C136" s="23" t="str">
        <f>IF('TENAGA KERJA'!C135=0,"",'TENAGA KERJA'!C135)</f>
        <v/>
      </c>
      <c r="D136" s="23" t="str">
        <f>IF('TENAGA KERJA'!D135=0,"",'TENAGA KERJA'!D135)</f>
        <v/>
      </c>
      <c r="E136" s="23" t="str">
        <f>IF('TENAGA KERJA'!E135=0,"",'TENAGA KERJA'!E135)</f>
        <v/>
      </c>
      <c r="F136" s="39">
        <f>'TENAGA KERJA'!K135</f>
        <v>0</v>
      </c>
      <c r="G136" s="40">
        <f>'TENAGA KERJA'!L135</f>
        <v>0</v>
      </c>
      <c r="H136" s="40">
        <f>'TENAGA KERJA'!M135</f>
        <v>0</v>
      </c>
      <c r="I136" s="39">
        <f>'TENAGA KERJA'!N135</f>
        <v>0</v>
      </c>
      <c r="J136" s="39">
        <f t="shared" si="19"/>
        <v>0</v>
      </c>
      <c r="K136" s="39">
        <f>'BPJS TK'!D136</f>
        <v>0</v>
      </c>
      <c r="L136" s="39">
        <f>'BPJS TK'!E136</f>
        <v>0</v>
      </c>
      <c r="M136" s="39">
        <f>'BPJS TK'!F136</f>
        <v>0</v>
      </c>
      <c r="N136" s="39">
        <f>'BPJS TK'!H136</f>
        <v>0</v>
      </c>
      <c r="O136" s="39">
        <f>'BPJS KES'!D136</f>
        <v>0</v>
      </c>
      <c r="P136" s="39">
        <f t="shared" si="20"/>
        <v>0</v>
      </c>
      <c r="Q136" s="39">
        <f t="shared" si="21"/>
        <v>0</v>
      </c>
      <c r="R136" s="39">
        <f>'BPJS TK'!G136</f>
        <v>0</v>
      </c>
      <c r="S136" s="39">
        <f>'BPJS TK'!I136</f>
        <v>0</v>
      </c>
      <c r="T136" s="39">
        <f>'BPJS KES'!E136</f>
        <v>0</v>
      </c>
      <c r="U136" s="40">
        <f>'PPH PSL 21 - GROSS (MULAI 2024)'!L136</f>
        <v>0</v>
      </c>
      <c r="V136" s="41">
        <f t="shared" si="22"/>
        <v>0</v>
      </c>
      <c r="W136" s="49">
        <f t="shared" si="18"/>
        <v>0</v>
      </c>
      <c r="X136" s="197"/>
      <c r="Y136" s="50"/>
    </row>
    <row r="137" spans="1:26">
      <c r="A137" s="23" t="str">
        <f>IF('TENAGA KERJA'!A136=0,"",'TENAGA KERJA'!A136)</f>
        <v/>
      </c>
      <c r="B137" s="28" t="str">
        <f>IF('TENAGA KERJA'!B136=0,"",'TENAGA KERJA'!B136)</f>
        <v/>
      </c>
      <c r="C137" s="23" t="str">
        <f>IF('TENAGA KERJA'!C136=0,"",'TENAGA KERJA'!C136)</f>
        <v/>
      </c>
      <c r="D137" s="23" t="str">
        <f>IF('TENAGA KERJA'!D136=0,"",'TENAGA KERJA'!D136)</f>
        <v/>
      </c>
      <c r="E137" s="23" t="str">
        <f>IF('TENAGA KERJA'!E136=0,"",'TENAGA KERJA'!E136)</f>
        <v/>
      </c>
      <c r="F137" s="39">
        <f>'TENAGA KERJA'!K136</f>
        <v>0</v>
      </c>
      <c r="G137" s="40">
        <f>'TENAGA KERJA'!L136</f>
        <v>0</v>
      </c>
      <c r="H137" s="40">
        <f>'TENAGA KERJA'!M136</f>
        <v>0</v>
      </c>
      <c r="I137" s="39">
        <f>'TENAGA KERJA'!N136</f>
        <v>0</v>
      </c>
      <c r="J137" s="39">
        <f t="shared" si="19"/>
        <v>0</v>
      </c>
      <c r="K137" s="39">
        <f>'BPJS TK'!D137</f>
        <v>0</v>
      </c>
      <c r="L137" s="39">
        <f>'BPJS TK'!E137</f>
        <v>0</v>
      </c>
      <c r="M137" s="39">
        <f>'BPJS TK'!F137</f>
        <v>0</v>
      </c>
      <c r="N137" s="39">
        <f>'BPJS TK'!H137</f>
        <v>0</v>
      </c>
      <c r="O137" s="39">
        <f>'BPJS KES'!D137</f>
        <v>0</v>
      </c>
      <c r="P137" s="39">
        <f t="shared" si="20"/>
        <v>0</v>
      </c>
      <c r="Q137" s="39">
        <f t="shared" si="21"/>
        <v>0</v>
      </c>
      <c r="R137" s="39">
        <f>'BPJS TK'!G137</f>
        <v>0</v>
      </c>
      <c r="S137" s="39">
        <f>'BPJS TK'!I137</f>
        <v>0</v>
      </c>
      <c r="T137" s="39">
        <f>'BPJS KES'!E137</f>
        <v>0</v>
      </c>
      <c r="U137" s="40">
        <f>'PPH PSL 21 - GROSS (MULAI 2024)'!L137</f>
        <v>0</v>
      </c>
      <c r="V137" s="41">
        <f t="shared" si="22"/>
        <v>0</v>
      </c>
      <c r="W137" s="49">
        <f t="shared" si="18"/>
        <v>0</v>
      </c>
      <c r="X137" s="197">
        <f>238085071.423126+W183+W184</f>
        <v>238085071.42312601</v>
      </c>
      <c r="Y137" s="52"/>
    </row>
    <row r="138" spans="1:26">
      <c r="A138" s="23" t="str">
        <f>IF('TENAGA KERJA'!A137=0,"",'TENAGA KERJA'!A137)</f>
        <v/>
      </c>
      <c r="B138" s="28" t="str">
        <f>IF('TENAGA KERJA'!B137=0,"",'TENAGA KERJA'!B137)</f>
        <v/>
      </c>
      <c r="C138" s="23" t="str">
        <f>IF('TENAGA KERJA'!C137=0,"",'TENAGA KERJA'!C137)</f>
        <v/>
      </c>
      <c r="D138" s="23" t="str">
        <f>IF('TENAGA KERJA'!D137=0,"",'TENAGA KERJA'!D137)</f>
        <v/>
      </c>
      <c r="E138" s="23" t="str">
        <f>IF('TENAGA KERJA'!E137=0,"",'TENAGA KERJA'!E137)</f>
        <v/>
      </c>
      <c r="F138" s="39">
        <f>'TENAGA KERJA'!K137</f>
        <v>0</v>
      </c>
      <c r="G138" s="40">
        <f>'TENAGA KERJA'!L137</f>
        <v>0</v>
      </c>
      <c r="H138" s="40">
        <f>'TENAGA KERJA'!M137</f>
        <v>0</v>
      </c>
      <c r="I138" s="39">
        <f>'TENAGA KERJA'!N137</f>
        <v>0</v>
      </c>
      <c r="J138" s="39">
        <f t="shared" si="19"/>
        <v>0</v>
      </c>
      <c r="K138" s="39">
        <f>'BPJS TK'!D138</f>
        <v>0</v>
      </c>
      <c r="L138" s="39">
        <f>'BPJS TK'!E138</f>
        <v>0</v>
      </c>
      <c r="M138" s="39">
        <f>'BPJS TK'!F138</f>
        <v>0</v>
      </c>
      <c r="N138" s="39">
        <f>'BPJS TK'!H138</f>
        <v>0</v>
      </c>
      <c r="O138" s="39">
        <f>'BPJS KES'!D138</f>
        <v>0</v>
      </c>
      <c r="P138" s="39">
        <f t="shared" si="20"/>
        <v>0</v>
      </c>
      <c r="Q138" s="39">
        <f t="shared" si="21"/>
        <v>0</v>
      </c>
      <c r="R138" s="39">
        <f>'BPJS TK'!G138</f>
        <v>0</v>
      </c>
      <c r="S138" s="39">
        <f>'BPJS TK'!I138</f>
        <v>0</v>
      </c>
      <c r="T138" s="39">
        <f>'BPJS KES'!E138</f>
        <v>0</v>
      </c>
      <c r="U138" s="40">
        <f>'PPH PSL 21 - GROSS (MULAI 2024)'!L138</f>
        <v>0</v>
      </c>
      <c r="V138" s="41">
        <f t="shared" si="22"/>
        <v>0</v>
      </c>
      <c r="W138" s="49">
        <f t="shared" si="18"/>
        <v>0</v>
      </c>
      <c r="X138" s="197">
        <f>SUM(W102:W137)</f>
        <v>-81740.11</v>
      </c>
      <c r="Y138" s="52"/>
    </row>
    <row r="139" spans="1:26">
      <c r="A139" s="23" t="str">
        <f>IF('TENAGA KERJA'!A138=0,"",'TENAGA KERJA'!A138)</f>
        <v/>
      </c>
      <c r="B139" s="28" t="str">
        <f>IF('TENAGA KERJA'!B138=0,"",'TENAGA KERJA'!B138)</f>
        <v/>
      </c>
      <c r="C139" s="23" t="str">
        <f>IF('TENAGA KERJA'!C138=0,"",'TENAGA KERJA'!C138)</f>
        <v/>
      </c>
      <c r="D139" s="23" t="str">
        <f>IF('TENAGA KERJA'!D138=0,"",'TENAGA KERJA'!D138)</f>
        <v/>
      </c>
      <c r="E139" s="23" t="str">
        <f>IF('TENAGA KERJA'!E138=0,"",'TENAGA KERJA'!E138)</f>
        <v/>
      </c>
      <c r="F139" s="39">
        <f>'TENAGA KERJA'!K138</f>
        <v>0</v>
      </c>
      <c r="G139" s="40">
        <f>'TENAGA KERJA'!L138</f>
        <v>0</v>
      </c>
      <c r="H139" s="40">
        <f>'TENAGA KERJA'!M138</f>
        <v>0</v>
      </c>
      <c r="I139" s="39">
        <f>'TENAGA KERJA'!N138</f>
        <v>0</v>
      </c>
      <c r="J139" s="39">
        <f t="shared" si="19"/>
        <v>0</v>
      </c>
      <c r="K139" s="39">
        <f>'BPJS TK'!D139</f>
        <v>0</v>
      </c>
      <c r="L139" s="39">
        <f>'BPJS TK'!E139</f>
        <v>0</v>
      </c>
      <c r="M139" s="39">
        <f>'BPJS TK'!F139</f>
        <v>0</v>
      </c>
      <c r="N139" s="39">
        <f>'BPJS TK'!H139</f>
        <v>0</v>
      </c>
      <c r="O139" s="39">
        <f>'BPJS KES'!D139</f>
        <v>0</v>
      </c>
      <c r="P139" s="39">
        <f t="shared" si="20"/>
        <v>0</v>
      </c>
      <c r="Q139" s="39">
        <f t="shared" si="21"/>
        <v>0</v>
      </c>
      <c r="R139" s="39">
        <f>'BPJS TK'!G139</f>
        <v>0</v>
      </c>
      <c r="S139" s="39">
        <f>'BPJS TK'!I139</f>
        <v>0</v>
      </c>
      <c r="T139" s="39">
        <f>'BPJS KES'!E139</f>
        <v>0</v>
      </c>
      <c r="U139" s="40">
        <f>'PPH PSL 21 - GROSS (MULAI 2024)'!L139</f>
        <v>0</v>
      </c>
      <c r="V139" s="41">
        <f t="shared" si="22"/>
        <v>0</v>
      </c>
      <c r="W139" s="49">
        <f t="shared" si="18"/>
        <v>0</v>
      </c>
      <c r="X139" s="197"/>
    </row>
    <row r="140" spans="1:26">
      <c r="A140" s="23" t="str">
        <f>IF('TENAGA KERJA'!A139=0,"",'TENAGA KERJA'!A139)</f>
        <v/>
      </c>
      <c r="B140" s="28" t="str">
        <f>IF('TENAGA KERJA'!B139=0,"",'TENAGA KERJA'!B139)</f>
        <v/>
      </c>
      <c r="C140" s="23" t="str">
        <f>IF('TENAGA KERJA'!C139=0,"",'TENAGA KERJA'!C139)</f>
        <v/>
      </c>
      <c r="D140" s="23" t="str">
        <f>IF('TENAGA KERJA'!D139=0,"",'TENAGA KERJA'!D139)</f>
        <v/>
      </c>
      <c r="E140" s="23" t="str">
        <f>IF('TENAGA KERJA'!E139=0,"",'TENAGA KERJA'!E139)</f>
        <v/>
      </c>
      <c r="F140" s="39">
        <f>'TENAGA KERJA'!K139</f>
        <v>0</v>
      </c>
      <c r="G140" s="40">
        <f>'TENAGA KERJA'!L139</f>
        <v>0</v>
      </c>
      <c r="H140" s="40">
        <f>'TENAGA KERJA'!M139</f>
        <v>0</v>
      </c>
      <c r="I140" s="39">
        <f>'TENAGA KERJA'!N139</f>
        <v>0</v>
      </c>
      <c r="J140" s="39">
        <f t="shared" si="19"/>
        <v>0</v>
      </c>
      <c r="K140" s="39">
        <f>'BPJS TK'!D140</f>
        <v>0</v>
      </c>
      <c r="L140" s="39">
        <f>'BPJS TK'!E140</f>
        <v>0</v>
      </c>
      <c r="M140" s="39">
        <f>'BPJS TK'!F140</f>
        <v>0</v>
      </c>
      <c r="N140" s="39">
        <f>'BPJS TK'!H140</f>
        <v>0</v>
      </c>
      <c r="O140" s="39">
        <f>'BPJS KES'!D140</f>
        <v>0</v>
      </c>
      <c r="P140" s="39">
        <f t="shared" si="20"/>
        <v>0</v>
      </c>
      <c r="Q140" s="39">
        <f t="shared" si="21"/>
        <v>0</v>
      </c>
      <c r="R140" s="39">
        <f>'BPJS TK'!G140</f>
        <v>0</v>
      </c>
      <c r="S140" s="39">
        <f>'BPJS TK'!I140</f>
        <v>0</v>
      </c>
      <c r="T140" s="39">
        <f>'BPJS KES'!E140</f>
        <v>0</v>
      </c>
      <c r="U140" s="40">
        <f>'PPH PSL 21 - GROSS (MULAI 2024)'!L140</f>
        <v>0</v>
      </c>
      <c r="V140" s="41">
        <f t="shared" si="22"/>
        <v>0</v>
      </c>
      <c r="W140" s="49">
        <f t="shared" si="18"/>
        <v>0</v>
      </c>
      <c r="X140" s="197"/>
    </row>
    <row r="141" spans="1:26">
      <c r="A141" s="23" t="str">
        <f>IF('TENAGA KERJA'!A140=0,"",'TENAGA KERJA'!A140)</f>
        <v/>
      </c>
      <c r="B141" s="28" t="str">
        <f>IF('TENAGA KERJA'!B140=0,"",'TENAGA KERJA'!B140)</f>
        <v/>
      </c>
      <c r="C141" s="23" t="str">
        <f>IF('TENAGA KERJA'!C140=0,"",'TENAGA KERJA'!C140)</f>
        <v/>
      </c>
      <c r="D141" s="23" t="str">
        <f>IF('TENAGA KERJA'!D140=0,"",'TENAGA KERJA'!D140)</f>
        <v/>
      </c>
      <c r="E141" s="23" t="str">
        <f>IF('TENAGA KERJA'!E140=0,"",'TENAGA KERJA'!E140)</f>
        <v/>
      </c>
      <c r="F141" s="39">
        <f>'TENAGA KERJA'!K140</f>
        <v>0</v>
      </c>
      <c r="G141" s="40">
        <f>'TENAGA KERJA'!L140</f>
        <v>0</v>
      </c>
      <c r="H141" s="40">
        <f>'TENAGA KERJA'!M140</f>
        <v>0</v>
      </c>
      <c r="I141" s="39">
        <f>'TENAGA KERJA'!N140</f>
        <v>0</v>
      </c>
      <c r="J141" s="39">
        <f t="shared" si="19"/>
        <v>0</v>
      </c>
      <c r="K141" s="39">
        <f>'BPJS TK'!D141</f>
        <v>0</v>
      </c>
      <c r="L141" s="39">
        <f>'BPJS TK'!E141</f>
        <v>0</v>
      </c>
      <c r="M141" s="39">
        <f>'BPJS TK'!F141</f>
        <v>0</v>
      </c>
      <c r="N141" s="39">
        <f>'BPJS TK'!H141</f>
        <v>0</v>
      </c>
      <c r="O141" s="39">
        <f>'BPJS KES'!D141</f>
        <v>0</v>
      </c>
      <c r="P141" s="39">
        <f t="shared" si="20"/>
        <v>0</v>
      </c>
      <c r="Q141" s="39">
        <f t="shared" si="21"/>
        <v>0</v>
      </c>
      <c r="R141" s="39">
        <f>'BPJS TK'!G141</f>
        <v>0</v>
      </c>
      <c r="S141" s="39">
        <f>'BPJS TK'!I141</f>
        <v>0</v>
      </c>
      <c r="T141" s="39">
        <f>'BPJS KES'!E141</f>
        <v>0</v>
      </c>
      <c r="U141" s="40">
        <f>'PPH PSL 21 - GROSS (MULAI 2024)'!L141</f>
        <v>0</v>
      </c>
      <c r="V141" s="41">
        <f t="shared" si="22"/>
        <v>0</v>
      </c>
      <c r="W141" s="49">
        <f t="shared" si="18"/>
        <v>0</v>
      </c>
      <c r="X141" s="197"/>
    </row>
    <row r="142" spans="1:26">
      <c r="A142" s="23" t="str">
        <f>IF('TENAGA KERJA'!A141=0,"",'TENAGA KERJA'!A141)</f>
        <v/>
      </c>
      <c r="B142" s="28" t="str">
        <f>IF('TENAGA KERJA'!B141=0,"",'TENAGA KERJA'!B141)</f>
        <v/>
      </c>
      <c r="C142" s="23" t="str">
        <f>IF('TENAGA KERJA'!C141=0,"",'TENAGA KERJA'!C141)</f>
        <v/>
      </c>
      <c r="D142" s="23" t="str">
        <f>IF('TENAGA KERJA'!D141=0,"",'TENAGA KERJA'!D141)</f>
        <v/>
      </c>
      <c r="E142" s="23" t="str">
        <f>IF('TENAGA KERJA'!E141=0,"",'TENAGA KERJA'!E141)</f>
        <v/>
      </c>
      <c r="F142" s="39">
        <f>'TENAGA KERJA'!K141</f>
        <v>0</v>
      </c>
      <c r="G142" s="40">
        <f>'TENAGA KERJA'!L141</f>
        <v>0</v>
      </c>
      <c r="H142" s="40">
        <f>'TENAGA KERJA'!M141</f>
        <v>0</v>
      </c>
      <c r="I142" s="39">
        <f>'TENAGA KERJA'!N141</f>
        <v>0</v>
      </c>
      <c r="J142" s="39">
        <f t="shared" si="19"/>
        <v>0</v>
      </c>
      <c r="K142" s="39">
        <f>'BPJS TK'!D142</f>
        <v>0</v>
      </c>
      <c r="L142" s="39">
        <f>'BPJS TK'!E142</f>
        <v>0</v>
      </c>
      <c r="M142" s="39">
        <f>'BPJS TK'!F142</f>
        <v>0</v>
      </c>
      <c r="N142" s="39">
        <f>'BPJS TK'!H142</f>
        <v>0</v>
      </c>
      <c r="O142" s="39">
        <f>'BPJS KES'!D142</f>
        <v>0</v>
      </c>
      <c r="P142" s="39">
        <f t="shared" si="20"/>
        <v>0</v>
      </c>
      <c r="Q142" s="39">
        <f t="shared" si="21"/>
        <v>0</v>
      </c>
      <c r="R142" s="39">
        <f>'BPJS TK'!G142</f>
        <v>0</v>
      </c>
      <c r="S142" s="39">
        <f>'BPJS TK'!I142</f>
        <v>0</v>
      </c>
      <c r="T142" s="39">
        <f>'BPJS KES'!E142</f>
        <v>0</v>
      </c>
      <c r="U142" s="40">
        <f>'PPH PSL 21 - GROSS (MULAI 2024)'!L142</f>
        <v>0</v>
      </c>
      <c r="V142" s="41">
        <f t="shared" si="22"/>
        <v>0</v>
      </c>
      <c r="W142" s="49">
        <f t="shared" si="18"/>
        <v>0</v>
      </c>
      <c r="X142" s="197"/>
    </row>
    <row r="143" spans="1:26">
      <c r="A143" s="23" t="str">
        <f>IF('TENAGA KERJA'!A142=0,"",'TENAGA KERJA'!A142)</f>
        <v/>
      </c>
      <c r="B143" s="28" t="str">
        <f>IF('TENAGA KERJA'!B142=0,"",'TENAGA KERJA'!B142)</f>
        <v/>
      </c>
      <c r="C143" s="23" t="str">
        <f>IF('TENAGA KERJA'!C142=0,"",'TENAGA KERJA'!C142)</f>
        <v/>
      </c>
      <c r="D143" s="23" t="str">
        <f>IF('TENAGA KERJA'!D142=0,"",'TENAGA KERJA'!D142)</f>
        <v/>
      </c>
      <c r="E143" s="23" t="str">
        <f>IF('TENAGA KERJA'!E142=0,"",'TENAGA KERJA'!E142)</f>
        <v/>
      </c>
      <c r="F143" s="39">
        <f>'TENAGA KERJA'!K142</f>
        <v>0</v>
      </c>
      <c r="G143" s="40">
        <f>'TENAGA KERJA'!L142</f>
        <v>0</v>
      </c>
      <c r="H143" s="40">
        <f>'TENAGA KERJA'!M142</f>
        <v>0</v>
      </c>
      <c r="I143" s="39">
        <f>'TENAGA KERJA'!N142</f>
        <v>0</v>
      </c>
      <c r="J143" s="39">
        <f t="shared" si="19"/>
        <v>0</v>
      </c>
      <c r="K143" s="39">
        <f>'BPJS TK'!D143</f>
        <v>0</v>
      </c>
      <c r="L143" s="39">
        <f>'BPJS TK'!E143</f>
        <v>0</v>
      </c>
      <c r="M143" s="39">
        <f>'BPJS TK'!F143</f>
        <v>0</v>
      </c>
      <c r="N143" s="39">
        <f>'BPJS TK'!H143</f>
        <v>0</v>
      </c>
      <c r="O143" s="39">
        <f>'BPJS KES'!D143</f>
        <v>0</v>
      </c>
      <c r="P143" s="39">
        <f t="shared" si="20"/>
        <v>0</v>
      </c>
      <c r="Q143" s="39">
        <f t="shared" si="21"/>
        <v>0</v>
      </c>
      <c r="R143" s="39">
        <f>'BPJS TK'!G143</f>
        <v>0</v>
      </c>
      <c r="S143" s="39">
        <f>'BPJS TK'!I143</f>
        <v>0</v>
      </c>
      <c r="T143" s="39">
        <f>'BPJS KES'!E143</f>
        <v>0</v>
      </c>
      <c r="U143" s="40">
        <f>'PPH PSL 21 - GROSS (MULAI 2024)'!L143</f>
        <v>0</v>
      </c>
      <c r="V143" s="41">
        <f t="shared" si="22"/>
        <v>0</v>
      </c>
      <c r="W143" s="49">
        <f t="shared" si="18"/>
        <v>0</v>
      </c>
      <c r="X143" s="197"/>
    </row>
    <row r="144" spans="1:26">
      <c r="A144" s="23" t="str">
        <f>IF('TENAGA KERJA'!A143=0,"",'TENAGA KERJA'!A143)</f>
        <v/>
      </c>
      <c r="B144" s="28" t="str">
        <f>IF('TENAGA KERJA'!B143=0,"",'TENAGA KERJA'!B143)</f>
        <v/>
      </c>
      <c r="C144" s="23" t="str">
        <f>IF('TENAGA KERJA'!C143=0,"",'TENAGA KERJA'!C143)</f>
        <v/>
      </c>
      <c r="D144" s="23" t="str">
        <f>IF('TENAGA KERJA'!D143=0,"",'TENAGA KERJA'!D143)</f>
        <v/>
      </c>
      <c r="E144" s="23" t="str">
        <f>IF('TENAGA KERJA'!E143=0,"",'TENAGA KERJA'!E143)</f>
        <v/>
      </c>
      <c r="F144" s="39">
        <f>'TENAGA KERJA'!K143</f>
        <v>0</v>
      </c>
      <c r="G144" s="40">
        <f>'TENAGA KERJA'!L143</f>
        <v>0</v>
      </c>
      <c r="H144" s="40">
        <f>'TENAGA KERJA'!M143</f>
        <v>0</v>
      </c>
      <c r="I144" s="39">
        <f>'TENAGA KERJA'!N143</f>
        <v>0</v>
      </c>
      <c r="J144" s="39">
        <f t="shared" si="19"/>
        <v>0</v>
      </c>
      <c r="K144" s="39">
        <f>'BPJS TK'!D144</f>
        <v>0</v>
      </c>
      <c r="L144" s="39">
        <f>'BPJS TK'!E144</f>
        <v>0</v>
      </c>
      <c r="M144" s="39">
        <f>'BPJS TK'!F144</f>
        <v>0</v>
      </c>
      <c r="N144" s="39">
        <f>'BPJS TK'!H144</f>
        <v>0</v>
      </c>
      <c r="O144" s="39">
        <f>'BPJS KES'!D144</f>
        <v>0</v>
      </c>
      <c r="P144" s="39">
        <f t="shared" si="20"/>
        <v>0</v>
      </c>
      <c r="Q144" s="39">
        <f t="shared" si="21"/>
        <v>0</v>
      </c>
      <c r="R144" s="39">
        <f>'BPJS TK'!G144</f>
        <v>0</v>
      </c>
      <c r="S144" s="39">
        <f>'BPJS TK'!I144</f>
        <v>0</v>
      </c>
      <c r="T144" s="39">
        <f>'BPJS KES'!E144</f>
        <v>0</v>
      </c>
      <c r="U144" s="40">
        <f>'PPH PSL 21 - GROSS (MULAI 2024)'!L144</f>
        <v>0</v>
      </c>
      <c r="V144" s="41">
        <f t="shared" si="22"/>
        <v>0</v>
      </c>
      <c r="W144" s="49">
        <f t="shared" si="18"/>
        <v>0</v>
      </c>
      <c r="X144" s="197"/>
    </row>
    <row r="145" spans="1:24">
      <c r="A145" s="23" t="str">
        <f>IF('TENAGA KERJA'!A144=0,"",'TENAGA KERJA'!A144)</f>
        <v/>
      </c>
      <c r="B145" s="28" t="str">
        <f>IF('TENAGA KERJA'!B144=0,"",'TENAGA KERJA'!B144)</f>
        <v/>
      </c>
      <c r="C145" s="23" t="str">
        <f>IF('TENAGA KERJA'!C144=0,"",'TENAGA KERJA'!C144)</f>
        <v/>
      </c>
      <c r="D145" s="23" t="str">
        <f>IF('TENAGA KERJA'!D144=0,"",'TENAGA KERJA'!D144)</f>
        <v/>
      </c>
      <c r="E145" s="23" t="str">
        <f>IF('TENAGA KERJA'!E144=0,"",'TENAGA KERJA'!E144)</f>
        <v/>
      </c>
      <c r="F145" s="39">
        <f>'TENAGA KERJA'!K144</f>
        <v>0</v>
      </c>
      <c r="G145" s="40">
        <f>'TENAGA KERJA'!L144</f>
        <v>0</v>
      </c>
      <c r="H145" s="40">
        <f>'TENAGA KERJA'!M144</f>
        <v>0</v>
      </c>
      <c r="I145" s="39">
        <f>'TENAGA KERJA'!N144</f>
        <v>0</v>
      </c>
      <c r="J145" s="39">
        <f t="shared" si="19"/>
        <v>0</v>
      </c>
      <c r="K145" s="39">
        <f>'BPJS TK'!D145</f>
        <v>0</v>
      </c>
      <c r="L145" s="39">
        <f>'BPJS TK'!E145</f>
        <v>0</v>
      </c>
      <c r="M145" s="39">
        <f>'BPJS TK'!F145</f>
        <v>0</v>
      </c>
      <c r="N145" s="39">
        <f>'BPJS TK'!H145</f>
        <v>0</v>
      </c>
      <c r="O145" s="39">
        <f>'BPJS KES'!D145</f>
        <v>0</v>
      </c>
      <c r="P145" s="39">
        <f t="shared" si="20"/>
        <v>0</v>
      </c>
      <c r="Q145" s="39">
        <f t="shared" si="21"/>
        <v>0</v>
      </c>
      <c r="R145" s="39">
        <f>'BPJS TK'!G145</f>
        <v>0</v>
      </c>
      <c r="S145" s="39">
        <f>'BPJS TK'!I145</f>
        <v>0</v>
      </c>
      <c r="T145" s="39">
        <f>'BPJS KES'!E145</f>
        <v>0</v>
      </c>
      <c r="U145" s="40">
        <f>'PPH PSL 21 - GROSS (MULAI 2024)'!L145</f>
        <v>0</v>
      </c>
      <c r="V145" s="41">
        <f t="shared" si="22"/>
        <v>0</v>
      </c>
      <c r="W145" s="49">
        <f t="shared" si="18"/>
        <v>0</v>
      </c>
      <c r="X145" s="197"/>
    </row>
    <row r="146" spans="1:24">
      <c r="A146" s="23" t="str">
        <f>IF('TENAGA KERJA'!A145=0,"",'TENAGA KERJA'!A145)</f>
        <v/>
      </c>
      <c r="B146" s="28" t="str">
        <f>IF('TENAGA KERJA'!B145=0,"",'TENAGA KERJA'!B145)</f>
        <v/>
      </c>
      <c r="C146" s="23" t="str">
        <f>IF('TENAGA KERJA'!C145=0,"",'TENAGA KERJA'!C145)</f>
        <v/>
      </c>
      <c r="D146" s="23" t="str">
        <f>IF('TENAGA KERJA'!D145=0,"",'TENAGA KERJA'!D145)</f>
        <v/>
      </c>
      <c r="E146" s="23" t="str">
        <f>IF('TENAGA KERJA'!E145=0,"",'TENAGA KERJA'!E145)</f>
        <v/>
      </c>
      <c r="F146" s="39">
        <f>'TENAGA KERJA'!K145</f>
        <v>0</v>
      </c>
      <c r="G146" s="40">
        <f>'TENAGA KERJA'!L145</f>
        <v>0</v>
      </c>
      <c r="H146" s="40">
        <f>'TENAGA KERJA'!M145</f>
        <v>0</v>
      </c>
      <c r="I146" s="39">
        <f>'TENAGA KERJA'!N145</f>
        <v>0</v>
      </c>
      <c r="J146" s="39">
        <f t="shared" si="19"/>
        <v>0</v>
      </c>
      <c r="K146" s="39">
        <f>'BPJS TK'!D146</f>
        <v>0</v>
      </c>
      <c r="L146" s="39">
        <f>'BPJS TK'!E146</f>
        <v>0</v>
      </c>
      <c r="M146" s="39">
        <f>'BPJS TK'!F146</f>
        <v>0</v>
      </c>
      <c r="N146" s="39">
        <f>'BPJS TK'!H146</f>
        <v>0</v>
      </c>
      <c r="O146" s="39">
        <f>'BPJS KES'!D146</f>
        <v>0</v>
      </c>
      <c r="P146" s="39">
        <f t="shared" si="20"/>
        <v>0</v>
      </c>
      <c r="Q146" s="39">
        <f t="shared" si="21"/>
        <v>0</v>
      </c>
      <c r="R146" s="39">
        <f>'BPJS TK'!G146</f>
        <v>0</v>
      </c>
      <c r="S146" s="39">
        <f>'BPJS TK'!I146</f>
        <v>0</v>
      </c>
      <c r="T146" s="39">
        <f>'BPJS KES'!E146</f>
        <v>0</v>
      </c>
      <c r="U146" s="40">
        <f>'PPH PSL 21 - GROSS (MULAI 2024)'!L146</f>
        <v>0</v>
      </c>
      <c r="V146" s="41">
        <f t="shared" si="22"/>
        <v>0</v>
      </c>
      <c r="W146" s="49">
        <f t="shared" si="18"/>
        <v>0</v>
      </c>
      <c r="X146" s="197"/>
    </row>
    <row r="147" spans="1:24">
      <c r="A147" s="23" t="str">
        <f>IF('TENAGA KERJA'!A146=0,"",'TENAGA KERJA'!A146)</f>
        <v/>
      </c>
      <c r="B147" s="28" t="str">
        <f>IF('TENAGA KERJA'!B146=0,"",'TENAGA KERJA'!B146)</f>
        <v/>
      </c>
      <c r="C147" s="23" t="str">
        <f>IF('TENAGA KERJA'!C146=0,"",'TENAGA KERJA'!C146)</f>
        <v/>
      </c>
      <c r="D147" s="23" t="str">
        <f>IF('TENAGA KERJA'!D146=0,"",'TENAGA KERJA'!D146)</f>
        <v/>
      </c>
      <c r="E147" s="23" t="str">
        <f>IF('TENAGA KERJA'!E146=0,"",'TENAGA KERJA'!E146)</f>
        <v/>
      </c>
      <c r="F147" s="39">
        <f>'TENAGA KERJA'!K146</f>
        <v>0</v>
      </c>
      <c r="G147" s="40">
        <f>'TENAGA KERJA'!L146</f>
        <v>0</v>
      </c>
      <c r="H147" s="40">
        <f>'TENAGA KERJA'!M146</f>
        <v>0</v>
      </c>
      <c r="I147" s="39">
        <f>'TENAGA KERJA'!N146</f>
        <v>0</v>
      </c>
      <c r="J147" s="39">
        <f t="shared" si="19"/>
        <v>0</v>
      </c>
      <c r="K147" s="39">
        <f>'BPJS TK'!D147</f>
        <v>0</v>
      </c>
      <c r="L147" s="39">
        <f>'BPJS TK'!E147</f>
        <v>0</v>
      </c>
      <c r="M147" s="39">
        <f>'BPJS TK'!F147</f>
        <v>0</v>
      </c>
      <c r="N147" s="39">
        <f>'BPJS TK'!H147</f>
        <v>0</v>
      </c>
      <c r="O147" s="39">
        <f>'BPJS KES'!D147</f>
        <v>0</v>
      </c>
      <c r="P147" s="39">
        <f t="shared" si="20"/>
        <v>0</v>
      </c>
      <c r="Q147" s="39">
        <f t="shared" si="21"/>
        <v>0</v>
      </c>
      <c r="R147" s="39">
        <f>'BPJS TK'!G147</f>
        <v>0</v>
      </c>
      <c r="S147" s="39">
        <f>'BPJS TK'!I147</f>
        <v>0</v>
      </c>
      <c r="T147" s="39">
        <f>'BPJS KES'!E147</f>
        <v>0</v>
      </c>
      <c r="U147" s="40">
        <f>'PPH PSL 21 - GROSS (MULAI 2024)'!L147</f>
        <v>0</v>
      </c>
      <c r="V147" s="41">
        <f t="shared" si="22"/>
        <v>0</v>
      </c>
      <c r="W147" s="49">
        <f t="shared" si="18"/>
        <v>0</v>
      </c>
      <c r="X147" s="197"/>
    </row>
    <row r="148" spans="1:24">
      <c r="A148" s="23" t="str">
        <f>IF('TENAGA KERJA'!A147=0,"",'TENAGA KERJA'!A147)</f>
        <v/>
      </c>
      <c r="B148" s="28" t="str">
        <f>IF('TENAGA KERJA'!B147=0,"",'TENAGA KERJA'!B147)</f>
        <v/>
      </c>
      <c r="C148" s="23" t="str">
        <f>IF('TENAGA KERJA'!C147=0,"",'TENAGA KERJA'!C147)</f>
        <v/>
      </c>
      <c r="D148" s="23" t="str">
        <f>IF('TENAGA KERJA'!D147=0,"",'TENAGA KERJA'!D147)</f>
        <v/>
      </c>
      <c r="E148" s="23" t="str">
        <f>IF('TENAGA KERJA'!E147=0,"",'TENAGA KERJA'!E147)</f>
        <v/>
      </c>
      <c r="F148" s="39">
        <f>'TENAGA KERJA'!K147</f>
        <v>0</v>
      </c>
      <c r="G148" s="40">
        <f>'TENAGA KERJA'!L147</f>
        <v>0</v>
      </c>
      <c r="H148" s="40">
        <f>'TENAGA KERJA'!M147</f>
        <v>0</v>
      </c>
      <c r="I148" s="39">
        <f>'TENAGA KERJA'!N147</f>
        <v>0</v>
      </c>
      <c r="J148" s="39">
        <f t="shared" si="19"/>
        <v>0</v>
      </c>
      <c r="K148" s="39">
        <f>'BPJS TK'!D148</f>
        <v>0</v>
      </c>
      <c r="L148" s="39">
        <f>'BPJS TK'!E148</f>
        <v>0</v>
      </c>
      <c r="M148" s="39">
        <f>'BPJS TK'!F148</f>
        <v>0</v>
      </c>
      <c r="N148" s="39">
        <f>'BPJS TK'!H148</f>
        <v>0</v>
      </c>
      <c r="O148" s="39">
        <f>'BPJS KES'!D148</f>
        <v>0</v>
      </c>
      <c r="P148" s="39">
        <f t="shared" si="20"/>
        <v>0</v>
      </c>
      <c r="Q148" s="39">
        <f t="shared" si="21"/>
        <v>0</v>
      </c>
      <c r="R148" s="39">
        <f>'BPJS TK'!G148</f>
        <v>0</v>
      </c>
      <c r="S148" s="39">
        <f>'BPJS TK'!I148</f>
        <v>0</v>
      </c>
      <c r="T148" s="39">
        <f>'BPJS KES'!E148</f>
        <v>0</v>
      </c>
      <c r="U148" s="40">
        <f>'PPH PSL 21 - GROSS (MULAI 2024)'!L148</f>
        <v>0</v>
      </c>
      <c r="V148" s="41">
        <f t="shared" si="22"/>
        <v>0</v>
      </c>
      <c r="W148" s="49">
        <f t="shared" si="18"/>
        <v>0</v>
      </c>
      <c r="X148" s="197"/>
    </row>
    <row r="149" spans="1:24">
      <c r="A149" s="23" t="str">
        <f>IF('TENAGA KERJA'!A148=0,"",'TENAGA KERJA'!A148)</f>
        <v/>
      </c>
      <c r="B149" s="28" t="str">
        <f>IF('TENAGA KERJA'!B148=0,"",'TENAGA KERJA'!B148)</f>
        <v/>
      </c>
      <c r="C149" s="23" t="str">
        <f>IF('TENAGA KERJA'!C148=0,"",'TENAGA KERJA'!C148)</f>
        <v/>
      </c>
      <c r="D149" s="23" t="str">
        <f>IF('TENAGA KERJA'!D148=0,"",'TENAGA KERJA'!D148)</f>
        <v/>
      </c>
      <c r="E149" s="23" t="str">
        <f>IF('TENAGA KERJA'!E148=0,"",'TENAGA KERJA'!E148)</f>
        <v/>
      </c>
      <c r="F149" s="39">
        <f>'TENAGA KERJA'!K148</f>
        <v>0</v>
      </c>
      <c r="G149" s="40">
        <f>'TENAGA KERJA'!L148</f>
        <v>0</v>
      </c>
      <c r="H149" s="40">
        <f>'TENAGA KERJA'!M148</f>
        <v>0</v>
      </c>
      <c r="I149" s="39">
        <f>'TENAGA KERJA'!N148</f>
        <v>0</v>
      </c>
      <c r="J149" s="39">
        <f t="shared" si="19"/>
        <v>0</v>
      </c>
      <c r="K149" s="39">
        <f>'BPJS TK'!D149</f>
        <v>0</v>
      </c>
      <c r="L149" s="39">
        <f>'BPJS TK'!E149</f>
        <v>0</v>
      </c>
      <c r="M149" s="39">
        <f>'BPJS TK'!F149</f>
        <v>0</v>
      </c>
      <c r="N149" s="39">
        <f>'BPJS TK'!H149</f>
        <v>0</v>
      </c>
      <c r="O149" s="39">
        <f>'BPJS KES'!D149</f>
        <v>0</v>
      </c>
      <c r="P149" s="39">
        <f t="shared" si="20"/>
        <v>0</v>
      </c>
      <c r="Q149" s="39">
        <f t="shared" si="21"/>
        <v>0</v>
      </c>
      <c r="R149" s="39">
        <f>'BPJS TK'!G149</f>
        <v>0</v>
      </c>
      <c r="S149" s="39">
        <f>'BPJS TK'!I149</f>
        <v>0</v>
      </c>
      <c r="T149" s="39">
        <f>'BPJS KES'!E149</f>
        <v>0</v>
      </c>
      <c r="U149" s="40">
        <f>'PPH PSL 21 - GROSS (MULAI 2024)'!L149</f>
        <v>0</v>
      </c>
      <c r="V149" s="41">
        <f t="shared" si="22"/>
        <v>0</v>
      </c>
      <c r="W149" s="49">
        <f t="shared" si="18"/>
        <v>0</v>
      </c>
      <c r="X149" s="197"/>
    </row>
    <row r="150" spans="1:24">
      <c r="A150" s="23" t="str">
        <f>IF('TENAGA KERJA'!A149=0,"",'TENAGA KERJA'!A149)</f>
        <v/>
      </c>
      <c r="B150" s="28" t="str">
        <f>IF('TENAGA KERJA'!B149=0,"",'TENAGA KERJA'!B149)</f>
        <v/>
      </c>
      <c r="C150" s="23" t="str">
        <f>IF('TENAGA KERJA'!C149=0,"",'TENAGA KERJA'!C149)</f>
        <v/>
      </c>
      <c r="D150" s="23" t="str">
        <f>IF('TENAGA KERJA'!D149=0,"",'TENAGA KERJA'!D149)</f>
        <v/>
      </c>
      <c r="E150" s="23" t="str">
        <f>IF('TENAGA KERJA'!E149=0,"",'TENAGA KERJA'!E149)</f>
        <v/>
      </c>
      <c r="F150" s="39">
        <f>'TENAGA KERJA'!K149</f>
        <v>0</v>
      </c>
      <c r="G150" s="40">
        <f>'TENAGA KERJA'!L149</f>
        <v>0</v>
      </c>
      <c r="H150" s="40">
        <f>'TENAGA KERJA'!M149</f>
        <v>0</v>
      </c>
      <c r="I150" s="39">
        <f>'TENAGA KERJA'!N149</f>
        <v>0</v>
      </c>
      <c r="J150" s="39">
        <f t="shared" si="19"/>
        <v>0</v>
      </c>
      <c r="K150" s="39">
        <f>'BPJS TK'!D150</f>
        <v>0</v>
      </c>
      <c r="L150" s="39">
        <f>'BPJS TK'!E150</f>
        <v>0</v>
      </c>
      <c r="M150" s="39">
        <f>'BPJS TK'!F150</f>
        <v>0</v>
      </c>
      <c r="N150" s="39">
        <f>'BPJS TK'!H150</f>
        <v>0</v>
      </c>
      <c r="O150" s="39">
        <f>'BPJS KES'!D150</f>
        <v>0</v>
      </c>
      <c r="P150" s="39">
        <f t="shared" si="20"/>
        <v>0</v>
      </c>
      <c r="Q150" s="39">
        <f t="shared" si="21"/>
        <v>0</v>
      </c>
      <c r="R150" s="39">
        <f>'BPJS TK'!G150</f>
        <v>0</v>
      </c>
      <c r="S150" s="39">
        <f>'BPJS TK'!I150</f>
        <v>0</v>
      </c>
      <c r="T150" s="39">
        <f>'BPJS KES'!E150</f>
        <v>0</v>
      </c>
      <c r="U150" s="40">
        <f>'PPH PSL 21 - GROSS (MULAI 2024)'!L150</f>
        <v>0</v>
      </c>
      <c r="V150" s="41">
        <f t="shared" si="22"/>
        <v>0</v>
      </c>
      <c r="W150" s="49">
        <f t="shared" si="18"/>
        <v>0</v>
      </c>
      <c r="X150" s="197"/>
    </row>
    <row r="151" spans="1:24">
      <c r="A151" s="23" t="str">
        <f>IF('TENAGA KERJA'!A150=0,"",'TENAGA KERJA'!A150)</f>
        <v/>
      </c>
      <c r="B151" s="28" t="str">
        <f>IF('TENAGA KERJA'!B150=0,"",'TENAGA KERJA'!B150)</f>
        <v/>
      </c>
      <c r="C151" s="23" t="str">
        <f>IF('TENAGA KERJA'!C150=0,"",'TENAGA KERJA'!C150)</f>
        <v/>
      </c>
      <c r="D151" s="23" t="str">
        <f>IF('TENAGA KERJA'!D150=0,"",'TENAGA KERJA'!D150)</f>
        <v/>
      </c>
      <c r="E151" s="23" t="str">
        <f>IF('TENAGA KERJA'!E150=0,"",'TENAGA KERJA'!E150)</f>
        <v/>
      </c>
      <c r="F151" s="39">
        <f>'TENAGA KERJA'!K150</f>
        <v>0</v>
      </c>
      <c r="G151" s="40">
        <f>'TENAGA KERJA'!L150</f>
        <v>0</v>
      </c>
      <c r="H151" s="40">
        <f>'TENAGA KERJA'!M150</f>
        <v>0</v>
      </c>
      <c r="I151" s="39">
        <f>'TENAGA KERJA'!N150</f>
        <v>0</v>
      </c>
      <c r="J151" s="39">
        <f t="shared" si="19"/>
        <v>0</v>
      </c>
      <c r="K151" s="39">
        <f>'BPJS TK'!D151</f>
        <v>0</v>
      </c>
      <c r="L151" s="39">
        <f>'BPJS TK'!E151</f>
        <v>0</v>
      </c>
      <c r="M151" s="39">
        <f>'BPJS TK'!F151</f>
        <v>0</v>
      </c>
      <c r="N151" s="39">
        <f>'BPJS TK'!H151</f>
        <v>0</v>
      </c>
      <c r="O151" s="39">
        <f>'BPJS KES'!D151</f>
        <v>0</v>
      </c>
      <c r="P151" s="39">
        <f t="shared" si="20"/>
        <v>0</v>
      </c>
      <c r="Q151" s="39">
        <f t="shared" si="21"/>
        <v>0</v>
      </c>
      <c r="R151" s="39">
        <f>'BPJS TK'!G151</f>
        <v>0</v>
      </c>
      <c r="S151" s="39">
        <f>'BPJS TK'!I151</f>
        <v>0</v>
      </c>
      <c r="T151" s="39">
        <f>'BPJS KES'!E151</f>
        <v>0</v>
      </c>
      <c r="U151" s="40">
        <f>'PPH PSL 21 - GROSS (MULAI 2024)'!L151</f>
        <v>0</v>
      </c>
      <c r="V151" s="41">
        <f t="shared" si="22"/>
        <v>0</v>
      </c>
      <c r="W151" s="49">
        <f t="shared" si="18"/>
        <v>0</v>
      </c>
      <c r="X151" s="197"/>
    </row>
    <row r="152" spans="1:24">
      <c r="A152" s="23" t="str">
        <f>IF('TENAGA KERJA'!A151=0,"",'TENAGA KERJA'!A151)</f>
        <v/>
      </c>
      <c r="B152" s="28" t="str">
        <f>IF('TENAGA KERJA'!B151=0,"",'TENAGA KERJA'!B151)</f>
        <v/>
      </c>
      <c r="C152" s="23" t="str">
        <f>IF('TENAGA KERJA'!C151=0,"",'TENAGA KERJA'!C151)</f>
        <v/>
      </c>
      <c r="D152" s="23" t="str">
        <f>IF('TENAGA KERJA'!D151=0,"",'TENAGA KERJA'!D151)</f>
        <v/>
      </c>
      <c r="E152" s="23" t="str">
        <f>IF('TENAGA KERJA'!E151=0,"",'TENAGA KERJA'!E151)</f>
        <v/>
      </c>
      <c r="F152" s="39">
        <f>'TENAGA KERJA'!K151</f>
        <v>0</v>
      </c>
      <c r="G152" s="40">
        <f>'TENAGA KERJA'!L151</f>
        <v>0</v>
      </c>
      <c r="H152" s="40">
        <f>'TENAGA KERJA'!M151</f>
        <v>0</v>
      </c>
      <c r="I152" s="39">
        <f>'TENAGA KERJA'!N151</f>
        <v>0</v>
      </c>
      <c r="J152" s="39">
        <f t="shared" si="19"/>
        <v>0</v>
      </c>
      <c r="K152" s="39">
        <f>'BPJS TK'!D152</f>
        <v>0</v>
      </c>
      <c r="L152" s="39">
        <f>'BPJS TK'!E152</f>
        <v>0</v>
      </c>
      <c r="M152" s="39">
        <f>'BPJS TK'!F152</f>
        <v>0</v>
      </c>
      <c r="N152" s="39">
        <f>'BPJS TK'!H152</f>
        <v>0</v>
      </c>
      <c r="O152" s="39">
        <f>'BPJS KES'!D152</f>
        <v>0</v>
      </c>
      <c r="P152" s="39">
        <f t="shared" si="20"/>
        <v>0</v>
      </c>
      <c r="Q152" s="39">
        <f t="shared" si="21"/>
        <v>0</v>
      </c>
      <c r="R152" s="39">
        <f>'BPJS TK'!G152</f>
        <v>0</v>
      </c>
      <c r="S152" s="39">
        <f>'BPJS TK'!I152</f>
        <v>0</v>
      </c>
      <c r="T152" s="39">
        <f>'BPJS KES'!E152</f>
        <v>0</v>
      </c>
      <c r="U152" s="40">
        <f>'PPH PSL 21 - GROSS (MULAI 2024)'!L152</f>
        <v>0</v>
      </c>
      <c r="V152" s="41">
        <f t="shared" si="22"/>
        <v>0</v>
      </c>
      <c r="W152" s="49">
        <f t="shared" si="18"/>
        <v>0</v>
      </c>
      <c r="X152" s="197"/>
    </row>
    <row r="153" spans="1:24">
      <c r="A153" s="23" t="str">
        <f>IF('TENAGA KERJA'!A152=0,"",'TENAGA KERJA'!A152)</f>
        <v/>
      </c>
      <c r="B153" s="28" t="str">
        <f>IF('TENAGA KERJA'!B152=0,"",'TENAGA KERJA'!B152)</f>
        <v/>
      </c>
      <c r="C153" s="23" t="str">
        <f>IF('TENAGA KERJA'!C152=0,"",'TENAGA KERJA'!C152)</f>
        <v/>
      </c>
      <c r="D153" s="23" t="str">
        <f>IF('TENAGA KERJA'!D152=0,"",'TENAGA KERJA'!D152)</f>
        <v/>
      </c>
      <c r="E153" s="23" t="str">
        <f>IF('TENAGA KERJA'!E152=0,"",'TENAGA KERJA'!E152)</f>
        <v/>
      </c>
      <c r="F153" s="39">
        <f>'TENAGA KERJA'!K152</f>
        <v>0</v>
      </c>
      <c r="G153" s="40">
        <f>'TENAGA KERJA'!L152</f>
        <v>0</v>
      </c>
      <c r="H153" s="40">
        <f>'TENAGA KERJA'!M152</f>
        <v>0</v>
      </c>
      <c r="I153" s="39">
        <f>'TENAGA KERJA'!N152</f>
        <v>0</v>
      </c>
      <c r="J153" s="39">
        <f t="shared" si="19"/>
        <v>0</v>
      </c>
      <c r="K153" s="39">
        <f>'BPJS TK'!D153</f>
        <v>0</v>
      </c>
      <c r="L153" s="39">
        <f>'BPJS TK'!E153</f>
        <v>0</v>
      </c>
      <c r="M153" s="39">
        <f>'BPJS TK'!F153</f>
        <v>0</v>
      </c>
      <c r="N153" s="39">
        <f>'BPJS TK'!H153</f>
        <v>0</v>
      </c>
      <c r="O153" s="39">
        <f>'BPJS KES'!D153</f>
        <v>0</v>
      </c>
      <c r="P153" s="39">
        <f t="shared" si="20"/>
        <v>0</v>
      </c>
      <c r="Q153" s="39">
        <f t="shared" si="21"/>
        <v>0</v>
      </c>
      <c r="R153" s="39">
        <f>'BPJS TK'!G153</f>
        <v>0</v>
      </c>
      <c r="S153" s="39">
        <f>'BPJS TK'!I153</f>
        <v>0</v>
      </c>
      <c r="T153" s="39">
        <f>'BPJS KES'!E153</f>
        <v>0</v>
      </c>
      <c r="U153" s="40">
        <f>'PPH PSL 21 - GROSS (MULAI 2024)'!L153</f>
        <v>0</v>
      </c>
      <c r="V153" s="41">
        <f t="shared" si="22"/>
        <v>0</v>
      </c>
      <c r="W153" s="49">
        <f t="shared" si="18"/>
        <v>0</v>
      </c>
      <c r="X153" s="197"/>
    </row>
    <row r="154" spans="1:24">
      <c r="A154" s="23" t="str">
        <f>IF('TENAGA KERJA'!A153=0,"",'TENAGA KERJA'!A153)</f>
        <v/>
      </c>
      <c r="B154" s="28" t="str">
        <f>IF('TENAGA KERJA'!B153=0,"",'TENAGA KERJA'!B153)</f>
        <v/>
      </c>
      <c r="C154" s="23" t="str">
        <f>IF('TENAGA KERJA'!C153=0,"",'TENAGA KERJA'!C153)</f>
        <v/>
      </c>
      <c r="D154" s="23" t="str">
        <f>IF('TENAGA KERJA'!D153=0,"",'TENAGA KERJA'!D153)</f>
        <v/>
      </c>
      <c r="E154" s="23" t="str">
        <f>IF('TENAGA KERJA'!E153=0,"",'TENAGA KERJA'!E153)</f>
        <v/>
      </c>
      <c r="F154" s="39">
        <f>'TENAGA KERJA'!K153</f>
        <v>0</v>
      </c>
      <c r="G154" s="40">
        <f>'TENAGA KERJA'!L153</f>
        <v>0</v>
      </c>
      <c r="H154" s="40">
        <f>'TENAGA KERJA'!M153</f>
        <v>0</v>
      </c>
      <c r="I154" s="39">
        <f>'TENAGA KERJA'!N153</f>
        <v>0</v>
      </c>
      <c r="J154" s="39">
        <f t="shared" si="19"/>
        <v>0</v>
      </c>
      <c r="K154" s="39">
        <f>'BPJS TK'!D154</f>
        <v>0</v>
      </c>
      <c r="L154" s="39">
        <f>'BPJS TK'!E154</f>
        <v>0</v>
      </c>
      <c r="M154" s="39">
        <f>'BPJS TK'!F154</f>
        <v>0</v>
      </c>
      <c r="N154" s="39">
        <f>'BPJS TK'!H154</f>
        <v>0</v>
      </c>
      <c r="O154" s="39">
        <f>'BPJS KES'!D154</f>
        <v>0</v>
      </c>
      <c r="P154" s="39">
        <f t="shared" si="20"/>
        <v>0</v>
      </c>
      <c r="Q154" s="39">
        <f t="shared" si="21"/>
        <v>0</v>
      </c>
      <c r="R154" s="39">
        <f>'BPJS TK'!G154</f>
        <v>0</v>
      </c>
      <c r="S154" s="39">
        <f>'BPJS TK'!I154</f>
        <v>0</v>
      </c>
      <c r="T154" s="39">
        <f>'BPJS KES'!E154</f>
        <v>0</v>
      </c>
      <c r="U154" s="40">
        <f>'PPH PSL 21 - GROSS (MULAI 2024)'!L154</f>
        <v>0</v>
      </c>
      <c r="V154" s="41">
        <f t="shared" si="22"/>
        <v>0</v>
      </c>
      <c r="W154" s="49">
        <f t="shared" si="18"/>
        <v>0</v>
      </c>
      <c r="X154" s="197"/>
    </row>
    <row r="155" spans="1:24">
      <c r="A155" s="23" t="str">
        <f>IF('TENAGA KERJA'!A154=0,"",'TENAGA KERJA'!A154)</f>
        <v/>
      </c>
      <c r="B155" s="28" t="str">
        <f>IF('TENAGA KERJA'!B154=0,"",'TENAGA KERJA'!B154)</f>
        <v/>
      </c>
      <c r="C155" s="23" t="str">
        <f>IF('TENAGA KERJA'!C154=0,"",'TENAGA KERJA'!C154)</f>
        <v/>
      </c>
      <c r="D155" s="23" t="str">
        <f>IF('TENAGA KERJA'!D154=0,"",'TENAGA KERJA'!D154)</f>
        <v/>
      </c>
      <c r="E155" s="23" t="str">
        <f>IF('TENAGA KERJA'!E154=0,"",'TENAGA KERJA'!E154)</f>
        <v/>
      </c>
      <c r="F155" s="39">
        <f>'TENAGA KERJA'!K154</f>
        <v>0</v>
      </c>
      <c r="G155" s="40">
        <f>'TENAGA KERJA'!L154</f>
        <v>0</v>
      </c>
      <c r="H155" s="40">
        <f>'TENAGA KERJA'!M154</f>
        <v>0</v>
      </c>
      <c r="I155" s="39">
        <f>'TENAGA KERJA'!N154</f>
        <v>0</v>
      </c>
      <c r="J155" s="39">
        <f t="shared" si="19"/>
        <v>0</v>
      </c>
      <c r="K155" s="39">
        <f>'BPJS TK'!D155</f>
        <v>16832.899300000001</v>
      </c>
      <c r="L155" s="39">
        <f>'BPJS TK'!E155</f>
        <v>5674.0110000000004</v>
      </c>
      <c r="M155" s="39">
        <f>'BPJS TK'!F155</f>
        <v>69979.468999999997</v>
      </c>
      <c r="N155" s="39">
        <f>'BPJS TK'!H155</f>
        <v>0</v>
      </c>
      <c r="O155" s="39">
        <f>'BPJS KES'!D155</f>
        <v>175653.48</v>
      </c>
      <c r="P155" s="39">
        <f t="shared" si="20"/>
        <v>268139.85930000001</v>
      </c>
      <c r="Q155" s="39">
        <f t="shared" si="21"/>
        <v>268139.85930000001</v>
      </c>
      <c r="R155" s="39">
        <f>'BPJS TK'!G155</f>
        <v>37826.74</v>
      </c>
      <c r="S155" s="39">
        <f>'BPJS TK'!I155</f>
        <v>0</v>
      </c>
      <c r="T155" s="39">
        <f>'BPJS KES'!E155</f>
        <v>43913.37</v>
      </c>
      <c r="U155" s="40">
        <f>'PPH PSL 21 - GROSS (MULAI 2024)'!L155</f>
        <v>0</v>
      </c>
      <c r="V155" s="41">
        <f t="shared" si="22"/>
        <v>81740.11</v>
      </c>
      <c r="W155" s="49">
        <f t="shared" si="18"/>
        <v>-81740.11</v>
      </c>
      <c r="X155" s="197"/>
    </row>
    <row r="156" spans="1:24">
      <c r="A156" s="23" t="str">
        <f>IF('TENAGA KERJA'!A155=0,"",'TENAGA KERJA'!A155)</f>
        <v/>
      </c>
      <c r="B156" s="28" t="str">
        <f>IF('TENAGA KERJA'!B155=0,"",'TENAGA KERJA'!B155)</f>
        <v/>
      </c>
      <c r="C156" s="23" t="str">
        <f>IF('TENAGA KERJA'!C155=0,"",'TENAGA KERJA'!C155)</f>
        <v/>
      </c>
      <c r="D156" s="23" t="str">
        <f>IF('TENAGA KERJA'!D155=0,"",'TENAGA KERJA'!D155)</f>
        <v/>
      </c>
      <c r="E156" s="23" t="str">
        <f>IF('TENAGA KERJA'!E155=0,"",'TENAGA KERJA'!E155)</f>
        <v/>
      </c>
      <c r="F156" s="39">
        <f>'TENAGA KERJA'!K155</f>
        <v>0</v>
      </c>
      <c r="G156" s="40">
        <f>'TENAGA KERJA'!L155</f>
        <v>0</v>
      </c>
      <c r="H156" s="40">
        <f>'TENAGA KERJA'!M155</f>
        <v>0</v>
      </c>
      <c r="I156" s="39">
        <f>'TENAGA KERJA'!N155</f>
        <v>0</v>
      </c>
      <c r="J156" s="39">
        <f t="shared" si="19"/>
        <v>0</v>
      </c>
      <c r="K156" s="39">
        <f>'BPJS TK'!D156</f>
        <v>0</v>
      </c>
      <c r="L156" s="39">
        <f>'BPJS TK'!E156</f>
        <v>0</v>
      </c>
      <c r="M156" s="39">
        <f>'BPJS TK'!F156</f>
        <v>0</v>
      </c>
      <c r="N156" s="39">
        <f>'BPJS TK'!H156</f>
        <v>0</v>
      </c>
      <c r="O156" s="39">
        <f>'BPJS KES'!D156</f>
        <v>0</v>
      </c>
      <c r="P156" s="39">
        <f t="shared" si="20"/>
        <v>0</v>
      </c>
      <c r="Q156" s="39">
        <f t="shared" si="21"/>
        <v>0</v>
      </c>
      <c r="R156" s="39">
        <f>'BPJS TK'!G156</f>
        <v>0</v>
      </c>
      <c r="S156" s="39">
        <f>'BPJS TK'!I156</f>
        <v>0</v>
      </c>
      <c r="T156" s="39">
        <f>'BPJS KES'!E156</f>
        <v>0</v>
      </c>
      <c r="U156" s="40">
        <f>'PPH PSL 21 - GROSS (MULAI 2024)'!L156</f>
        <v>0</v>
      </c>
      <c r="V156" s="41">
        <f t="shared" si="22"/>
        <v>0</v>
      </c>
      <c r="W156" s="49">
        <f t="shared" si="18"/>
        <v>0</v>
      </c>
      <c r="X156" s="197"/>
    </row>
    <row r="157" spans="1:24">
      <c r="A157" s="23" t="str">
        <f>IF('TENAGA KERJA'!A156=0,"",'TENAGA KERJA'!A156)</f>
        <v/>
      </c>
      <c r="B157" s="28" t="str">
        <f>IF('TENAGA KERJA'!B156=0,"",'TENAGA KERJA'!B156)</f>
        <v/>
      </c>
      <c r="C157" s="23" t="str">
        <f>IF('TENAGA KERJA'!C156=0,"",'TENAGA KERJA'!C156)</f>
        <v/>
      </c>
      <c r="D157" s="23" t="str">
        <f>IF('TENAGA KERJA'!D156=0,"",'TENAGA KERJA'!D156)</f>
        <v/>
      </c>
      <c r="E157" s="23" t="str">
        <f>IF('TENAGA KERJA'!E156=0,"",'TENAGA KERJA'!E156)</f>
        <v/>
      </c>
      <c r="F157" s="39">
        <f>'TENAGA KERJA'!K156</f>
        <v>0</v>
      </c>
      <c r="G157" s="40">
        <f>'TENAGA KERJA'!L156</f>
        <v>0</v>
      </c>
      <c r="H157" s="40">
        <f>'TENAGA KERJA'!M156</f>
        <v>0</v>
      </c>
      <c r="I157" s="39">
        <f>'TENAGA KERJA'!N156</f>
        <v>0</v>
      </c>
      <c r="J157" s="39">
        <f t="shared" si="19"/>
        <v>0</v>
      </c>
      <c r="K157" s="39">
        <f>'BPJS TK'!D157</f>
        <v>0</v>
      </c>
      <c r="L157" s="39">
        <f>'BPJS TK'!E157</f>
        <v>0</v>
      </c>
      <c r="M157" s="39">
        <f>'BPJS TK'!F157</f>
        <v>0</v>
      </c>
      <c r="N157" s="39">
        <f>'BPJS TK'!H157</f>
        <v>0</v>
      </c>
      <c r="O157" s="39">
        <f>'BPJS KES'!D157</f>
        <v>0</v>
      </c>
      <c r="P157" s="39">
        <f t="shared" si="20"/>
        <v>0</v>
      </c>
      <c r="Q157" s="39">
        <f t="shared" si="21"/>
        <v>0</v>
      </c>
      <c r="R157" s="39">
        <f>'BPJS TK'!G157</f>
        <v>0</v>
      </c>
      <c r="S157" s="39">
        <f>'BPJS TK'!I157</f>
        <v>0</v>
      </c>
      <c r="T157" s="39">
        <f>'BPJS KES'!E157</f>
        <v>0</v>
      </c>
      <c r="U157" s="40">
        <f>'PPH PSL 21 - GROSS (MULAI 2024)'!L157</f>
        <v>0</v>
      </c>
      <c r="V157" s="41">
        <f t="shared" si="22"/>
        <v>0</v>
      </c>
      <c r="W157" s="49">
        <f t="shared" si="18"/>
        <v>0</v>
      </c>
      <c r="X157" s="197"/>
    </row>
    <row r="158" spans="1:24">
      <c r="A158" s="23" t="str">
        <f>IF('TENAGA KERJA'!A157=0,"",'TENAGA KERJA'!A157)</f>
        <v/>
      </c>
      <c r="B158" s="28" t="str">
        <f>IF('TENAGA KERJA'!B157=0,"",'TENAGA KERJA'!B157)</f>
        <v/>
      </c>
      <c r="C158" s="23" t="str">
        <f>IF('TENAGA KERJA'!C157=0,"",'TENAGA KERJA'!C157)</f>
        <v/>
      </c>
      <c r="D158" s="23" t="str">
        <f>IF('TENAGA KERJA'!D157=0,"",'TENAGA KERJA'!D157)</f>
        <v/>
      </c>
      <c r="E158" s="23" t="str">
        <f>IF('TENAGA KERJA'!E157=0,"",'TENAGA KERJA'!E157)</f>
        <v/>
      </c>
      <c r="F158" s="39">
        <f>'TENAGA KERJA'!K157</f>
        <v>0</v>
      </c>
      <c r="G158" s="40">
        <f>'TENAGA KERJA'!L157</f>
        <v>0</v>
      </c>
      <c r="H158" s="40">
        <f>'TENAGA KERJA'!M157</f>
        <v>0</v>
      </c>
      <c r="I158" s="39">
        <f>'TENAGA KERJA'!N157</f>
        <v>0</v>
      </c>
      <c r="J158" s="39">
        <f t="shared" si="19"/>
        <v>0</v>
      </c>
      <c r="K158" s="39">
        <f>'BPJS TK'!D158</f>
        <v>0</v>
      </c>
      <c r="L158" s="39">
        <f>'BPJS TK'!E158</f>
        <v>0</v>
      </c>
      <c r="M158" s="39">
        <f>'BPJS TK'!F158</f>
        <v>0</v>
      </c>
      <c r="N158" s="39">
        <f>'BPJS TK'!H158</f>
        <v>0</v>
      </c>
      <c r="O158" s="39">
        <f>'BPJS KES'!D158</f>
        <v>0</v>
      </c>
      <c r="P158" s="39">
        <f t="shared" si="20"/>
        <v>0</v>
      </c>
      <c r="Q158" s="39">
        <f t="shared" si="21"/>
        <v>0</v>
      </c>
      <c r="R158" s="39">
        <f>'BPJS TK'!G158</f>
        <v>0</v>
      </c>
      <c r="S158" s="39">
        <f>'BPJS TK'!I158</f>
        <v>0</v>
      </c>
      <c r="T158" s="39">
        <f>'BPJS KES'!E158</f>
        <v>0</v>
      </c>
      <c r="U158" s="40">
        <f>'PPH PSL 21 - GROSS (MULAI 2024)'!L158</f>
        <v>0</v>
      </c>
      <c r="V158" s="41">
        <f t="shared" si="22"/>
        <v>0</v>
      </c>
      <c r="W158" s="49">
        <f t="shared" si="18"/>
        <v>0</v>
      </c>
      <c r="X158" s="197"/>
    </row>
    <row r="159" spans="1:24">
      <c r="A159" s="23" t="str">
        <f>IF('TENAGA KERJA'!A158=0,"",'TENAGA KERJA'!A158)</f>
        <v/>
      </c>
      <c r="B159" s="28" t="str">
        <f>IF('TENAGA KERJA'!B158=0,"",'TENAGA KERJA'!B158)</f>
        <v/>
      </c>
      <c r="C159" s="23" t="str">
        <f>IF('TENAGA KERJA'!C158=0,"",'TENAGA KERJA'!C158)</f>
        <v/>
      </c>
      <c r="D159" s="23" t="str">
        <f>IF('TENAGA KERJA'!D158=0,"",'TENAGA KERJA'!D158)</f>
        <v/>
      </c>
      <c r="E159" s="23" t="str">
        <f>IF('TENAGA KERJA'!E158=0,"",'TENAGA KERJA'!E158)</f>
        <v/>
      </c>
      <c r="F159" s="39">
        <f>'TENAGA KERJA'!K158</f>
        <v>0</v>
      </c>
      <c r="G159" s="40">
        <f>'TENAGA KERJA'!L158</f>
        <v>0</v>
      </c>
      <c r="H159" s="40">
        <f>'TENAGA KERJA'!M158</f>
        <v>0</v>
      </c>
      <c r="I159" s="39">
        <f>'TENAGA KERJA'!N158</f>
        <v>0</v>
      </c>
      <c r="J159" s="39">
        <f t="shared" si="19"/>
        <v>0</v>
      </c>
      <c r="K159" s="39">
        <f>'BPJS TK'!D159</f>
        <v>0</v>
      </c>
      <c r="L159" s="39">
        <f>'BPJS TK'!E159</f>
        <v>0</v>
      </c>
      <c r="M159" s="39">
        <f>'BPJS TK'!F159</f>
        <v>0</v>
      </c>
      <c r="N159" s="39">
        <f>'BPJS TK'!H159</f>
        <v>0</v>
      </c>
      <c r="O159" s="39">
        <f>'BPJS KES'!D159</f>
        <v>0</v>
      </c>
      <c r="P159" s="39">
        <f t="shared" si="20"/>
        <v>0</v>
      </c>
      <c r="Q159" s="39">
        <f t="shared" si="21"/>
        <v>0</v>
      </c>
      <c r="R159" s="39">
        <f>'BPJS TK'!G159</f>
        <v>0</v>
      </c>
      <c r="S159" s="39">
        <f>'BPJS TK'!I159</f>
        <v>0</v>
      </c>
      <c r="T159" s="39">
        <f>'BPJS KES'!E159</f>
        <v>0</v>
      </c>
      <c r="U159" s="40">
        <f>'PPH PSL 21 - GROSS (MULAI 2024)'!L159</f>
        <v>0</v>
      </c>
      <c r="V159" s="41">
        <f t="shared" si="22"/>
        <v>0</v>
      </c>
      <c r="W159" s="49">
        <f t="shared" si="18"/>
        <v>0</v>
      </c>
      <c r="X159" s="197"/>
    </row>
    <row r="160" spans="1:24">
      <c r="A160" s="23" t="str">
        <f>IF('TENAGA KERJA'!A159=0,"",'TENAGA KERJA'!A159)</f>
        <v/>
      </c>
      <c r="B160" s="28" t="str">
        <f>IF('TENAGA KERJA'!B159=0,"",'TENAGA KERJA'!B159)</f>
        <v/>
      </c>
      <c r="C160" s="23" t="str">
        <f>IF('TENAGA KERJA'!C159=0,"",'TENAGA KERJA'!C159)</f>
        <v/>
      </c>
      <c r="D160" s="23" t="str">
        <f>IF('TENAGA KERJA'!D159=0,"",'TENAGA KERJA'!D159)</f>
        <v/>
      </c>
      <c r="E160" s="23" t="str">
        <f>IF('TENAGA KERJA'!E159=0,"",'TENAGA KERJA'!E159)</f>
        <v/>
      </c>
      <c r="F160" s="39">
        <f>'TENAGA KERJA'!K159</f>
        <v>0</v>
      </c>
      <c r="G160" s="40">
        <f>'TENAGA KERJA'!L159</f>
        <v>0</v>
      </c>
      <c r="H160" s="40">
        <f>'TENAGA KERJA'!M159</f>
        <v>0</v>
      </c>
      <c r="I160" s="39">
        <f>'TENAGA KERJA'!N159</f>
        <v>0</v>
      </c>
      <c r="J160" s="39">
        <f t="shared" si="19"/>
        <v>0</v>
      </c>
      <c r="K160" s="39">
        <f>'BPJS TK'!D160</f>
        <v>0</v>
      </c>
      <c r="L160" s="39">
        <f>'BPJS TK'!E160</f>
        <v>0</v>
      </c>
      <c r="M160" s="39">
        <f>'BPJS TK'!F160</f>
        <v>0</v>
      </c>
      <c r="N160" s="39">
        <f>'BPJS TK'!H160</f>
        <v>0</v>
      </c>
      <c r="O160" s="39">
        <f>'BPJS KES'!D160</f>
        <v>0</v>
      </c>
      <c r="P160" s="39">
        <f t="shared" si="20"/>
        <v>0</v>
      </c>
      <c r="Q160" s="39">
        <f t="shared" si="21"/>
        <v>0</v>
      </c>
      <c r="R160" s="39">
        <f>'BPJS TK'!G160</f>
        <v>0</v>
      </c>
      <c r="S160" s="39">
        <f>'BPJS TK'!I160</f>
        <v>0</v>
      </c>
      <c r="T160" s="39">
        <f>'BPJS KES'!E160</f>
        <v>0</v>
      </c>
      <c r="U160" s="40">
        <f>'PPH PSL 21 - GROSS (MULAI 2024)'!L160</f>
        <v>0</v>
      </c>
      <c r="V160" s="41">
        <f t="shared" si="22"/>
        <v>0</v>
      </c>
      <c r="W160" s="49">
        <f t="shared" si="18"/>
        <v>0</v>
      </c>
      <c r="X160" s="197"/>
    </row>
    <row r="161" spans="1:26">
      <c r="A161" s="23" t="str">
        <f>IF('TENAGA KERJA'!A160=0,"",'TENAGA KERJA'!A160)</f>
        <v/>
      </c>
      <c r="B161" s="28" t="str">
        <f>IF('TENAGA KERJA'!B160=0,"",'TENAGA KERJA'!B160)</f>
        <v/>
      </c>
      <c r="C161" s="23" t="str">
        <f>IF('TENAGA KERJA'!C160=0,"",'TENAGA KERJA'!C160)</f>
        <v/>
      </c>
      <c r="D161" s="23" t="str">
        <f>IF('TENAGA KERJA'!D160=0,"",'TENAGA KERJA'!D160)</f>
        <v/>
      </c>
      <c r="E161" s="23" t="str">
        <f>IF('TENAGA KERJA'!E160=0,"",'TENAGA KERJA'!E160)</f>
        <v/>
      </c>
      <c r="F161" s="39">
        <f>'TENAGA KERJA'!K160</f>
        <v>0</v>
      </c>
      <c r="G161" s="40">
        <f>'TENAGA KERJA'!L160</f>
        <v>0</v>
      </c>
      <c r="H161" s="40">
        <f>'TENAGA KERJA'!M160</f>
        <v>0</v>
      </c>
      <c r="I161" s="39">
        <f>'TENAGA KERJA'!N160</f>
        <v>0</v>
      </c>
      <c r="J161" s="39">
        <f t="shared" si="19"/>
        <v>0</v>
      </c>
      <c r="K161" s="39">
        <f>'BPJS TK'!D161</f>
        <v>0</v>
      </c>
      <c r="L161" s="39">
        <f>'BPJS TK'!E161</f>
        <v>0</v>
      </c>
      <c r="M161" s="39">
        <f>'BPJS TK'!F161</f>
        <v>0</v>
      </c>
      <c r="N161" s="39">
        <f>'BPJS TK'!H161</f>
        <v>0</v>
      </c>
      <c r="O161" s="39">
        <f>'BPJS KES'!D161</f>
        <v>0</v>
      </c>
      <c r="P161" s="39">
        <f t="shared" si="20"/>
        <v>0</v>
      </c>
      <c r="Q161" s="39">
        <f t="shared" si="21"/>
        <v>0</v>
      </c>
      <c r="R161" s="39">
        <f>'BPJS TK'!G161</f>
        <v>0</v>
      </c>
      <c r="S161" s="39">
        <f>'BPJS TK'!I161</f>
        <v>0</v>
      </c>
      <c r="T161" s="39">
        <f>'BPJS KES'!E161</f>
        <v>0</v>
      </c>
      <c r="U161" s="40">
        <f>'PPH PSL 21 - GROSS (MULAI 2024)'!L161</f>
        <v>0</v>
      </c>
      <c r="V161" s="41">
        <f t="shared" si="22"/>
        <v>0</v>
      </c>
      <c r="W161" s="49">
        <f t="shared" si="18"/>
        <v>0</v>
      </c>
      <c r="X161" s="197"/>
    </row>
    <row r="162" spans="1:26">
      <c r="A162" s="23" t="str">
        <f>IF('TENAGA KERJA'!A161=0,"",'TENAGA KERJA'!A161)</f>
        <v/>
      </c>
      <c r="B162" s="28" t="str">
        <f>IF('TENAGA KERJA'!B161=0,"",'TENAGA KERJA'!B161)</f>
        <v/>
      </c>
      <c r="C162" s="23" t="str">
        <f>IF('TENAGA KERJA'!C161=0,"",'TENAGA KERJA'!C161)</f>
        <v/>
      </c>
      <c r="D162" s="23" t="str">
        <f>IF('TENAGA KERJA'!D161=0,"",'TENAGA KERJA'!D161)</f>
        <v/>
      </c>
      <c r="E162" s="23" t="str">
        <f>IF('TENAGA KERJA'!E161=0,"",'TENAGA KERJA'!E161)</f>
        <v/>
      </c>
      <c r="F162" s="39">
        <f>'TENAGA KERJA'!K161</f>
        <v>0</v>
      </c>
      <c r="G162" s="40">
        <f>'TENAGA KERJA'!L161</f>
        <v>0</v>
      </c>
      <c r="H162" s="40">
        <f>'TENAGA KERJA'!M161</f>
        <v>0</v>
      </c>
      <c r="I162" s="39">
        <f>'TENAGA KERJA'!N161</f>
        <v>0</v>
      </c>
      <c r="J162" s="39">
        <f t="shared" si="19"/>
        <v>0</v>
      </c>
      <c r="K162" s="39">
        <f>'BPJS TK'!D162</f>
        <v>0</v>
      </c>
      <c r="L162" s="39">
        <f>'BPJS TK'!E162</f>
        <v>0</v>
      </c>
      <c r="M162" s="39">
        <f>'BPJS TK'!F162</f>
        <v>0</v>
      </c>
      <c r="N162" s="39">
        <f>'BPJS TK'!H162</f>
        <v>0</v>
      </c>
      <c r="O162" s="39">
        <f>'BPJS KES'!D162</f>
        <v>0</v>
      </c>
      <c r="P162" s="39">
        <f t="shared" si="20"/>
        <v>0</v>
      </c>
      <c r="Q162" s="39">
        <f t="shared" si="21"/>
        <v>0</v>
      </c>
      <c r="R162" s="39">
        <f>'BPJS TK'!G162</f>
        <v>0</v>
      </c>
      <c r="S162" s="39">
        <f>'BPJS TK'!I162</f>
        <v>0</v>
      </c>
      <c r="T162" s="39">
        <f>'BPJS KES'!E162</f>
        <v>0</v>
      </c>
      <c r="U162" s="40">
        <f>'PPH PSL 21 - GROSS (MULAI 2024)'!L162</f>
        <v>0</v>
      </c>
      <c r="V162" s="41">
        <f t="shared" si="22"/>
        <v>0</v>
      </c>
      <c r="W162" s="49">
        <f t="shared" si="18"/>
        <v>0</v>
      </c>
      <c r="X162" s="197"/>
    </row>
    <row r="163" spans="1:26">
      <c r="A163" s="23" t="str">
        <f>IF('TENAGA KERJA'!A162=0,"",'TENAGA KERJA'!A162)</f>
        <v/>
      </c>
      <c r="B163" s="28" t="str">
        <f>IF('TENAGA KERJA'!B162=0,"",'TENAGA KERJA'!B162)</f>
        <v/>
      </c>
      <c r="C163" s="23" t="str">
        <f>IF('TENAGA KERJA'!C162=0,"",'TENAGA KERJA'!C162)</f>
        <v/>
      </c>
      <c r="D163" s="23" t="str">
        <f>IF('TENAGA KERJA'!D162=0,"",'TENAGA KERJA'!D162)</f>
        <v/>
      </c>
      <c r="E163" s="23" t="str">
        <f>IF('TENAGA KERJA'!E162=0,"",'TENAGA KERJA'!E162)</f>
        <v/>
      </c>
      <c r="F163" s="39">
        <f>'TENAGA KERJA'!K162</f>
        <v>0</v>
      </c>
      <c r="G163" s="40">
        <f>'TENAGA KERJA'!L162</f>
        <v>0</v>
      </c>
      <c r="H163" s="40">
        <f>'TENAGA KERJA'!M162</f>
        <v>0</v>
      </c>
      <c r="I163" s="39">
        <f>'TENAGA KERJA'!N162</f>
        <v>0</v>
      </c>
      <c r="J163" s="39">
        <f t="shared" si="19"/>
        <v>0</v>
      </c>
      <c r="K163" s="39">
        <f>'BPJS TK'!D163</f>
        <v>0</v>
      </c>
      <c r="L163" s="39">
        <f>'BPJS TK'!E163</f>
        <v>0</v>
      </c>
      <c r="M163" s="39">
        <f>'BPJS TK'!F163</f>
        <v>0</v>
      </c>
      <c r="N163" s="39">
        <f>'BPJS TK'!H163</f>
        <v>0</v>
      </c>
      <c r="O163" s="39">
        <f>'BPJS KES'!D163</f>
        <v>0</v>
      </c>
      <c r="P163" s="39">
        <f t="shared" si="20"/>
        <v>0</v>
      </c>
      <c r="Q163" s="39">
        <f t="shared" si="21"/>
        <v>0</v>
      </c>
      <c r="R163" s="39">
        <f>'BPJS TK'!G163</f>
        <v>0</v>
      </c>
      <c r="S163" s="39">
        <f>'BPJS TK'!I163</f>
        <v>0</v>
      </c>
      <c r="T163" s="39">
        <f>'BPJS KES'!E163</f>
        <v>0</v>
      </c>
      <c r="U163" s="40">
        <f>'PPH PSL 21 - GROSS (MULAI 2024)'!L163</f>
        <v>0</v>
      </c>
      <c r="V163" s="41">
        <f t="shared" si="22"/>
        <v>0</v>
      </c>
      <c r="W163" s="49">
        <f t="shared" si="18"/>
        <v>0</v>
      </c>
      <c r="X163" s="197"/>
    </row>
    <row r="164" spans="1:26">
      <c r="A164" s="23" t="str">
        <f>IF('TENAGA KERJA'!A163=0,"",'TENAGA KERJA'!A163)</f>
        <v/>
      </c>
      <c r="B164" s="28" t="str">
        <f>IF('TENAGA KERJA'!B163=0,"",'TENAGA KERJA'!B163)</f>
        <v/>
      </c>
      <c r="C164" s="23" t="str">
        <f>IF('TENAGA KERJA'!C163=0,"",'TENAGA KERJA'!C163)</f>
        <v/>
      </c>
      <c r="D164" s="23" t="str">
        <f>IF('TENAGA KERJA'!D163=0,"",'TENAGA KERJA'!D163)</f>
        <v/>
      </c>
      <c r="E164" s="23" t="str">
        <f>IF('TENAGA KERJA'!E163=0,"",'TENAGA KERJA'!E163)</f>
        <v/>
      </c>
      <c r="F164" s="39">
        <f>'TENAGA KERJA'!K163</f>
        <v>0</v>
      </c>
      <c r="G164" s="40">
        <f>'TENAGA KERJA'!L163</f>
        <v>0</v>
      </c>
      <c r="H164" s="40">
        <f>'TENAGA KERJA'!M163</f>
        <v>0</v>
      </c>
      <c r="I164" s="39">
        <f>'TENAGA KERJA'!N163</f>
        <v>0</v>
      </c>
      <c r="J164" s="39">
        <f t="shared" si="19"/>
        <v>0</v>
      </c>
      <c r="K164" s="39">
        <f>'BPJS TK'!D164</f>
        <v>0</v>
      </c>
      <c r="L164" s="39">
        <f>'BPJS TK'!E164</f>
        <v>0</v>
      </c>
      <c r="M164" s="39">
        <f>'BPJS TK'!F164</f>
        <v>0</v>
      </c>
      <c r="N164" s="39">
        <f>'BPJS TK'!H164</f>
        <v>0</v>
      </c>
      <c r="O164" s="39">
        <f>'BPJS KES'!D164</f>
        <v>0</v>
      </c>
      <c r="P164" s="39">
        <f t="shared" si="20"/>
        <v>0</v>
      </c>
      <c r="Q164" s="39">
        <f t="shared" si="21"/>
        <v>0</v>
      </c>
      <c r="R164" s="39">
        <f>'BPJS TK'!G164</f>
        <v>0</v>
      </c>
      <c r="S164" s="39">
        <f>'BPJS TK'!I164</f>
        <v>0</v>
      </c>
      <c r="T164" s="39">
        <f>'BPJS KES'!E164</f>
        <v>0</v>
      </c>
      <c r="U164" s="40">
        <f>'PPH PSL 21 - GROSS (MULAI 2024)'!L164</f>
        <v>0</v>
      </c>
      <c r="V164" s="41">
        <f t="shared" si="22"/>
        <v>0</v>
      </c>
      <c r="W164" s="49">
        <f t="shared" si="18"/>
        <v>0</v>
      </c>
      <c r="X164" s="197"/>
      <c r="Y164" s="50"/>
      <c r="Z164" s="52"/>
    </row>
    <row r="165" spans="1:26">
      <c r="A165" s="23" t="str">
        <f>IF('TENAGA KERJA'!A164=0,"",'TENAGA KERJA'!A164)</f>
        <v/>
      </c>
      <c r="B165" s="28" t="str">
        <f>IF('TENAGA KERJA'!B164=0,"",'TENAGA KERJA'!B164)</f>
        <v/>
      </c>
      <c r="C165" s="23" t="str">
        <f>IF('TENAGA KERJA'!C164=0,"",'TENAGA KERJA'!C164)</f>
        <v/>
      </c>
      <c r="D165" s="23" t="str">
        <f>IF('TENAGA KERJA'!D164=0,"",'TENAGA KERJA'!D164)</f>
        <v/>
      </c>
      <c r="E165" s="23" t="str">
        <f>IF('TENAGA KERJA'!E164=0,"",'TENAGA KERJA'!E164)</f>
        <v/>
      </c>
      <c r="F165" s="39">
        <f>'TENAGA KERJA'!K164</f>
        <v>0</v>
      </c>
      <c r="G165" s="40">
        <f>'TENAGA KERJA'!L164</f>
        <v>0</v>
      </c>
      <c r="H165" s="40">
        <f>'TENAGA KERJA'!M164</f>
        <v>0</v>
      </c>
      <c r="I165" s="39">
        <f>'TENAGA KERJA'!N164</f>
        <v>0</v>
      </c>
      <c r="J165" s="39">
        <f t="shared" si="19"/>
        <v>0</v>
      </c>
      <c r="K165" s="39">
        <f>'BPJS TK'!D165</f>
        <v>0</v>
      </c>
      <c r="L165" s="39">
        <f>'BPJS TK'!E165</f>
        <v>0</v>
      </c>
      <c r="M165" s="39">
        <f>'BPJS TK'!F165</f>
        <v>0</v>
      </c>
      <c r="N165" s="39">
        <f>'BPJS TK'!H165</f>
        <v>0</v>
      </c>
      <c r="O165" s="39">
        <f>'BPJS KES'!D165</f>
        <v>0</v>
      </c>
      <c r="P165" s="39">
        <f t="shared" si="20"/>
        <v>0</v>
      </c>
      <c r="Q165" s="39">
        <f t="shared" si="21"/>
        <v>0</v>
      </c>
      <c r="R165" s="39">
        <f>'BPJS TK'!G165</f>
        <v>0</v>
      </c>
      <c r="S165" s="39">
        <f>'BPJS TK'!I165</f>
        <v>0</v>
      </c>
      <c r="T165" s="39">
        <f>'BPJS KES'!E165</f>
        <v>0</v>
      </c>
      <c r="U165" s="40">
        <f>'PPH PSL 21 - GROSS (MULAI 2024)'!L165</f>
        <v>0</v>
      </c>
      <c r="V165" s="41">
        <f t="shared" si="22"/>
        <v>0</v>
      </c>
      <c r="W165" s="49">
        <f t="shared" si="18"/>
        <v>0</v>
      </c>
      <c r="X165" s="197"/>
    </row>
    <row r="166" spans="1:26">
      <c r="A166" s="23" t="str">
        <f>IF('TENAGA KERJA'!A165=0,"",'TENAGA KERJA'!A165)</f>
        <v/>
      </c>
      <c r="B166" s="28" t="str">
        <f>IF('TENAGA KERJA'!B165=0,"",'TENAGA KERJA'!B165)</f>
        <v/>
      </c>
      <c r="C166" s="23" t="str">
        <f>IF('TENAGA KERJA'!C165=0,"",'TENAGA KERJA'!C165)</f>
        <v/>
      </c>
      <c r="D166" s="23" t="str">
        <f>IF('TENAGA KERJA'!D165=0,"",'TENAGA KERJA'!D165)</f>
        <v/>
      </c>
      <c r="E166" s="23" t="str">
        <f>IF('TENAGA KERJA'!E165=0,"",'TENAGA KERJA'!E165)</f>
        <v/>
      </c>
      <c r="F166" s="39">
        <f>'TENAGA KERJA'!K165</f>
        <v>0</v>
      </c>
      <c r="G166" s="40">
        <f>'TENAGA KERJA'!L165</f>
        <v>0</v>
      </c>
      <c r="H166" s="40">
        <f>'TENAGA KERJA'!M165</f>
        <v>0</v>
      </c>
      <c r="I166" s="39">
        <f>'TENAGA KERJA'!N165</f>
        <v>0</v>
      </c>
      <c r="J166" s="39">
        <f t="shared" si="19"/>
        <v>0</v>
      </c>
      <c r="K166" s="39">
        <f>'BPJS TK'!D166</f>
        <v>0</v>
      </c>
      <c r="L166" s="39">
        <f>'BPJS TK'!E166</f>
        <v>0</v>
      </c>
      <c r="M166" s="39">
        <f>'BPJS TK'!F166</f>
        <v>0</v>
      </c>
      <c r="N166" s="39">
        <f>'BPJS TK'!H166</f>
        <v>0</v>
      </c>
      <c r="O166" s="39">
        <f>'BPJS KES'!D166</f>
        <v>0</v>
      </c>
      <c r="P166" s="39">
        <f t="shared" si="20"/>
        <v>0</v>
      </c>
      <c r="Q166" s="39">
        <f t="shared" si="21"/>
        <v>0</v>
      </c>
      <c r="R166" s="39">
        <f>'BPJS TK'!G166</f>
        <v>0</v>
      </c>
      <c r="S166" s="39">
        <f>'BPJS TK'!I166</f>
        <v>0</v>
      </c>
      <c r="T166" s="39">
        <f>'BPJS KES'!E166</f>
        <v>0</v>
      </c>
      <c r="U166" s="40">
        <f>'PPH PSL 21 - GROSS (MULAI 2024)'!L166</f>
        <v>0</v>
      </c>
      <c r="V166" s="41">
        <f t="shared" si="22"/>
        <v>0</v>
      </c>
      <c r="W166" s="49">
        <f t="shared" si="18"/>
        <v>0</v>
      </c>
      <c r="X166" s="197"/>
    </row>
    <row r="167" spans="1:26">
      <c r="A167" s="23" t="str">
        <f>IF('TENAGA KERJA'!A166=0,"",'TENAGA KERJA'!A166)</f>
        <v/>
      </c>
      <c r="B167" s="28" t="str">
        <f>IF('TENAGA KERJA'!B166=0,"",'TENAGA KERJA'!B166)</f>
        <v/>
      </c>
      <c r="C167" s="23" t="str">
        <f>IF('TENAGA KERJA'!C166=0,"",'TENAGA KERJA'!C166)</f>
        <v/>
      </c>
      <c r="D167" s="23" t="str">
        <f>IF('TENAGA KERJA'!D166=0,"",'TENAGA KERJA'!D166)</f>
        <v/>
      </c>
      <c r="E167" s="23" t="str">
        <f>IF('TENAGA KERJA'!E166=0,"",'TENAGA KERJA'!E166)</f>
        <v/>
      </c>
      <c r="F167" s="39">
        <f>'TENAGA KERJA'!K166</f>
        <v>0</v>
      </c>
      <c r="G167" s="40">
        <f>'TENAGA KERJA'!L166</f>
        <v>0</v>
      </c>
      <c r="H167" s="40">
        <f>'TENAGA KERJA'!M166</f>
        <v>0</v>
      </c>
      <c r="I167" s="39">
        <f>'TENAGA KERJA'!N166</f>
        <v>0</v>
      </c>
      <c r="J167" s="39">
        <f t="shared" si="19"/>
        <v>0</v>
      </c>
      <c r="K167" s="39">
        <f>'BPJS TK'!D167</f>
        <v>0</v>
      </c>
      <c r="L167" s="39">
        <f>'BPJS TK'!E167</f>
        <v>0</v>
      </c>
      <c r="M167" s="39">
        <f>'BPJS TK'!F167</f>
        <v>0</v>
      </c>
      <c r="N167" s="39">
        <f>'BPJS TK'!H167</f>
        <v>0</v>
      </c>
      <c r="O167" s="39">
        <f>'BPJS KES'!D167</f>
        <v>0</v>
      </c>
      <c r="P167" s="39">
        <f t="shared" si="20"/>
        <v>0</v>
      </c>
      <c r="Q167" s="39">
        <f t="shared" si="21"/>
        <v>0</v>
      </c>
      <c r="R167" s="39">
        <f>'BPJS TK'!G167</f>
        <v>0</v>
      </c>
      <c r="S167" s="39">
        <f>'BPJS TK'!I167</f>
        <v>0</v>
      </c>
      <c r="T167" s="39">
        <f>'BPJS KES'!E167</f>
        <v>0</v>
      </c>
      <c r="U167" s="40">
        <f>'PPH PSL 21 - GROSS (MULAI 2024)'!L167</f>
        <v>0</v>
      </c>
      <c r="V167" s="41">
        <f t="shared" si="22"/>
        <v>0</v>
      </c>
      <c r="W167" s="49">
        <f t="shared" si="18"/>
        <v>0</v>
      </c>
      <c r="X167" s="197"/>
    </row>
    <row r="168" spans="1:26">
      <c r="A168" s="23" t="str">
        <f>IF('TENAGA KERJA'!A167=0,"",'TENAGA KERJA'!A167)</f>
        <v/>
      </c>
      <c r="B168" s="212" t="str">
        <f>IF('TENAGA KERJA'!B167=0,"",'TENAGA KERJA'!B167)</f>
        <v/>
      </c>
      <c r="C168" s="23" t="str">
        <f>IF('TENAGA KERJA'!C167=0,"",'TENAGA KERJA'!C167)</f>
        <v/>
      </c>
      <c r="D168" s="23" t="str">
        <f>IF('TENAGA KERJA'!D167=0,"",'TENAGA KERJA'!D167)</f>
        <v/>
      </c>
      <c r="E168" s="23" t="str">
        <f>IF('TENAGA KERJA'!E167=0,"",'TENAGA KERJA'!E167)</f>
        <v/>
      </c>
      <c r="F168" s="39">
        <v>2500000</v>
      </c>
      <c r="G168" s="40">
        <f>'TENAGA KERJA'!L167</f>
        <v>0</v>
      </c>
      <c r="H168" s="40">
        <f>'TENAGA KERJA'!M167</f>
        <v>0</v>
      </c>
      <c r="I168" s="39">
        <f>'TENAGA KERJA'!N167</f>
        <v>0</v>
      </c>
      <c r="J168" s="39">
        <f t="shared" si="19"/>
        <v>2500000</v>
      </c>
      <c r="K168" s="39">
        <f>'BPJS TK'!D168</f>
        <v>16832.899300000001</v>
      </c>
      <c r="L168" s="39">
        <f>'BPJS TK'!E168</f>
        <v>5674.0110000000004</v>
      </c>
      <c r="M168" s="39">
        <f>'BPJS TK'!F168</f>
        <v>69979.468999999997</v>
      </c>
      <c r="N168" s="39">
        <f>'BPJS TK'!H168</f>
        <v>0</v>
      </c>
      <c r="O168" s="39">
        <f>'BPJS KES'!D168</f>
        <v>175653.48</v>
      </c>
      <c r="P168" s="39">
        <f t="shared" si="20"/>
        <v>268139.85930000001</v>
      </c>
      <c r="Q168" s="39">
        <f t="shared" si="21"/>
        <v>2768139.8593000001</v>
      </c>
      <c r="R168" s="39">
        <f>'BPJS TK'!G168</f>
        <v>37826.74</v>
      </c>
      <c r="S168" s="39">
        <f>'BPJS TK'!I168</f>
        <v>0</v>
      </c>
      <c r="T168" s="39">
        <f>'BPJS KES'!E168</f>
        <v>43913.37</v>
      </c>
      <c r="U168" s="40">
        <f>'PPH PSL 21 - GROSS (MULAI 2024)'!L168</f>
        <v>0</v>
      </c>
      <c r="V168" s="41">
        <f t="shared" si="22"/>
        <v>81740.11</v>
      </c>
      <c r="W168" s="49">
        <f t="shared" si="18"/>
        <v>2418259.89</v>
      </c>
      <c r="X168" s="197"/>
    </row>
    <row r="169" spans="1:26">
      <c r="A169" s="23" t="str">
        <f>IF('TENAGA KERJA'!A168=0,"",'TENAGA KERJA'!A168)</f>
        <v/>
      </c>
      <c r="B169" s="28" t="str">
        <f>IF('TENAGA KERJA'!B168=0,"",'TENAGA KERJA'!B168)</f>
        <v/>
      </c>
      <c r="C169" s="23" t="str">
        <f>IF('TENAGA KERJA'!C168=0,"",'TENAGA KERJA'!C168)</f>
        <v/>
      </c>
      <c r="D169" s="23" t="str">
        <f>IF('TENAGA KERJA'!D168=0,"",'TENAGA KERJA'!D168)</f>
        <v/>
      </c>
      <c r="E169" s="23" t="str">
        <f>IF('TENAGA KERJA'!E168=0,"",'TENAGA KERJA'!E168)</f>
        <v/>
      </c>
      <c r="F169" s="39">
        <f>'TENAGA KERJA'!K168</f>
        <v>0</v>
      </c>
      <c r="G169" s="40">
        <f>'TENAGA KERJA'!L168</f>
        <v>0</v>
      </c>
      <c r="H169" s="40">
        <f>'TENAGA KERJA'!M168</f>
        <v>0</v>
      </c>
      <c r="I169" s="39">
        <f>'TENAGA KERJA'!N168</f>
        <v>0</v>
      </c>
      <c r="J169" s="39">
        <f t="shared" si="19"/>
        <v>0</v>
      </c>
      <c r="K169" s="39">
        <f>'BPJS TK'!D169</f>
        <v>0</v>
      </c>
      <c r="L169" s="39">
        <f>'BPJS TK'!E169</f>
        <v>0</v>
      </c>
      <c r="M169" s="39">
        <f>'BPJS TK'!F169</f>
        <v>0</v>
      </c>
      <c r="N169" s="39">
        <f>'BPJS TK'!H169</f>
        <v>0</v>
      </c>
      <c r="O169" s="39">
        <f>'BPJS KES'!D169</f>
        <v>0</v>
      </c>
      <c r="P169" s="39">
        <f t="shared" si="20"/>
        <v>0</v>
      </c>
      <c r="Q169" s="39">
        <f t="shared" si="21"/>
        <v>0</v>
      </c>
      <c r="R169" s="39">
        <f>'BPJS TK'!G169</f>
        <v>0</v>
      </c>
      <c r="S169" s="39">
        <f>'BPJS TK'!I169</f>
        <v>0</v>
      </c>
      <c r="T169" s="39">
        <f>'BPJS KES'!E169</f>
        <v>0</v>
      </c>
      <c r="U169" s="40">
        <f>'PPH PSL 21 - GROSS (MULAI 2024)'!L169</f>
        <v>0</v>
      </c>
      <c r="V169" s="41">
        <f t="shared" si="22"/>
        <v>0</v>
      </c>
      <c r="W169" s="49">
        <f t="shared" si="18"/>
        <v>0</v>
      </c>
      <c r="X169" s="197"/>
    </row>
    <row r="170" spans="1:26">
      <c r="A170" s="23" t="str">
        <f>IF('TENAGA KERJA'!A169=0,"",'TENAGA KERJA'!A169)</f>
        <v/>
      </c>
      <c r="B170" s="28" t="str">
        <f>IF('TENAGA KERJA'!B169=0,"",'TENAGA KERJA'!B169)</f>
        <v/>
      </c>
      <c r="C170" s="23" t="str">
        <f>IF('TENAGA KERJA'!C169=0,"",'TENAGA KERJA'!C169)</f>
        <v/>
      </c>
      <c r="D170" s="23" t="str">
        <f>IF('TENAGA KERJA'!D169=0,"",'TENAGA KERJA'!D169)</f>
        <v/>
      </c>
      <c r="E170" s="23" t="str">
        <f>IF('TENAGA KERJA'!E169=0,"",'TENAGA KERJA'!E169)</f>
        <v/>
      </c>
      <c r="F170" s="39">
        <f>'TENAGA KERJA'!K169</f>
        <v>0</v>
      </c>
      <c r="G170" s="40">
        <f>'TENAGA KERJA'!L169</f>
        <v>0</v>
      </c>
      <c r="H170" s="40">
        <f>'TENAGA KERJA'!M169</f>
        <v>0</v>
      </c>
      <c r="I170" s="39">
        <f>'TENAGA KERJA'!N169</f>
        <v>0</v>
      </c>
      <c r="J170" s="39">
        <f t="shared" si="19"/>
        <v>0</v>
      </c>
      <c r="K170" s="39">
        <f>'BPJS TK'!D170</f>
        <v>0</v>
      </c>
      <c r="L170" s="39">
        <f>'BPJS TK'!E170</f>
        <v>0</v>
      </c>
      <c r="M170" s="39">
        <f>'BPJS TK'!F170</f>
        <v>0</v>
      </c>
      <c r="N170" s="39">
        <f>'BPJS TK'!H170</f>
        <v>0</v>
      </c>
      <c r="O170" s="39">
        <f>'BPJS KES'!D170</f>
        <v>0</v>
      </c>
      <c r="P170" s="39">
        <f t="shared" si="20"/>
        <v>0</v>
      </c>
      <c r="Q170" s="39">
        <f t="shared" si="21"/>
        <v>0</v>
      </c>
      <c r="R170" s="39">
        <f>'BPJS TK'!G170</f>
        <v>0</v>
      </c>
      <c r="S170" s="39">
        <f>'BPJS TK'!I170</f>
        <v>0</v>
      </c>
      <c r="T170" s="39">
        <f>'BPJS KES'!E170</f>
        <v>0</v>
      </c>
      <c r="U170" s="40">
        <f>'PPH PSL 21 - GROSS (MULAI 2024)'!L170</f>
        <v>0</v>
      </c>
      <c r="V170" s="41">
        <f t="shared" si="22"/>
        <v>0</v>
      </c>
      <c r="W170" s="49">
        <f t="shared" si="18"/>
        <v>0</v>
      </c>
      <c r="X170" s="197"/>
    </row>
    <row r="171" spans="1:26">
      <c r="A171" s="23" t="str">
        <f>IF('TENAGA KERJA'!A170=0,"",'TENAGA KERJA'!A170)</f>
        <v/>
      </c>
      <c r="B171" s="28" t="str">
        <f>IF('TENAGA KERJA'!B170=0,"",'TENAGA KERJA'!B170)</f>
        <v/>
      </c>
      <c r="C171" s="23" t="str">
        <f>IF('TENAGA KERJA'!C170=0,"",'TENAGA KERJA'!C170)</f>
        <v/>
      </c>
      <c r="D171" s="23" t="str">
        <f>IF('TENAGA KERJA'!D170=0,"",'TENAGA KERJA'!D170)</f>
        <v/>
      </c>
      <c r="E171" s="23" t="str">
        <f>IF('TENAGA KERJA'!E170=0,"",'TENAGA KERJA'!E170)</f>
        <v/>
      </c>
      <c r="F171" s="39">
        <f>'TENAGA KERJA'!K170</f>
        <v>0</v>
      </c>
      <c r="G171" s="40">
        <f>'TENAGA KERJA'!L170</f>
        <v>0</v>
      </c>
      <c r="H171" s="40">
        <f>'TENAGA KERJA'!M170</f>
        <v>0</v>
      </c>
      <c r="I171" s="39">
        <f>'TENAGA KERJA'!N170</f>
        <v>0</v>
      </c>
      <c r="J171" s="39">
        <f t="shared" si="19"/>
        <v>0</v>
      </c>
      <c r="K171" s="39">
        <f>'BPJS TK'!D171</f>
        <v>0</v>
      </c>
      <c r="L171" s="39">
        <f>'BPJS TK'!E171</f>
        <v>0</v>
      </c>
      <c r="M171" s="39">
        <f>'BPJS TK'!F171</f>
        <v>0</v>
      </c>
      <c r="N171" s="39">
        <f>'BPJS TK'!H171</f>
        <v>0</v>
      </c>
      <c r="O171" s="39">
        <f>'BPJS KES'!D171</f>
        <v>0</v>
      </c>
      <c r="P171" s="39">
        <f t="shared" si="20"/>
        <v>0</v>
      </c>
      <c r="Q171" s="39">
        <f t="shared" si="21"/>
        <v>0</v>
      </c>
      <c r="R171" s="39">
        <f>'BPJS TK'!G171</f>
        <v>0</v>
      </c>
      <c r="S171" s="39">
        <f>'BPJS TK'!I171</f>
        <v>0</v>
      </c>
      <c r="T171" s="39">
        <f>'BPJS KES'!E171</f>
        <v>0</v>
      </c>
      <c r="U171" s="40">
        <f>'PPH PSL 21 - GROSS (MULAI 2024)'!L171</f>
        <v>0</v>
      </c>
      <c r="V171" s="41">
        <f t="shared" si="22"/>
        <v>0</v>
      </c>
      <c r="W171" s="49">
        <f t="shared" si="18"/>
        <v>0</v>
      </c>
      <c r="X171" s="197"/>
    </row>
    <row r="172" spans="1:26">
      <c r="A172" s="23" t="str">
        <f>IF('TENAGA KERJA'!A171=0,"",'TENAGA KERJA'!A171)</f>
        <v/>
      </c>
      <c r="B172" s="28" t="str">
        <f>IF('TENAGA KERJA'!B171=0,"",'TENAGA KERJA'!B171)</f>
        <v/>
      </c>
      <c r="C172" s="23" t="str">
        <f>IF('TENAGA KERJA'!C171=0,"",'TENAGA KERJA'!C171)</f>
        <v/>
      </c>
      <c r="D172" s="23" t="str">
        <f>IF('TENAGA KERJA'!D171=0,"",'TENAGA KERJA'!D171)</f>
        <v/>
      </c>
      <c r="E172" s="23" t="str">
        <f>IF('TENAGA KERJA'!E171=0,"",'TENAGA KERJA'!E171)</f>
        <v/>
      </c>
      <c r="F172" s="39">
        <f>'TENAGA KERJA'!K171</f>
        <v>0</v>
      </c>
      <c r="G172" s="40">
        <f>'TENAGA KERJA'!L171</f>
        <v>0</v>
      </c>
      <c r="H172" s="40">
        <f>'TENAGA KERJA'!M171</f>
        <v>0</v>
      </c>
      <c r="I172" s="39">
        <f>'TENAGA KERJA'!N171</f>
        <v>0</v>
      </c>
      <c r="J172" s="39">
        <f t="shared" si="19"/>
        <v>0</v>
      </c>
      <c r="K172" s="39">
        <f>'BPJS TK'!D172</f>
        <v>0</v>
      </c>
      <c r="L172" s="39">
        <f>'BPJS TK'!E172</f>
        <v>0</v>
      </c>
      <c r="M172" s="39">
        <f>'BPJS TK'!F172</f>
        <v>0</v>
      </c>
      <c r="N172" s="39">
        <f>'BPJS TK'!H172</f>
        <v>0</v>
      </c>
      <c r="O172" s="39">
        <f>'BPJS KES'!D172</f>
        <v>0</v>
      </c>
      <c r="P172" s="39">
        <f t="shared" si="20"/>
        <v>0</v>
      </c>
      <c r="Q172" s="39">
        <f t="shared" si="21"/>
        <v>0</v>
      </c>
      <c r="R172" s="39">
        <f>'BPJS TK'!G172</f>
        <v>0</v>
      </c>
      <c r="S172" s="39">
        <f>'BPJS TK'!I172</f>
        <v>0</v>
      </c>
      <c r="T172" s="39">
        <f>'BPJS KES'!E172</f>
        <v>0</v>
      </c>
      <c r="U172" s="40">
        <f>'PPH PSL 21 - GROSS (MULAI 2024)'!L172</f>
        <v>0</v>
      </c>
      <c r="V172" s="41">
        <f t="shared" si="22"/>
        <v>0</v>
      </c>
      <c r="W172" s="49">
        <f t="shared" si="18"/>
        <v>0</v>
      </c>
      <c r="X172" s="197"/>
      <c r="Y172" s="50"/>
      <c r="Z172" s="52"/>
    </row>
    <row r="173" spans="1:26">
      <c r="A173" s="23" t="str">
        <f>IF('TENAGA KERJA'!A172=0,"",'TENAGA KERJA'!A172)</f>
        <v/>
      </c>
      <c r="B173" s="28" t="str">
        <f>IF('TENAGA KERJA'!B172=0,"",'TENAGA KERJA'!B172)</f>
        <v/>
      </c>
      <c r="C173" s="23" t="str">
        <f>IF('TENAGA KERJA'!C172=0,"",'TENAGA KERJA'!C172)</f>
        <v/>
      </c>
      <c r="D173" s="23" t="str">
        <f>IF('TENAGA KERJA'!D172=0,"",'TENAGA KERJA'!D172)</f>
        <v/>
      </c>
      <c r="E173" s="23" t="str">
        <f>IF('TENAGA KERJA'!E172=0,"",'TENAGA KERJA'!E172)</f>
        <v/>
      </c>
      <c r="F173" s="39">
        <f>'TENAGA KERJA'!K172</f>
        <v>0</v>
      </c>
      <c r="G173" s="40">
        <f>'TENAGA KERJA'!L172</f>
        <v>0</v>
      </c>
      <c r="H173" s="40">
        <f>'TENAGA KERJA'!M172</f>
        <v>0</v>
      </c>
      <c r="I173" s="39">
        <f>'TENAGA KERJA'!N172</f>
        <v>0</v>
      </c>
      <c r="J173" s="39">
        <f t="shared" si="19"/>
        <v>0</v>
      </c>
      <c r="K173" s="39">
        <f>'BPJS TK'!D173</f>
        <v>0</v>
      </c>
      <c r="L173" s="39">
        <f>'BPJS TK'!E173</f>
        <v>0</v>
      </c>
      <c r="M173" s="39">
        <f>'BPJS TK'!F173</f>
        <v>0</v>
      </c>
      <c r="N173" s="39">
        <f>'BPJS TK'!H173</f>
        <v>0</v>
      </c>
      <c r="O173" s="39">
        <f>'BPJS KES'!D173</f>
        <v>0</v>
      </c>
      <c r="P173" s="39">
        <f t="shared" si="20"/>
        <v>0</v>
      </c>
      <c r="Q173" s="39">
        <f t="shared" si="21"/>
        <v>0</v>
      </c>
      <c r="R173" s="39">
        <f>'BPJS TK'!G173</f>
        <v>0</v>
      </c>
      <c r="S173" s="39">
        <f>'BPJS TK'!I173</f>
        <v>0</v>
      </c>
      <c r="T173" s="39">
        <f>'BPJS KES'!E173</f>
        <v>0</v>
      </c>
      <c r="U173" s="40">
        <f>'PPH PSL 21 - GROSS (MULAI 2024)'!L173</f>
        <v>0</v>
      </c>
      <c r="V173" s="41">
        <f t="shared" si="22"/>
        <v>0</v>
      </c>
      <c r="W173" s="49">
        <f t="shared" si="18"/>
        <v>0</v>
      </c>
      <c r="X173" s="197"/>
      <c r="Y173" s="52"/>
    </row>
    <row r="174" spans="1:26">
      <c r="A174" s="23" t="str">
        <f>IF('TENAGA KERJA'!A173=0,"",'TENAGA KERJA'!A173)</f>
        <v/>
      </c>
      <c r="B174" s="28" t="str">
        <f>IF('TENAGA KERJA'!B173=0,"",'TENAGA KERJA'!B173)</f>
        <v/>
      </c>
      <c r="C174" s="23" t="str">
        <f>IF('TENAGA KERJA'!C173=0,"",'TENAGA KERJA'!C173)</f>
        <v/>
      </c>
      <c r="D174" s="23" t="str">
        <f>IF('TENAGA KERJA'!D173=0,"",'TENAGA KERJA'!D173)</f>
        <v/>
      </c>
      <c r="E174" s="23" t="str">
        <f>IF('TENAGA KERJA'!E173=0,"",'TENAGA KERJA'!E173)</f>
        <v/>
      </c>
      <c r="F174" s="39">
        <f>'TENAGA KERJA'!K173</f>
        <v>0</v>
      </c>
      <c r="G174" s="40">
        <f>'TENAGA KERJA'!L173</f>
        <v>0</v>
      </c>
      <c r="H174" s="40">
        <f>'TENAGA KERJA'!M173</f>
        <v>0</v>
      </c>
      <c r="I174" s="39">
        <f>'TENAGA KERJA'!N173</f>
        <v>0</v>
      </c>
      <c r="J174" s="39">
        <f t="shared" si="19"/>
        <v>0</v>
      </c>
      <c r="K174" s="39">
        <f>'BPJS TK'!D174</f>
        <v>0</v>
      </c>
      <c r="L174" s="39">
        <f>'BPJS TK'!E174</f>
        <v>0</v>
      </c>
      <c r="M174" s="39">
        <f>'BPJS TK'!F174</f>
        <v>0</v>
      </c>
      <c r="N174" s="39">
        <f>'BPJS TK'!H174</f>
        <v>0</v>
      </c>
      <c r="O174" s="39">
        <f>'BPJS KES'!D174</f>
        <v>0</v>
      </c>
      <c r="P174" s="39">
        <f t="shared" si="20"/>
        <v>0</v>
      </c>
      <c r="Q174" s="39">
        <f t="shared" si="21"/>
        <v>0</v>
      </c>
      <c r="R174" s="39">
        <f>'BPJS TK'!G174</f>
        <v>0</v>
      </c>
      <c r="S174" s="39">
        <f>'BPJS TK'!I174</f>
        <v>0</v>
      </c>
      <c r="T174" s="39">
        <f>'BPJS KES'!E174</f>
        <v>0</v>
      </c>
      <c r="U174" s="40">
        <f>'PPH PSL 21 - GROSS (MULAI 2024)'!L174</f>
        <v>0</v>
      </c>
      <c r="V174" s="41">
        <f t="shared" si="22"/>
        <v>0</v>
      </c>
      <c r="W174" s="49">
        <f t="shared" si="18"/>
        <v>0</v>
      </c>
      <c r="X174" s="197"/>
    </row>
    <row r="175" spans="1:26">
      <c r="A175" s="23" t="str">
        <f>IF('TENAGA KERJA'!A174=0,"",'TENAGA KERJA'!A174)</f>
        <v/>
      </c>
      <c r="B175" s="28" t="str">
        <f>IF('TENAGA KERJA'!B174=0,"",'TENAGA KERJA'!B174)</f>
        <v/>
      </c>
      <c r="C175" s="23" t="str">
        <f>IF('TENAGA KERJA'!C174=0,"",'TENAGA KERJA'!C174)</f>
        <v/>
      </c>
      <c r="D175" s="23" t="str">
        <f>IF('TENAGA KERJA'!D174=0,"",'TENAGA KERJA'!D174)</f>
        <v/>
      </c>
      <c r="E175" s="23" t="str">
        <f>IF('TENAGA KERJA'!E174=0,"",'TENAGA KERJA'!E174)</f>
        <v/>
      </c>
      <c r="F175" s="39">
        <f>'TENAGA KERJA'!K174</f>
        <v>0</v>
      </c>
      <c r="G175" s="40">
        <f>'TENAGA KERJA'!L174</f>
        <v>0</v>
      </c>
      <c r="H175" s="40">
        <f>'TENAGA KERJA'!M174</f>
        <v>0</v>
      </c>
      <c r="I175" s="39">
        <f>'TENAGA KERJA'!N174</f>
        <v>0</v>
      </c>
      <c r="J175" s="39">
        <f t="shared" si="19"/>
        <v>0</v>
      </c>
      <c r="K175" s="39">
        <f>'BPJS TK'!D175</f>
        <v>0</v>
      </c>
      <c r="L175" s="39">
        <f>'BPJS TK'!E175</f>
        <v>0</v>
      </c>
      <c r="M175" s="39">
        <f>'BPJS TK'!F175</f>
        <v>0</v>
      </c>
      <c r="N175" s="39">
        <f>'BPJS TK'!H175</f>
        <v>0</v>
      </c>
      <c r="O175" s="39">
        <f>'BPJS KES'!D175</f>
        <v>0</v>
      </c>
      <c r="P175" s="39">
        <f t="shared" si="20"/>
        <v>0</v>
      </c>
      <c r="Q175" s="39">
        <f t="shared" si="21"/>
        <v>0</v>
      </c>
      <c r="R175" s="39">
        <f>'BPJS TK'!G175</f>
        <v>0</v>
      </c>
      <c r="S175" s="39">
        <f>'BPJS TK'!I175</f>
        <v>0</v>
      </c>
      <c r="T175" s="39">
        <f>'BPJS KES'!E175</f>
        <v>0</v>
      </c>
      <c r="U175" s="40">
        <f>'PPH PSL 21 - GROSS (MULAI 2024)'!L175</f>
        <v>0</v>
      </c>
      <c r="V175" s="41">
        <f t="shared" si="22"/>
        <v>0</v>
      </c>
      <c r="W175" s="49">
        <f t="shared" si="18"/>
        <v>0</v>
      </c>
      <c r="X175" s="197"/>
    </row>
    <row r="176" spans="1:26">
      <c r="A176" s="23" t="str">
        <f>IF('TENAGA KERJA'!A175=0,"",'TENAGA KERJA'!A175)</f>
        <v/>
      </c>
      <c r="B176" s="28" t="str">
        <f>IF('TENAGA KERJA'!B175=0,"",'TENAGA KERJA'!B175)</f>
        <v/>
      </c>
      <c r="C176" s="23" t="str">
        <f>IF('TENAGA KERJA'!C175=0,"",'TENAGA KERJA'!C175)</f>
        <v/>
      </c>
      <c r="D176" s="23" t="str">
        <f>IF('TENAGA KERJA'!D175=0,"",'TENAGA KERJA'!D175)</f>
        <v/>
      </c>
      <c r="E176" s="23" t="str">
        <f>IF('TENAGA KERJA'!E175=0,"",'TENAGA KERJA'!E175)</f>
        <v/>
      </c>
      <c r="F176" s="39">
        <f>'TENAGA KERJA'!K175</f>
        <v>0</v>
      </c>
      <c r="G176" s="40">
        <f>'TENAGA KERJA'!L175</f>
        <v>0</v>
      </c>
      <c r="H176" s="40">
        <f>'TENAGA KERJA'!M175</f>
        <v>0</v>
      </c>
      <c r="I176" s="39">
        <f>'TENAGA KERJA'!N175</f>
        <v>0</v>
      </c>
      <c r="J176" s="39">
        <f t="shared" si="19"/>
        <v>0</v>
      </c>
      <c r="K176" s="39">
        <f>'BPJS TK'!D176</f>
        <v>0</v>
      </c>
      <c r="L176" s="39">
        <f>'BPJS TK'!E176</f>
        <v>0</v>
      </c>
      <c r="M176" s="39">
        <f>'BPJS TK'!F176</f>
        <v>0</v>
      </c>
      <c r="N176" s="39">
        <f>'BPJS TK'!H176</f>
        <v>0</v>
      </c>
      <c r="O176" s="39">
        <f>'BPJS KES'!D176</f>
        <v>0</v>
      </c>
      <c r="P176" s="39">
        <f t="shared" si="20"/>
        <v>0</v>
      </c>
      <c r="Q176" s="39">
        <f t="shared" si="21"/>
        <v>0</v>
      </c>
      <c r="R176" s="39">
        <f>'BPJS TK'!G176</f>
        <v>0</v>
      </c>
      <c r="S176" s="39">
        <f>'BPJS TK'!I176</f>
        <v>0</v>
      </c>
      <c r="T176" s="39">
        <f>'BPJS KES'!E176</f>
        <v>0</v>
      </c>
      <c r="U176" s="40">
        <f>'PPH PSL 21 - GROSS (MULAI 2024)'!L176</f>
        <v>0</v>
      </c>
      <c r="V176" s="41">
        <f t="shared" si="22"/>
        <v>0</v>
      </c>
      <c r="W176" s="49">
        <f t="shared" si="18"/>
        <v>0</v>
      </c>
      <c r="X176" s="197"/>
    </row>
    <row r="177" spans="1:26">
      <c r="A177" s="23" t="str">
        <f>IF('TENAGA KERJA'!A176=0,"",'TENAGA KERJA'!A176)</f>
        <v/>
      </c>
      <c r="B177" s="28" t="str">
        <f>IF('TENAGA KERJA'!B176=0,"",'TENAGA KERJA'!B176)</f>
        <v/>
      </c>
      <c r="C177" s="23" t="str">
        <f>IF('TENAGA KERJA'!C176=0,"",'TENAGA KERJA'!C176)</f>
        <v/>
      </c>
      <c r="D177" s="23" t="str">
        <f>IF('TENAGA KERJA'!D176=0,"",'TENAGA KERJA'!D176)</f>
        <v/>
      </c>
      <c r="E177" s="23" t="str">
        <f>IF('TENAGA KERJA'!E176=0,"",'TENAGA KERJA'!E176)</f>
        <v/>
      </c>
      <c r="F177" s="39">
        <f>'TENAGA KERJA'!K176</f>
        <v>0</v>
      </c>
      <c r="G177" s="40">
        <f>'TENAGA KERJA'!L176</f>
        <v>0</v>
      </c>
      <c r="H177" s="40">
        <f>'TENAGA KERJA'!M176</f>
        <v>0</v>
      </c>
      <c r="I177" s="39">
        <f>'TENAGA KERJA'!N176</f>
        <v>0</v>
      </c>
      <c r="J177" s="39">
        <f t="shared" si="19"/>
        <v>0</v>
      </c>
      <c r="K177" s="39">
        <f>'BPJS TK'!D177</f>
        <v>0</v>
      </c>
      <c r="L177" s="39">
        <f>'BPJS TK'!E177</f>
        <v>0</v>
      </c>
      <c r="M177" s="39">
        <f>'BPJS TK'!F177</f>
        <v>0</v>
      </c>
      <c r="N177" s="39">
        <f>'BPJS TK'!H177</f>
        <v>0</v>
      </c>
      <c r="O177" s="39">
        <f>'BPJS KES'!D177</f>
        <v>0</v>
      </c>
      <c r="P177" s="39">
        <f t="shared" si="20"/>
        <v>0</v>
      </c>
      <c r="Q177" s="39">
        <f t="shared" si="21"/>
        <v>0</v>
      </c>
      <c r="R177" s="39">
        <f>'BPJS TK'!G177</f>
        <v>0</v>
      </c>
      <c r="S177" s="39">
        <f>'BPJS TK'!I177</f>
        <v>0</v>
      </c>
      <c r="T177" s="39">
        <f>'BPJS KES'!E177</f>
        <v>0</v>
      </c>
      <c r="U177" s="40">
        <f>'PPH PSL 21 - GROSS (MULAI 2024)'!L177</f>
        <v>0</v>
      </c>
      <c r="V177" s="41">
        <f t="shared" si="22"/>
        <v>0</v>
      </c>
      <c r="W177" s="49">
        <f t="shared" si="18"/>
        <v>0</v>
      </c>
      <c r="X177" s="197"/>
      <c r="Y177" s="52"/>
    </row>
    <row r="178" spans="1:26">
      <c r="A178" s="23" t="str">
        <f>IF('TENAGA KERJA'!A177=0,"",'TENAGA KERJA'!A177)</f>
        <v/>
      </c>
      <c r="B178" s="28" t="str">
        <f>IF('TENAGA KERJA'!B177=0,"",'TENAGA KERJA'!B177)</f>
        <v/>
      </c>
      <c r="C178" s="23" t="str">
        <f>IF('TENAGA KERJA'!C177=0,"",'TENAGA KERJA'!C177)</f>
        <v/>
      </c>
      <c r="D178" s="23" t="str">
        <f>IF('TENAGA KERJA'!D177=0,"",'TENAGA KERJA'!D177)</f>
        <v/>
      </c>
      <c r="E178" s="23" t="str">
        <f>IF('TENAGA KERJA'!E177=0,"",'TENAGA KERJA'!E177)</f>
        <v/>
      </c>
      <c r="F178" s="39">
        <f>'TENAGA KERJA'!K177</f>
        <v>0</v>
      </c>
      <c r="G178" s="40">
        <f>'TENAGA KERJA'!L177</f>
        <v>0</v>
      </c>
      <c r="H178" s="40">
        <f>'TENAGA KERJA'!M177</f>
        <v>0</v>
      </c>
      <c r="I178" s="39">
        <f>'TENAGA KERJA'!N177</f>
        <v>0</v>
      </c>
      <c r="J178" s="39">
        <f t="shared" si="19"/>
        <v>0</v>
      </c>
      <c r="K178" s="39">
        <f>'BPJS TK'!D178</f>
        <v>0</v>
      </c>
      <c r="L178" s="39">
        <f>'BPJS TK'!E178</f>
        <v>0</v>
      </c>
      <c r="M178" s="39">
        <f>'BPJS TK'!F178</f>
        <v>0</v>
      </c>
      <c r="N178" s="39">
        <f>'BPJS TK'!H178</f>
        <v>0</v>
      </c>
      <c r="O178" s="39">
        <f>'BPJS KES'!D178</f>
        <v>0</v>
      </c>
      <c r="P178" s="39">
        <f t="shared" si="20"/>
        <v>0</v>
      </c>
      <c r="Q178" s="39">
        <f t="shared" si="21"/>
        <v>0</v>
      </c>
      <c r="R178" s="39">
        <f>'BPJS TK'!G178</f>
        <v>0</v>
      </c>
      <c r="S178" s="39">
        <f>'BPJS TK'!I178</f>
        <v>0</v>
      </c>
      <c r="T178" s="39">
        <f>'BPJS KES'!E178</f>
        <v>0</v>
      </c>
      <c r="U178" s="40">
        <f>'PPH PSL 21 - GROSS (MULAI 2024)'!L178</f>
        <v>0</v>
      </c>
      <c r="V178" s="41">
        <f t="shared" si="22"/>
        <v>0</v>
      </c>
      <c r="W178" s="49">
        <f t="shared" si="18"/>
        <v>0</v>
      </c>
      <c r="X178" s="197">
        <f>SUM(W141:W177)-W168</f>
        <v>-81740.10999999987</v>
      </c>
      <c r="Y178" s="50"/>
      <c r="Z178" s="52"/>
    </row>
    <row r="179" spans="1:26">
      <c r="A179" s="23" t="str">
        <f>IF('TENAGA KERJA'!A178=0,"",'TENAGA KERJA'!A178)</f>
        <v/>
      </c>
      <c r="B179" s="28" t="str">
        <f>IF('TENAGA KERJA'!B178=0,"",'TENAGA KERJA'!B178)</f>
        <v/>
      </c>
      <c r="C179" s="23" t="str">
        <f>IF('TENAGA KERJA'!C178=0,"",'TENAGA KERJA'!C178)</f>
        <v/>
      </c>
      <c r="D179" s="23" t="str">
        <f>IF('TENAGA KERJA'!D178=0,"",'TENAGA KERJA'!D178)</f>
        <v/>
      </c>
      <c r="E179" s="23" t="str">
        <f>IF('TENAGA KERJA'!E178=0,"",'TENAGA KERJA'!E178)</f>
        <v/>
      </c>
      <c r="F179" s="39">
        <f>'TENAGA KERJA'!K178</f>
        <v>0</v>
      </c>
      <c r="G179" s="40">
        <f>'TENAGA KERJA'!L178</f>
        <v>0</v>
      </c>
      <c r="H179" s="40">
        <f>'TENAGA KERJA'!M178</f>
        <v>0</v>
      </c>
      <c r="I179" s="39">
        <f>'TENAGA KERJA'!N178</f>
        <v>0</v>
      </c>
      <c r="J179" s="39">
        <f t="shared" si="19"/>
        <v>0</v>
      </c>
      <c r="K179" s="39">
        <f>'BPJS TK'!D179</f>
        <v>20749.4244</v>
      </c>
      <c r="L179" s="39">
        <f>'BPJS TK'!E179</f>
        <v>6994.1880000000001</v>
      </c>
      <c r="M179" s="39">
        <f>'BPJS TK'!F179</f>
        <v>86261.652000000002</v>
      </c>
      <c r="N179" s="39">
        <f>'BPJS TK'!H179</f>
        <v>0</v>
      </c>
      <c r="O179" s="39">
        <f>'BPJS KES'!D179</f>
        <v>175653.48</v>
      </c>
      <c r="P179" s="39">
        <f t="shared" si="20"/>
        <v>289658.74440000003</v>
      </c>
      <c r="Q179" s="39">
        <f t="shared" si="21"/>
        <v>289658.74440000003</v>
      </c>
      <c r="R179" s="39">
        <f>'BPJS TK'!G179</f>
        <v>46627.92</v>
      </c>
      <c r="S179" s="39">
        <f>'BPJS TK'!I179</f>
        <v>0</v>
      </c>
      <c r="T179" s="39">
        <f>'BPJS KES'!E179</f>
        <v>43913.37</v>
      </c>
      <c r="U179" s="40">
        <f>'PPH PSL 21 - GROSS (MULAI 2024)'!L179</f>
        <v>0</v>
      </c>
      <c r="V179" s="41">
        <f t="shared" si="22"/>
        <v>90541.290000000008</v>
      </c>
      <c r="W179" s="49">
        <f t="shared" si="18"/>
        <v>-90541.290000000008</v>
      </c>
      <c r="X179" s="197"/>
    </row>
    <row r="180" spans="1:26">
      <c r="A180" s="23" t="str">
        <f>IF('TENAGA KERJA'!A179=0,"",'TENAGA KERJA'!A179)</f>
        <v/>
      </c>
      <c r="B180" s="28" t="str">
        <f>IF('TENAGA KERJA'!B179=0,"",'TENAGA KERJA'!B179)</f>
        <v/>
      </c>
      <c r="C180" s="23" t="str">
        <f>IF('TENAGA KERJA'!C179=0,"",'TENAGA KERJA'!C179)</f>
        <v/>
      </c>
      <c r="D180" s="23" t="str">
        <f>IF('TENAGA KERJA'!D179=0,"",'TENAGA KERJA'!D179)</f>
        <v/>
      </c>
      <c r="E180" s="23" t="str">
        <f>IF('TENAGA KERJA'!E179=0,"",'TENAGA KERJA'!E179)</f>
        <v/>
      </c>
      <c r="F180" s="39">
        <f>'TENAGA KERJA'!K179</f>
        <v>0</v>
      </c>
      <c r="G180" s="40">
        <f>'TENAGA KERJA'!L179</f>
        <v>0</v>
      </c>
      <c r="H180" s="40">
        <f>'TENAGA KERJA'!M179</f>
        <v>0</v>
      </c>
      <c r="I180" s="39">
        <f>'TENAGA KERJA'!N179</f>
        <v>0</v>
      </c>
      <c r="J180" s="39">
        <f t="shared" si="19"/>
        <v>0</v>
      </c>
      <c r="K180" s="39">
        <f>'BPJS TK'!D180</f>
        <v>0</v>
      </c>
      <c r="L180" s="39">
        <f>'BPJS TK'!E180</f>
        <v>0</v>
      </c>
      <c r="M180" s="39">
        <f>'BPJS TK'!F180</f>
        <v>0</v>
      </c>
      <c r="N180" s="39">
        <f>'BPJS TK'!H180</f>
        <v>0</v>
      </c>
      <c r="O180" s="39">
        <f>'BPJS KES'!D180</f>
        <v>0</v>
      </c>
      <c r="P180" s="39">
        <f t="shared" si="20"/>
        <v>0</v>
      </c>
      <c r="Q180" s="39">
        <f t="shared" si="21"/>
        <v>0</v>
      </c>
      <c r="R180" s="39">
        <f>'BPJS TK'!G180</f>
        <v>0</v>
      </c>
      <c r="S180" s="39">
        <f>'BPJS TK'!I180</f>
        <v>0</v>
      </c>
      <c r="T180" s="39">
        <f>'BPJS KES'!E180</f>
        <v>0</v>
      </c>
      <c r="U180" s="40">
        <f>'PPH PSL 21 - GROSS (MULAI 2024)'!L180</f>
        <v>0</v>
      </c>
      <c r="V180" s="41">
        <f t="shared" si="22"/>
        <v>0</v>
      </c>
      <c r="W180" s="49">
        <f t="shared" si="18"/>
        <v>0</v>
      </c>
      <c r="X180" s="197"/>
    </row>
    <row r="181" spans="1:26">
      <c r="A181" s="23" t="str">
        <f>IF('TENAGA KERJA'!A180=0,"",'TENAGA KERJA'!A180)</f>
        <v/>
      </c>
      <c r="B181" s="28" t="str">
        <f>IF('TENAGA KERJA'!B180=0,"",'TENAGA KERJA'!B180)</f>
        <v/>
      </c>
      <c r="C181" s="23" t="str">
        <f>IF('TENAGA KERJA'!C180=0,"",'TENAGA KERJA'!C180)</f>
        <v/>
      </c>
      <c r="D181" s="23" t="str">
        <f>IF('TENAGA KERJA'!D180=0,"",'TENAGA KERJA'!D180)</f>
        <v/>
      </c>
      <c r="E181" s="23" t="str">
        <f>IF('TENAGA KERJA'!E180=0,"",'TENAGA KERJA'!E180)</f>
        <v/>
      </c>
      <c r="F181" s="39">
        <f>'TENAGA KERJA'!K180</f>
        <v>0</v>
      </c>
      <c r="G181" s="40">
        <f>'TENAGA KERJA'!L180</f>
        <v>0</v>
      </c>
      <c r="H181" s="40">
        <f>'TENAGA KERJA'!M180</f>
        <v>0</v>
      </c>
      <c r="I181" s="39">
        <f>'TENAGA KERJA'!N180</f>
        <v>0</v>
      </c>
      <c r="J181" s="39">
        <f t="shared" si="19"/>
        <v>0</v>
      </c>
      <c r="K181" s="39">
        <f>'BPJS TK'!D181</f>
        <v>0</v>
      </c>
      <c r="L181" s="39">
        <f>'BPJS TK'!E181</f>
        <v>0</v>
      </c>
      <c r="M181" s="39">
        <f>'BPJS TK'!F181</f>
        <v>0</v>
      </c>
      <c r="N181" s="39">
        <f>'BPJS TK'!H181</f>
        <v>0</v>
      </c>
      <c r="O181" s="39">
        <f>'BPJS KES'!D181</f>
        <v>0</v>
      </c>
      <c r="P181" s="39">
        <f t="shared" si="20"/>
        <v>0</v>
      </c>
      <c r="Q181" s="39">
        <f t="shared" si="21"/>
        <v>0</v>
      </c>
      <c r="R181" s="39">
        <f>'BPJS TK'!G181</f>
        <v>0</v>
      </c>
      <c r="S181" s="39">
        <f>'BPJS TK'!I181</f>
        <v>0</v>
      </c>
      <c r="T181" s="39">
        <f>'BPJS KES'!E181</f>
        <v>0</v>
      </c>
      <c r="U181" s="40">
        <f>'PPH PSL 21 - GROSS (MULAI 2024)'!L181</f>
        <v>0</v>
      </c>
      <c r="V181" s="41">
        <f t="shared" si="22"/>
        <v>0</v>
      </c>
      <c r="W181" s="49">
        <f t="shared" si="18"/>
        <v>0</v>
      </c>
      <c r="X181" s="197"/>
    </row>
    <row r="182" spans="1:26">
      <c r="A182" s="23" t="str">
        <f>IF('TENAGA KERJA'!A181=0,"",'TENAGA KERJA'!A181)</f>
        <v/>
      </c>
      <c r="B182" s="28" t="str">
        <f>IF('TENAGA KERJA'!B181=0,"",'TENAGA KERJA'!B181)</f>
        <v/>
      </c>
      <c r="C182" s="23" t="str">
        <f>IF('TENAGA KERJA'!C181=0,"",'TENAGA KERJA'!C181)</f>
        <v/>
      </c>
      <c r="D182" s="23" t="str">
        <f>IF('TENAGA KERJA'!D181=0,"",'TENAGA KERJA'!D181)</f>
        <v/>
      </c>
      <c r="E182" s="23" t="str">
        <f>IF('TENAGA KERJA'!E181=0,"",'TENAGA KERJA'!E181)</f>
        <v/>
      </c>
      <c r="F182" s="39">
        <f>'TENAGA KERJA'!K181</f>
        <v>0</v>
      </c>
      <c r="G182" s="40">
        <f>'TENAGA KERJA'!L181</f>
        <v>0</v>
      </c>
      <c r="H182" s="40">
        <f>'TENAGA KERJA'!M181</f>
        <v>0</v>
      </c>
      <c r="I182" s="39">
        <f>'TENAGA KERJA'!N181</f>
        <v>0</v>
      </c>
      <c r="J182" s="39">
        <f t="shared" si="19"/>
        <v>0</v>
      </c>
      <c r="K182" s="39">
        <f>'BPJS TK'!D182</f>
        <v>0</v>
      </c>
      <c r="L182" s="39">
        <f>'BPJS TK'!E182</f>
        <v>0</v>
      </c>
      <c r="M182" s="39">
        <f>'BPJS TK'!F182</f>
        <v>0</v>
      </c>
      <c r="N182" s="39">
        <f>'BPJS TK'!H182</f>
        <v>0</v>
      </c>
      <c r="O182" s="39">
        <f>'BPJS KES'!D182</f>
        <v>0</v>
      </c>
      <c r="P182" s="39">
        <f t="shared" si="20"/>
        <v>0</v>
      </c>
      <c r="Q182" s="39">
        <f t="shared" si="21"/>
        <v>0</v>
      </c>
      <c r="R182" s="39">
        <f>'BPJS TK'!G182</f>
        <v>0</v>
      </c>
      <c r="S182" s="39">
        <f>'BPJS TK'!I182</f>
        <v>0</v>
      </c>
      <c r="T182" s="39">
        <f>'BPJS KES'!E182</f>
        <v>0</v>
      </c>
      <c r="U182" s="40">
        <f>'PPH PSL 21 - GROSS (MULAI 2024)'!L182</f>
        <v>0</v>
      </c>
      <c r="V182" s="41">
        <f t="shared" si="22"/>
        <v>0</v>
      </c>
      <c r="W182" s="49">
        <f t="shared" si="18"/>
        <v>0</v>
      </c>
      <c r="X182" s="197"/>
    </row>
    <row r="183" spans="1:26">
      <c r="A183" s="23" t="str">
        <f>IF('TENAGA KERJA'!A182=0,"",'TENAGA KERJA'!A182)</f>
        <v/>
      </c>
      <c r="B183" s="28" t="str">
        <f>IF('TENAGA KERJA'!B182=0,"",'TENAGA KERJA'!B182)</f>
        <v/>
      </c>
      <c r="C183" s="23" t="str">
        <f>IF('TENAGA KERJA'!C182=0,"",'TENAGA KERJA'!C182)</f>
        <v/>
      </c>
      <c r="D183" s="23" t="str">
        <f>IF('TENAGA KERJA'!D182=0,"",'TENAGA KERJA'!D182)</f>
        <v/>
      </c>
      <c r="E183" s="23" t="str">
        <f>IF('TENAGA KERJA'!E182=0,"",'TENAGA KERJA'!E182)</f>
        <v/>
      </c>
      <c r="F183" s="39">
        <f>'TENAGA KERJA'!K182</f>
        <v>0</v>
      </c>
      <c r="G183" s="40">
        <f>'TENAGA KERJA'!L182</f>
        <v>0</v>
      </c>
      <c r="H183" s="40">
        <f>'TENAGA KERJA'!M182</f>
        <v>0</v>
      </c>
      <c r="I183" s="39">
        <f>'TENAGA KERJA'!N182</f>
        <v>0</v>
      </c>
      <c r="J183" s="39">
        <f t="shared" si="19"/>
        <v>0</v>
      </c>
      <c r="K183" s="39">
        <f>'BPJS TK'!D183</f>
        <v>0</v>
      </c>
      <c r="L183" s="39">
        <f>'BPJS TK'!E183</f>
        <v>0</v>
      </c>
      <c r="M183" s="39">
        <f>'BPJS TK'!F183</f>
        <v>0</v>
      </c>
      <c r="N183" s="39">
        <f>'BPJS TK'!H183</f>
        <v>0</v>
      </c>
      <c r="O183" s="39">
        <f>'BPJS KES'!D183</f>
        <v>0</v>
      </c>
      <c r="P183" s="39">
        <f t="shared" si="20"/>
        <v>0</v>
      </c>
      <c r="Q183" s="39">
        <f t="shared" si="21"/>
        <v>0</v>
      </c>
      <c r="R183" s="39">
        <f>'BPJS TK'!G183</f>
        <v>0</v>
      </c>
      <c r="S183" s="39">
        <f>'BPJS TK'!I183</f>
        <v>0</v>
      </c>
      <c r="T183" s="39">
        <f>'BPJS KES'!E183</f>
        <v>0</v>
      </c>
      <c r="U183" s="40">
        <f>'PPH PSL 21 - GROSS (MULAI 2024)'!L183</f>
        <v>0</v>
      </c>
      <c r="V183" s="41">
        <f t="shared" si="22"/>
        <v>0</v>
      </c>
      <c r="W183" s="49">
        <f t="shared" si="18"/>
        <v>0</v>
      </c>
      <c r="X183" s="197"/>
    </row>
    <row r="184" spans="1:26">
      <c r="A184" s="23" t="str">
        <f>IF('TENAGA KERJA'!A183=0,"",'TENAGA KERJA'!A183)</f>
        <v/>
      </c>
      <c r="B184" s="28" t="str">
        <f>IF('TENAGA KERJA'!B183=0,"",'TENAGA KERJA'!B183)</f>
        <v/>
      </c>
      <c r="C184" s="23" t="str">
        <f>IF('TENAGA KERJA'!C183=0,"",'TENAGA KERJA'!C183)</f>
        <v/>
      </c>
      <c r="D184" s="23" t="str">
        <f>IF('TENAGA KERJA'!D183=0,"",'TENAGA KERJA'!D183)</f>
        <v/>
      </c>
      <c r="E184" s="23" t="str">
        <f>IF('TENAGA KERJA'!E183=0,"",'TENAGA KERJA'!E183)</f>
        <v/>
      </c>
      <c r="F184" s="39">
        <f>'TENAGA KERJA'!K183</f>
        <v>0</v>
      </c>
      <c r="G184" s="40">
        <f>'TENAGA KERJA'!L183</f>
        <v>0</v>
      </c>
      <c r="H184" s="40">
        <f>'TENAGA KERJA'!M183</f>
        <v>0</v>
      </c>
      <c r="I184" s="39">
        <f>'TENAGA KERJA'!N183</f>
        <v>0</v>
      </c>
      <c r="J184" s="39">
        <f t="shared" si="19"/>
        <v>0</v>
      </c>
      <c r="K184" s="39">
        <f>'BPJS TK'!D184</f>
        <v>0</v>
      </c>
      <c r="L184" s="39">
        <f>'BPJS TK'!E184</f>
        <v>0</v>
      </c>
      <c r="M184" s="39">
        <f>'BPJS TK'!F184</f>
        <v>0</v>
      </c>
      <c r="N184" s="39">
        <f>'BPJS TK'!H184</f>
        <v>0</v>
      </c>
      <c r="O184" s="39">
        <f>'BPJS KES'!D184</f>
        <v>0</v>
      </c>
      <c r="P184" s="39">
        <f t="shared" si="20"/>
        <v>0</v>
      </c>
      <c r="Q184" s="39">
        <f t="shared" si="21"/>
        <v>0</v>
      </c>
      <c r="R184" s="39">
        <f>'BPJS TK'!G184</f>
        <v>0</v>
      </c>
      <c r="S184" s="39">
        <f>'BPJS TK'!I184</f>
        <v>0</v>
      </c>
      <c r="T184" s="39">
        <f>'BPJS KES'!E184</f>
        <v>0</v>
      </c>
      <c r="U184" s="40">
        <f>'PPH PSL 21 - GROSS (MULAI 2024)'!L184</f>
        <v>0</v>
      </c>
      <c r="V184" s="41">
        <f t="shared" si="22"/>
        <v>0</v>
      </c>
      <c r="W184" s="49">
        <f t="shared" si="18"/>
        <v>0</v>
      </c>
      <c r="X184" s="197"/>
      <c r="Y184" s="52"/>
    </row>
    <row r="185" spans="1:26">
      <c r="A185" s="23" t="str">
        <f>IF('TENAGA KERJA'!A184=0,"",'TENAGA KERJA'!A184)</f>
        <v/>
      </c>
      <c r="B185" s="28" t="str">
        <f>IF('TENAGA KERJA'!B184=0,"",'TENAGA KERJA'!B184)</f>
        <v/>
      </c>
      <c r="C185" s="23" t="str">
        <f>IF('TENAGA KERJA'!C184=0,"",'TENAGA KERJA'!C184)</f>
        <v/>
      </c>
      <c r="D185" s="23" t="str">
        <f>IF('TENAGA KERJA'!D184=0,"",'TENAGA KERJA'!D184)</f>
        <v/>
      </c>
      <c r="E185" s="23" t="str">
        <f>IF('TENAGA KERJA'!E184=0,"",'TENAGA KERJA'!E184)</f>
        <v/>
      </c>
      <c r="F185" s="39">
        <f>'TENAGA KERJA'!K184</f>
        <v>0</v>
      </c>
      <c r="G185" s="40">
        <f>'TENAGA KERJA'!L184</f>
        <v>0</v>
      </c>
      <c r="H185" s="40">
        <f>'TENAGA KERJA'!M184</f>
        <v>0</v>
      </c>
      <c r="I185" s="39">
        <f>'TENAGA KERJA'!N184</f>
        <v>0</v>
      </c>
      <c r="J185" s="39">
        <f t="shared" si="19"/>
        <v>0</v>
      </c>
      <c r="K185" s="39">
        <f>'BPJS TK'!D185</f>
        <v>0</v>
      </c>
      <c r="L185" s="39">
        <f>'BPJS TK'!E185</f>
        <v>0</v>
      </c>
      <c r="M185" s="39">
        <f>'BPJS TK'!F185</f>
        <v>0</v>
      </c>
      <c r="N185" s="39">
        <f>'BPJS TK'!H185</f>
        <v>0</v>
      </c>
      <c r="O185" s="39">
        <f>'BPJS KES'!D185</f>
        <v>0</v>
      </c>
      <c r="P185" s="39">
        <f t="shared" si="20"/>
        <v>0</v>
      </c>
      <c r="Q185" s="39">
        <f t="shared" si="21"/>
        <v>0</v>
      </c>
      <c r="R185" s="39">
        <f>'BPJS TK'!G185</f>
        <v>0</v>
      </c>
      <c r="S185" s="39">
        <f>'BPJS TK'!I185</f>
        <v>0</v>
      </c>
      <c r="T185" s="39">
        <f>'BPJS KES'!E185</f>
        <v>0</v>
      </c>
      <c r="U185" s="40">
        <f>'PPH PSL 21 - GROSS (MULAI 2024)'!L185</f>
        <v>0</v>
      </c>
      <c r="V185" s="41">
        <f t="shared" si="22"/>
        <v>0</v>
      </c>
      <c r="W185" s="49">
        <f t="shared" si="18"/>
        <v>0</v>
      </c>
      <c r="X185" s="197">
        <f>SUM(W179:W185)</f>
        <v>-90541.290000000008</v>
      </c>
    </row>
    <row r="186" spans="1:26">
      <c r="A186" s="23" t="str">
        <f>IF('TENAGA KERJA'!A185=0,"",'TENAGA KERJA'!A185)</f>
        <v/>
      </c>
      <c r="B186" s="28" t="str">
        <f>IF('TENAGA KERJA'!B185=0,"",'TENAGA KERJA'!B185)</f>
        <v/>
      </c>
      <c r="C186" s="23" t="str">
        <f>IF('TENAGA KERJA'!C185=0,"",'TENAGA KERJA'!C185)</f>
        <v/>
      </c>
      <c r="D186" s="23" t="str">
        <f>IF('TENAGA KERJA'!D185=0,"",'TENAGA KERJA'!D185)</f>
        <v/>
      </c>
      <c r="E186" s="23" t="str">
        <f>IF('TENAGA KERJA'!E185=0,"",'TENAGA KERJA'!E185)</f>
        <v/>
      </c>
      <c r="F186" s="39">
        <f>'TENAGA KERJA'!K185</f>
        <v>0</v>
      </c>
      <c r="G186" s="40">
        <f>'TENAGA KERJA'!L185</f>
        <v>0</v>
      </c>
      <c r="H186" s="40">
        <f>'TENAGA KERJA'!M185</f>
        <v>0</v>
      </c>
      <c r="I186" s="39">
        <f>'TENAGA KERJA'!N185</f>
        <v>0</v>
      </c>
      <c r="J186" s="39">
        <f t="shared" si="19"/>
        <v>0</v>
      </c>
      <c r="K186" s="39">
        <f>'BPJS TK'!D186</f>
        <v>0</v>
      </c>
      <c r="L186" s="39">
        <f>'BPJS TK'!E186</f>
        <v>0</v>
      </c>
      <c r="M186" s="39">
        <f>'BPJS TK'!F186</f>
        <v>0</v>
      </c>
      <c r="N186" s="39">
        <f>'BPJS TK'!H186</f>
        <v>0</v>
      </c>
      <c r="O186" s="39">
        <f>'BPJS KES'!D186</f>
        <v>0</v>
      </c>
      <c r="P186" s="39">
        <f t="shared" si="20"/>
        <v>0</v>
      </c>
      <c r="Q186" s="39">
        <f t="shared" si="21"/>
        <v>0</v>
      </c>
      <c r="R186" s="39">
        <f>'BPJS TK'!G186</f>
        <v>0</v>
      </c>
      <c r="S186" s="39">
        <f>'BPJS TK'!I186</f>
        <v>0</v>
      </c>
      <c r="T186" s="39">
        <f>'BPJS KES'!E186</f>
        <v>0</v>
      </c>
      <c r="U186" s="40">
        <f>'PPH PSL 21 - GROSS (MULAI 2024)'!L186</f>
        <v>0</v>
      </c>
      <c r="V186" s="41">
        <f t="shared" si="22"/>
        <v>0</v>
      </c>
      <c r="W186" s="49">
        <f t="shared" si="18"/>
        <v>0</v>
      </c>
      <c r="X186" s="197"/>
    </row>
    <row r="187" spans="1:26">
      <c r="A187" s="23" t="str">
        <f>IF('TENAGA KERJA'!A186=0,"",'TENAGA KERJA'!A186)</f>
        <v/>
      </c>
      <c r="B187" s="28" t="str">
        <f>IF('TENAGA KERJA'!B186=0,"",'TENAGA KERJA'!B186)</f>
        <v/>
      </c>
      <c r="C187" s="23" t="str">
        <f>IF('TENAGA KERJA'!C186=0,"",'TENAGA KERJA'!C186)</f>
        <v/>
      </c>
      <c r="D187" s="23" t="str">
        <f>IF('TENAGA KERJA'!D186=0,"",'TENAGA KERJA'!D186)</f>
        <v/>
      </c>
      <c r="E187" s="23" t="str">
        <f>IF('TENAGA KERJA'!E186=0,"",'TENAGA KERJA'!E186)</f>
        <v/>
      </c>
      <c r="F187" s="39">
        <f>'TENAGA KERJA'!K186</f>
        <v>0</v>
      </c>
      <c r="G187" s="40">
        <f>'TENAGA KERJA'!L186</f>
        <v>0</v>
      </c>
      <c r="H187" s="40">
        <f>'TENAGA KERJA'!M186</f>
        <v>0</v>
      </c>
      <c r="I187" s="39">
        <f>'TENAGA KERJA'!N186</f>
        <v>0</v>
      </c>
      <c r="J187" s="39">
        <f t="shared" si="19"/>
        <v>0</v>
      </c>
      <c r="K187" s="39">
        <f>'BPJS TK'!D187</f>
        <v>0</v>
      </c>
      <c r="L187" s="39">
        <f>'BPJS TK'!E187</f>
        <v>0</v>
      </c>
      <c r="M187" s="39">
        <f>'BPJS TK'!F187</f>
        <v>0</v>
      </c>
      <c r="N187" s="39">
        <f>'BPJS TK'!H187</f>
        <v>0</v>
      </c>
      <c r="O187" s="39">
        <f>'BPJS KES'!D187</f>
        <v>0</v>
      </c>
      <c r="P187" s="39">
        <f t="shared" si="20"/>
        <v>0</v>
      </c>
      <c r="Q187" s="39">
        <f t="shared" si="21"/>
        <v>0</v>
      </c>
      <c r="R187" s="39">
        <f>'BPJS TK'!G187</f>
        <v>0</v>
      </c>
      <c r="S187" s="39">
        <f>'BPJS TK'!I187</f>
        <v>0</v>
      </c>
      <c r="T187" s="39">
        <f>'BPJS KES'!E187</f>
        <v>0</v>
      </c>
      <c r="U187" s="40">
        <f>'PPH PSL 21 - GROSS (MULAI 2024)'!L187</f>
        <v>0</v>
      </c>
      <c r="V187" s="41">
        <f t="shared" si="22"/>
        <v>0</v>
      </c>
      <c r="W187" s="49">
        <f t="shared" si="18"/>
        <v>0</v>
      </c>
      <c r="X187" s="197"/>
    </row>
    <row r="188" spans="1:26">
      <c r="A188" s="23" t="str">
        <f>IF('TENAGA KERJA'!A187=0,"",'TENAGA KERJA'!A187)</f>
        <v/>
      </c>
      <c r="B188" s="28" t="str">
        <f>IF('TENAGA KERJA'!B187=0,"",'TENAGA KERJA'!B187)</f>
        <v/>
      </c>
      <c r="C188" s="23" t="str">
        <f>IF('TENAGA KERJA'!C187=0,"",'TENAGA KERJA'!C187)</f>
        <v/>
      </c>
      <c r="D188" s="23" t="str">
        <f>IF('TENAGA KERJA'!D187=0,"",'TENAGA KERJA'!D187)</f>
        <v/>
      </c>
      <c r="E188" s="23" t="str">
        <f>IF('TENAGA KERJA'!E187=0,"",'TENAGA KERJA'!E187)</f>
        <v/>
      </c>
      <c r="F188" s="39">
        <f>'TENAGA KERJA'!K187</f>
        <v>0</v>
      </c>
      <c r="G188" s="40">
        <f>'TENAGA KERJA'!L187</f>
        <v>0</v>
      </c>
      <c r="H188" s="40">
        <f>'TENAGA KERJA'!M187</f>
        <v>0</v>
      </c>
      <c r="I188" s="39">
        <f>'TENAGA KERJA'!N187</f>
        <v>0</v>
      </c>
      <c r="J188" s="39">
        <f t="shared" si="19"/>
        <v>0</v>
      </c>
      <c r="K188" s="39">
        <f>'BPJS TK'!D188</f>
        <v>0</v>
      </c>
      <c r="L188" s="39">
        <f>'BPJS TK'!E188</f>
        <v>0</v>
      </c>
      <c r="M188" s="39">
        <f>'BPJS TK'!F188</f>
        <v>0</v>
      </c>
      <c r="N188" s="39">
        <f>'BPJS TK'!H188</f>
        <v>0</v>
      </c>
      <c r="O188" s="39">
        <f>'BPJS KES'!D188</f>
        <v>0</v>
      </c>
      <c r="P188" s="39">
        <f t="shared" si="20"/>
        <v>0</v>
      </c>
      <c r="Q188" s="39">
        <f t="shared" si="21"/>
        <v>0</v>
      </c>
      <c r="R188" s="39">
        <f>'BPJS TK'!G188</f>
        <v>0</v>
      </c>
      <c r="S188" s="39">
        <f>'BPJS TK'!I188</f>
        <v>0</v>
      </c>
      <c r="T188" s="39">
        <f>'BPJS KES'!E188</f>
        <v>0</v>
      </c>
      <c r="U188" s="40">
        <f>'PPH PSL 21 - GROSS (MULAI 2024)'!L188</f>
        <v>0</v>
      </c>
      <c r="V188" s="41">
        <f t="shared" si="22"/>
        <v>0</v>
      </c>
      <c r="W188" s="49">
        <f t="shared" si="18"/>
        <v>0</v>
      </c>
      <c r="X188" s="197"/>
    </row>
    <row r="189" spans="1:26">
      <c r="A189" s="23" t="str">
        <f>IF('TENAGA KERJA'!A188=0,"",'TENAGA KERJA'!A188)</f>
        <v/>
      </c>
      <c r="B189" s="28" t="str">
        <f>IF('TENAGA KERJA'!B188=0,"",'TENAGA KERJA'!B188)</f>
        <v/>
      </c>
      <c r="C189" s="23" t="str">
        <f>IF('TENAGA KERJA'!C188=0,"",'TENAGA KERJA'!C188)</f>
        <v/>
      </c>
      <c r="D189" s="23" t="str">
        <f>IF('TENAGA KERJA'!D188=0,"",'TENAGA KERJA'!D188)</f>
        <v/>
      </c>
      <c r="E189" s="23" t="str">
        <f>IF('TENAGA KERJA'!E188=0,"",'TENAGA KERJA'!E188)</f>
        <v/>
      </c>
      <c r="F189" s="39">
        <f>'TENAGA KERJA'!K188</f>
        <v>0</v>
      </c>
      <c r="G189" s="40">
        <f>'TENAGA KERJA'!L188</f>
        <v>0</v>
      </c>
      <c r="H189" s="40">
        <f>'TENAGA KERJA'!M188</f>
        <v>0</v>
      </c>
      <c r="I189" s="39">
        <f>'TENAGA KERJA'!N188</f>
        <v>0</v>
      </c>
      <c r="J189" s="39">
        <f t="shared" si="19"/>
        <v>0</v>
      </c>
      <c r="K189" s="39">
        <f>'BPJS TK'!D189</f>
        <v>0</v>
      </c>
      <c r="L189" s="39">
        <f>'BPJS TK'!E189</f>
        <v>0</v>
      </c>
      <c r="M189" s="39">
        <f>'BPJS TK'!F189</f>
        <v>0</v>
      </c>
      <c r="N189" s="39">
        <f>'BPJS TK'!H189</f>
        <v>0</v>
      </c>
      <c r="O189" s="39">
        <f>'BPJS KES'!D189</f>
        <v>0</v>
      </c>
      <c r="P189" s="39">
        <f t="shared" si="20"/>
        <v>0</v>
      </c>
      <c r="Q189" s="39">
        <f t="shared" si="21"/>
        <v>0</v>
      </c>
      <c r="R189" s="39">
        <f>'BPJS TK'!G189</f>
        <v>0</v>
      </c>
      <c r="S189" s="39">
        <f>'BPJS TK'!I189</f>
        <v>0</v>
      </c>
      <c r="T189" s="39">
        <f>'BPJS KES'!E189</f>
        <v>0</v>
      </c>
      <c r="U189" s="40">
        <f>'PPH PSL 21 - GROSS (MULAI 2024)'!L189</f>
        <v>0</v>
      </c>
      <c r="V189" s="41">
        <f t="shared" si="22"/>
        <v>0</v>
      </c>
      <c r="W189" s="49">
        <f t="shared" si="18"/>
        <v>0</v>
      </c>
      <c r="X189" s="197"/>
    </row>
    <row r="190" spans="1:26">
      <c r="A190" s="23" t="str">
        <f>IF('TENAGA KERJA'!A189=0,"",'TENAGA KERJA'!A189)</f>
        <v/>
      </c>
      <c r="B190" s="28" t="str">
        <f>IF('TENAGA KERJA'!B189=0,"",'TENAGA KERJA'!B189)</f>
        <v/>
      </c>
      <c r="C190" s="23" t="str">
        <f>IF('TENAGA KERJA'!C189=0,"",'TENAGA KERJA'!C189)</f>
        <v/>
      </c>
      <c r="D190" s="23" t="str">
        <f>IF('TENAGA KERJA'!D189=0,"",'TENAGA KERJA'!D189)</f>
        <v/>
      </c>
      <c r="E190" s="23" t="str">
        <f>IF('TENAGA KERJA'!E189=0,"",'TENAGA KERJA'!E189)</f>
        <v/>
      </c>
      <c r="F190" s="39">
        <f>'TENAGA KERJA'!K189</f>
        <v>0</v>
      </c>
      <c r="G190" s="40">
        <f>'TENAGA KERJA'!L189</f>
        <v>0</v>
      </c>
      <c r="H190" s="40">
        <f>'TENAGA KERJA'!M189</f>
        <v>0</v>
      </c>
      <c r="I190" s="39">
        <f>'TENAGA KERJA'!N189</f>
        <v>0</v>
      </c>
      <c r="J190" s="39">
        <f t="shared" si="19"/>
        <v>0</v>
      </c>
      <c r="K190" s="39">
        <f>'BPJS TK'!D190</f>
        <v>0</v>
      </c>
      <c r="L190" s="39">
        <f>'BPJS TK'!E190</f>
        <v>0</v>
      </c>
      <c r="M190" s="39">
        <f>'BPJS TK'!F190</f>
        <v>0</v>
      </c>
      <c r="N190" s="39">
        <f>'BPJS TK'!H190</f>
        <v>0</v>
      </c>
      <c r="O190" s="39">
        <f>'BPJS KES'!D190</f>
        <v>0</v>
      </c>
      <c r="P190" s="39">
        <f t="shared" si="20"/>
        <v>0</v>
      </c>
      <c r="Q190" s="39">
        <f t="shared" si="21"/>
        <v>0</v>
      </c>
      <c r="R190" s="39">
        <f>'BPJS TK'!G190</f>
        <v>0</v>
      </c>
      <c r="S190" s="39">
        <f>'BPJS TK'!I190</f>
        <v>0</v>
      </c>
      <c r="T190" s="39">
        <f>'BPJS KES'!E190</f>
        <v>0</v>
      </c>
      <c r="U190" s="40">
        <f>'PPH PSL 21 - GROSS (MULAI 2024)'!L190</f>
        <v>0</v>
      </c>
      <c r="V190" s="41">
        <f t="shared" si="22"/>
        <v>0</v>
      </c>
      <c r="W190" s="49">
        <f t="shared" si="18"/>
        <v>0</v>
      </c>
      <c r="X190" s="197"/>
    </row>
    <row r="191" spans="1:26">
      <c r="A191" s="23" t="str">
        <f>IF('TENAGA KERJA'!A190=0,"",'TENAGA KERJA'!A190)</f>
        <v/>
      </c>
      <c r="B191" s="28" t="str">
        <f>IF('TENAGA KERJA'!B190=0,"",'TENAGA KERJA'!B190)</f>
        <v/>
      </c>
      <c r="C191" s="23" t="str">
        <f>IF('TENAGA KERJA'!C190=0,"",'TENAGA KERJA'!C190)</f>
        <v/>
      </c>
      <c r="D191" s="23" t="str">
        <f>IF('TENAGA KERJA'!D190=0,"",'TENAGA KERJA'!D190)</f>
        <v/>
      </c>
      <c r="E191" s="23" t="str">
        <f>IF('TENAGA KERJA'!E190=0,"",'TENAGA KERJA'!E190)</f>
        <v/>
      </c>
      <c r="F191" s="39">
        <f>'TENAGA KERJA'!K190</f>
        <v>0</v>
      </c>
      <c r="G191" s="40">
        <f>'TENAGA KERJA'!L190</f>
        <v>0</v>
      </c>
      <c r="H191" s="40">
        <f>'TENAGA KERJA'!M190</f>
        <v>0</v>
      </c>
      <c r="I191" s="39">
        <f>'TENAGA KERJA'!N190</f>
        <v>0</v>
      </c>
      <c r="J191" s="39">
        <f t="shared" si="19"/>
        <v>0</v>
      </c>
      <c r="K191" s="39">
        <f>'BPJS TK'!D191</f>
        <v>0</v>
      </c>
      <c r="L191" s="39">
        <f>'BPJS TK'!E191</f>
        <v>0</v>
      </c>
      <c r="M191" s="39">
        <f>'BPJS TK'!F191</f>
        <v>0</v>
      </c>
      <c r="N191" s="39">
        <f>'BPJS TK'!H191</f>
        <v>0</v>
      </c>
      <c r="O191" s="39">
        <f>'BPJS KES'!D191</f>
        <v>0</v>
      </c>
      <c r="P191" s="39">
        <f t="shared" si="20"/>
        <v>0</v>
      </c>
      <c r="Q191" s="39">
        <f t="shared" si="21"/>
        <v>0</v>
      </c>
      <c r="R191" s="39">
        <f>'BPJS TK'!G191</f>
        <v>0</v>
      </c>
      <c r="S191" s="39">
        <f>'BPJS TK'!I191</f>
        <v>0</v>
      </c>
      <c r="T191" s="39">
        <f>'BPJS KES'!E191</f>
        <v>0</v>
      </c>
      <c r="U191" s="40">
        <f>'PPH PSL 21 - GROSS (MULAI 2024)'!L191</f>
        <v>0</v>
      </c>
      <c r="V191" s="41">
        <f t="shared" si="22"/>
        <v>0</v>
      </c>
      <c r="W191" s="49">
        <f t="shared" si="18"/>
        <v>0</v>
      </c>
      <c r="X191" s="197"/>
    </row>
    <row r="192" spans="1:26">
      <c r="A192" s="23" t="str">
        <f>IF('TENAGA KERJA'!A191=0,"",'TENAGA KERJA'!A191)</f>
        <v/>
      </c>
      <c r="B192" s="28" t="str">
        <f>IF('TENAGA KERJA'!B191=0,"",'TENAGA KERJA'!B191)</f>
        <v/>
      </c>
      <c r="C192" s="23" t="str">
        <f>IF('TENAGA KERJA'!C191=0,"",'TENAGA KERJA'!C191)</f>
        <v/>
      </c>
      <c r="D192" s="23" t="str">
        <f>IF('TENAGA KERJA'!D191=0,"",'TENAGA KERJA'!D191)</f>
        <v/>
      </c>
      <c r="E192" s="23" t="str">
        <f>IF('TENAGA KERJA'!E191=0,"",'TENAGA KERJA'!E191)</f>
        <v/>
      </c>
      <c r="F192" s="39">
        <f>'TENAGA KERJA'!K191</f>
        <v>0</v>
      </c>
      <c r="G192" s="40">
        <f>'TENAGA KERJA'!L191</f>
        <v>0</v>
      </c>
      <c r="H192" s="40">
        <f>'TENAGA KERJA'!M191</f>
        <v>0</v>
      </c>
      <c r="I192" s="39">
        <f>'TENAGA KERJA'!N191</f>
        <v>0</v>
      </c>
      <c r="J192" s="39">
        <f t="shared" si="19"/>
        <v>0</v>
      </c>
      <c r="K192" s="39">
        <f>'BPJS TK'!D192</f>
        <v>0</v>
      </c>
      <c r="L192" s="39">
        <f>'BPJS TK'!E192</f>
        <v>0</v>
      </c>
      <c r="M192" s="39">
        <f>'BPJS TK'!F192</f>
        <v>0</v>
      </c>
      <c r="N192" s="39">
        <f>'BPJS TK'!H192</f>
        <v>0</v>
      </c>
      <c r="O192" s="39">
        <f>'BPJS KES'!D192</f>
        <v>0</v>
      </c>
      <c r="P192" s="39">
        <f t="shared" si="20"/>
        <v>0</v>
      </c>
      <c r="Q192" s="39">
        <f t="shared" si="21"/>
        <v>0</v>
      </c>
      <c r="R192" s="39">
        <f>'BPJS TK'!G192</f>
        <v>0</v>
      </c>
      <c r="S192" s="39">
        <f>'BPJS TK'!I192</f>
        <v>0</v>
      </c>
      <c r="T192" s="39">
        <f>'BPJS KES'!E192</f>
        <v>0</v>
      </c>
      <c r="U192" s="40">
        <f>'PPH PSL 21 - GROSS (MULAI 2024)'!L192</f>
        <v>0</v>
      </c>
      <c r="V192" s="41">
        <f t="shared" si="22"/>
        <v>0</v>
      </c>
      <c r="W192" s="49">
        <f t="shared" si="18"/>
        <v>0</v>
      </c>
      <c r="X192" s="197"/>
    </row>
    <row r="193" spans="1:25">
      <c r="A193" s="23" t="str">
        <f>IF('TENAGA KERJA'!A192=0,"",'TENAGA KERJA'!A192)</f>
        <v/>
      </c>
      <c r="B193" s="28" t="str">
        <f>IF('TENAGA KERJA'!B192=0,"",'TENAGA KERJA'!B192)</f>
        <v/>
      </c>
      <c r="C193" s="23" t="str">
        <f>IF('TENAGA KERJA'!C192=0,"",'TENAGA KERJA'!C192)</f>
        <v/>
      </c>
      <c r="D193" s="23" t="str">
        <f>IF('TENAGA KERJA'!D192=0,"",'TENAGA KERJA'!D192)</f>
        <v/>
      </c>
      <c r="E193" s="23" t="str">
        <f>IF('TENAGA KERJA'!E192=0,"",'TENAGA KERJA'!E192)</f>
        <v/>
      </c>
      <c r="F193" s="39">
        <f>'TENAGA KERJA'!K192</f>
        <v>0</v>
      </c>
      <c r="G193" s="40">
        <f>'TENAGA KERJA'!L192</f>
        <v>0</v>
      </c>
      <c r="H193" s="40">
        <f>'TENAGA KERJA'!M192</f>
        <v>0</v>
      </c>
      <c r="I193" s="39">
        <f>'TENAGA KERJA'!N192</f>
        <v>0</v>
      </c>
      <c r="J193" s="39">
        <f t="shared" si="19"/>
        <v>0</v>
      </c>
      <c r="K193" s="39">
        <f>'BPJS TK'!D193</f>
        <v>0</v>
      </c>
      <c r="L193" s="39">
        <f>'BPJS TK'!E193</f>
        <v>0</v>
      </c>
      <c r="M193" s="39">
        <f>'BPJS TK'!F193</f>
        <v>0</v>
      </c>
      <c r="N193" s="39">
        <f>'BPJS TK'!H193</f>
        <v>0</v>
      </c>
      <c r="O193" s="39">
        <f>'BPJS KES'!D193</f>
        <v>0</v>
      </c>
      <c r="P193" s="39">
        <f t="shared" si="20"/>
        <v>0</v>
      </c>
      <c r="Q193" s="39">
        <f t="shared" si="21"/>
        <v>0</v>
      </c>
      <c r="R193" s="39">
        <f>'BPJS TK'!G193</f>
        <v>0</v>
      </c>
      <c r="S193" s="39">
        <f>'BPJS TK'!I193</f>
        <v>0</v>
      </c>
      <c r="T193" s="39">
        <f>'BPJS KES'!E193</f>
        <v>0</v>
      </c>
      <c r="U193" s="40">
        <f>'PPH PSL 21 - GROSS (MULAI 2024)'!L193</f>
        <v>0</v>
      </c>
      <c r="V193" s="41">
        <f t="shared" si="22"/>
        <v>0</v>
      </c>
      <c r="W193" s="49">
        <f t="shared" si="18"/>
        <v>0</v>
      </c>
      <c r="X193" s="197"/>
    </row>
    <row r="194" spans="1:25">
      <c r="A194" s="23" t="str">
        <f>IF('TENAGA KERJA'!A193=0,"",'TENAGA KERJA'!A193)</f>
        <v/>
      </c>
      <c r="B194" s="28" t="str">
        <f>IF('TENAGA KERJA'!B193=0,"",'TENAGA KERJA'!B193)</f>
        <v/>
      </c>
      <c r="C194" s="23" t="str">
        <f>IF('TENAGA KERJA'!C193=0,"",'TENAGA KERJA'!C193)</f>
        <v/>
      </c>
      <c r="D194" s="23" t="str">
        <f>IF('TENAGA KERJA'!D193=0,"",'TENAGA KERJA'!D193)</f>
        <v/>
      </c>
      <c r="E194" s="23" t="str">
        <f>IF('TENAGA KERJA'!E193=0,"",'TENAGA KERJA'!E193)</f>
        <v/>
      </c>
      <c r="F194" s="39">
        <f>'TENAGA KERJA'!K193</f>
        <v>0</v>
      </c>
      <c r="G194" s="40">
        <f>'TENAGA KERJA'!L193</f>
        <v>0</v>
      </c>
      <c r="H194" s="40">
        <f>'TENAGA KERJA'!M193</f>
        <v>0</v>
      </c>
      <c r="I194" s="39">
        <f>'TENAGA KERJA'!N193</f>
        <v>0</v>
      </c>
      <c r="J194" s="39">
        <f t="shared" si="19"/>
        <v>0</v>
      </c>
      <c r="K194" s="39">
        <f>'BPJS TK'!D194</f>
        <v>0</v>
      </c>
      <c r="L194" s="39">
        <f>'BPJS TK'!E194</f>
        <v>0</v>
      </c>
      <c r="M194" s="39">
        <f>'BPJS TK'!F194</f>
        <v>0</v>
      </c>
      <c r="N194" s="39">
        <f>'BPJS TK'!H194</f>
        <v>0</v>
      </c>
      <c r="O194" s="39">
        <f>'BPJS KES'!D194</f>
        <v>0</v>
      </c>
      <c r="P194" s="39">
        <f t="shared" si="20"/>
        <v>0</v>
      </c>
      <c r="Q194" s="39">
        <f t="shared" si="21"/>
        <v>0</v>
      </c>
      <c r="R194" s="39">
        <f>'BPJS TK'!G194</f>
        <v>0</v>
      </c>
      <c r="S194" s="39">
        <f>'BPJS TK'!I194</f>
        <v>0</v>
      </c>
      <c r="T194" s="39">
        <f>'BPJS KES'!E194</f>
        <v>0</v>
      </c>
      <c r="U194" s="40">
        <f>'PPH PSL 21 - GROSS (MULAI 2024)'!L194</f>
        <v>0</v>
      </c>
      <c r="V194" s="41">
        <f t="shared" si="22"/>
        <v>0</v>
      </c>
      <c r="W194" s="49">
        <f t="shared" si="18"/>
        <v>0</v>
      </c>
      <c r="X194" s="197"/>
    </row>
    <row r="195" spans="1:25">
      <c r="A195" s="23" t="str">
        <f>IF('TENAGA KERJA'!A194=0,"",'TENAGA KERJA'!A194)</f>
        <v/>
      </c>
      <c r="B195" s="28" t="str">
        <f>IF('TENAGA KERJA'!B194=0,"",'TENAGA KERJA'!B194)</f>
        <v/>
      </c>
      <c r="C195" s="23" t="str">
        <f>IF('TENAGA KERJA'!C194=0,"",'TENAGA KERJA'!C194)</f>
        <v/>
      </c>
      <c r="D195" s="23" t="str">
        <f>IF('TENAGA KERJA'!D194=0,"",'TENAGA KERJA'!D194)</f>
        <v/>
      </c>
      <c r="E195" s="23" t="str">
        <f>IF('TENAGA KERJA'!E194=0,"",'TENAGA KERJA'!E194)</f>
        <v/>
      </c>
      <c r="F195" s="39">
        <f>'TENAGA KERJA'!K194</f>
        <v>0</v>
      </c>
      <c r="G195" s="40">
        <f>'TENAGA KERJA'!L194</f>
        <v>0</v>
      </c>
      <c r="H195" s="40">
        <f>'TENAGA KERJA'!M194</f>
        <v>0</v>
      </c>
      <c r="I195" s="39">
        <f>'TENAGA KERJA'!N194</f>
        <v>0</v>
      </c>
      <c r="J195" s="39">
        <f t="shared" si="19"/>
        <v>0</v>
      </c>
      <c r="K195" s="39">
        <f>'BPJS TK'!D195</f>
        <v>0</v>
      </c>
      <c r="L195" s="39">
        <f>'BPJS TK'!E195</f>
        <v>0</v>
      </c>
      <c r="M195" s="39">
        <f>'BPJS TK'!F195</f>
        <v>0</v>
      </c>
      <c r="N195" s="39">
        <f>'BPJS TK'!H195</f>
        <v>0</v>
      </c>
      <c r="O195" s="39">
        <f>'BPJS KES'!D195</f>
        <v>0</v>
      </c>
      <c r="P195" s="39">
        <f t="shared" si="20"/>
        <v>0</v>
      </c>
      <c r="Q195" s="39">
        <f t="shared" si="21"/>
        <v>0</v>
      </c>
      <c r="R195" s="39">
        <f>'BPJS TK'!G195</f>
        <v>0</v>
      </c>
      <c r="S195" s="39">
        <f>'BPJS TK'!I195</f>
        <v>0</v>
      </c>
      <c r="T195" s="39">
        <f>'BPJS KES'!E195</f>
        <v>0</v>
      </c>
      <c r="U195" s="40">
        <f>'PPH PSL 21 - GROSS (MULAI 2024)'!L195</f>
        <v>0</v>
      </c>
      <c r="V195" s="41">
        <f t="shared" si="22"/>
        <v>0</v>
      </c>
      <c r="W195" s="49">
        <f t="shared" ref="W195:W210" si="23">J195-V195</f>
        <v>0</v>
      </c>
      <c r="X195" s="197"/>
    </row>
    <row r="196" spans="1:25">
      <c r="A196" s="23" t="str">
        <f>IF('TENAGA KERJA'!A195=0,"",'TENAGA KERJA'!A195)</f>
        <v/>
      </c>
      <c r="B196" s="28" t="str">
        <f>IF('TENAGA KERJA'!B195=0,"",'TENAGA KERJA'!B195)</f>
        <v/>
      </c>
      <c r="C196" s="23" t="str">
        <f>IF('TENAGA KERJA'!C195=0,"",'TENAGA KERJA'!C195)</f>
        <v/>
      </c>
      <c r="D196" s="23" t="str">
        <f>IF('TENAGA KERJA'!D195=0,"",'TENAGA KERJA'!D195)</f>
        <v/>
      </c>
      <c r="E196" s="23" t="str">
        <f>IF('TENAGA KERJA'!E195=0,"",'TENAGA KERJA'!E195)</f>
        <v/>
      </c>
      <c r="F196" s="39">
        <f>'TENAGA KERJA'!K195</f>
        <v>0</v>
      </c>
      <c r="G196" s="40">
        <f>'TENAGA KERJA'!L195</f>
        <v>0</v>
      </c>
      <c r="H196" s="40">
        <f>'TENAGA KERJA'!M195</f>
        <v>0</v>
      </c>
      <c r="I196" s="39">
        <f>'TENAGA KERJA'!N195</f>
        <v>0</v>
      </c>
      <c r="J196" s="39">
        <f t="shared" si="19"/>
        <v>0</v>
      </c>
      <c r="K196" s="39">
        <f>'BPJS TK'!D196</f>
        <v>0</v>
      </c>
      <c r="L196" s="39">
        <f>'BPJS TK'!E196</f>
        <v>0</v>
      </c>
      <c r="M196" s="39">
        <f>'BPJS TK'!F196</f>
        <v>0</v>
      </c>
      <c r="N196" s="39">
        <f>'BPJS TK'!H196</f>
        <v>0</v>
      </c>
      <c r="O196" s="39">
        <f>'BPJS KES'!D196</f>
        <v>0</v>
      </c>
      <c r="P196" s="39">
        <f t="shared" si="20"/>
        <v>0</v>
      </c>
      <c r="Q196" s="39">
        <f t="shared" si="21"/>
        <v>0</v>
      </c>
      <c r="R196" s="39">
        <f>'BPJS TK'!G196</f>
        <v>0</v>
      </c>
      <c r="S196" s="39">
        <f>'BPJS TK'!I196</f>
        <v>0</v>
      </c>
      <c r="T196" s="39">
        <f>'BPJS KES'!E196</f>
        <v>0</v>
      </c>
      <c r="U196" s="40">
        <f>'PPH PSL 21 - GROSS (MULAI 2024)'!L196</f>
        <v>0</v>
      </c>
      <c r="V196" s="41">
        <f t="shared" si="22"/>
        <v>0</v>
      </c>
      <c r="W196" s="49">
        <f t="shared" si="23"/>
        <v>0</v>
      </c>
      <c r="X196" s="198"/>
      <c r="Y196" s="50"/>
    </row>
    <row r="197" spans="1:25">
      <c r="A197" s="23" t="str">
        <f>IF('TENAGA KERJA'!A196=0,"",'TENAGA KERJA'!A196)</f>
        <v/>
      </c>
      <c r="B197" s="28" t="str">
        <f>IF('TENAGA KERJA'!B196=0,"",'TENAGA KERJA'!B196)</f>
        <v/>
      </c>
      <c r="C197" s="23" t="str">
        <f>IF('TENAGA KERJA'!C196=0,"",'TENAGA KERJA'!C196)</f>
        <v/>
      </c>
      <c r="D197" s="23" t="str">
        <f>IF('TENAGA KERJA'!D196=0,"",'TENAGA KERJA'!D196)</f>
        <v/>
      </c>
      <c r="E197" s="23" t="str">
        <f>IF('TENAGA KERJA'!E196=0,"",'TENAGA KERJA'!E196)</f>
        <v/>
      </c>
      <c r="F197" s="39">
        <f>'TENAGA KERJA'!K196</f>
        <v>0</v>
      </c>
      <c r="G197" s="40">
        <f>'TENAGA KERJA'!L196</f>
        <v>0</v>
      </c>
      <c r="H197" s="40">
        <f>'TENAGA KERJA'!M196</f>
        <v>0</v>
      </c>
      <c r="I197" s="39">
        <f>'TENAGA KERJA'!N196</f>
        <v>0</v>
      </c>
      <c r="J197" s="39">
        <f t="shared" ref="J197:J210" si="24">SUM(F197:I197)</f>
        <v>0</v>
      </c>
      <c r="K197" s="39">
        <f>'BPJS TK'!D197</f>
        <v>0</v>
      </c>
      <c r="L197" s="39">
        <f>'BPJS TK'!E197</f>
        <v>0</v>
      </c>
      <c r="M197" s="39">
        <f>'BPJS TK'!F197</f>
        <v>0</v>
      </c>
      <c r="N197" s="39">
        <f>'BPJS TK'!H197</f>
        <v>0</v>
      </c>
      <c r="O197" s="39">
        <f>'BPJS KES'!D197</f>
        <v>0</v>
      </c>
      <c r="P197" s="39">
        <f t="shared" ref="P197:P210" si="25">SUM(K197:O197)</f>
        <v>0</v>
      </c>
      <c r="Q197" s="39">
        <f t="shared" ref="Q197:Q210" si="26">J197+P197</f>
        <v>0</v>
      </c>
      <c r="R197" s="39">
        <f>'BPJS TK'!G197</f>
        <v>0</v>
      </c>
      <c r="S197" s="39">
        <f>'BPJS TK'!I197</f>
        <v>0</v>
      </c>
      <c r="T197" s="39">
        <f>'BPJS KES'!E197</f>
        <v>0</v>
      </c>
      <c r="U197" s="40">
        <f>'PPH PSL 21 - GROSS (MULAI 2024)'!L197</f>
        <v>0</v>
      </c>
      <c r="V197" s="41">
        <f t="shared" ref="V197:V210" si="27">SUM(R197:U197)</f>
        <v>0</v>
      </c>
      <c r="W197" s="49">
        <f t="shared" si="23"/>
        <v>0</v>
      </c>
      <c r="Y197" s="52"/>
    </row>
    <row r="198" spans="1:25">
      <c r="A198" s="23" t="str">
        <f>IF('TENAGA KERJA'!A197=0,"",'TENAGA KERJA'!A197)</f>
        <v/>
      </c>
      <c r="B198" s="28" t="str">
        <f>IF('TENAGA KERJA'!B197=0,"",'TENAGA KERJA'!B197)</f>
        <v/>
      </c>
      <c r="C198" s="23" t="str">
        <f>IF('TENAGA KERJA'!C197=0,"",'TENAGA KERJA'!C197)</f>
        <v/>
      </c>
      <c r="D198" s="23" t="str">
        <f>IF('TENAGA KERJA'!D197=0,"",'TENAGA KERJA'!D197)</f>
        <v/>
      </c>
      <c r="E198" s="23" t="str">
        <f>IF('TENAGA KERJA'!E197=0,"",'TENAGA KERJA'!E197)</f>
        <v/>
      </c>
      <c r="F198" s="39">
        <f>'TENAGA KERJA'!K197</f>
        <v>0</v>
      </c>
      <c r="G198" s="40">
        <f>'TENAGA KERJA'!L197</f>
        <v>0</v>
      </c>
      <c r="H198" s="40">
        <f>'TENAGA KERJA'!M197</f>
        <v>0</v>
      </c>
      <c r="I198" s="39">
        <f>'TENAGA KERJA'!N197</f>
        <v>0</v>
      </c>
      <c r="J198" s="39">
        <f t="shared" si="24"/>
        <v>0</v>
      </c>
      <c r="K198" s="39">
        <f>'BPJS TK'!D198</f>
        <v>0</v>
      </c>
      <c r="L198" s="39">
        <f>'BPJS TK'!E198</f>
        <v>0</v>
      </c>
      <c r="M198" s="39">
        <f>'BPJS TK'!F198</f>
        <v>0</v>
      </c>
      <c r="N198" s="39">
        <f>'BPJS TK'!H198</f>
        <v>0</v>
      </c>
      <c r="O198" s="39">
        <f>'BPJS KES'!D198</f>
        <v>0</v>
      </c>
      <c r="P198" s="39">
        <f t="shared" si="25"/>
        <v>0</v>
      </c>
      <c r="Q198" s="39">
        <f t="shared" si="26"/>
        <v>0</v>
      </c>
      <c r="R198" s="39">
        <f>'BPJS TK'!G198</f>
        <v>0</v>
      </c>
      <c r="S198" s="39">
        <f>'BPJS TK'!I198</f>
        <v>0</v>
      </c>
      <c r="T198" s="39">
        <f>'BPJS KES'!E198</f>
        <v>0</v>
      </c>
      <c r="U198" s="40">
        <f>'PPH PSL 21 - GROSS (MULAI 2024)'!L198</f>
        <v>0</v>
      </c>
      <c r="V198" s="41">
        <f t="shared" si="27"/>
        <v>0</v>
      </c>
      <c r="W198" s="49">
        <f t="shared" si="23"/>
        <v>0</v>
      </c>
    </row>
    <row r="199" spans="1:25">
      <c r="A199" s="23" t="str">
        <f>IF('TENAGA KERJA'!A198=0,"",'TENAGA KERJA'!A198)</f>
        <v/>
      </c>
      <c r="B199" s="28" t="str">
        <f>IF('TENAGA KERJA'!B198=0,"",'TENAGA KERJA'!B198)</f>
        <v/>
      </c>
      <c r="C199" s="23" t="str">
        <f>IF('TENAGA KERJA'!C198=0,"",'TENAGA KERJA'!C198)</f>
        <v/>
      </c>
      <c r="D199" s="23" t="str">
        <f>IF('TENAGA KERJA'!D198=0,"",'TENAGA KERJA'!D198)</f>
        <v/>
      </c>
      <c r="E199" s="23" t="str">
        <f>IF('TENAGA KERJA'!E198=0,"",'TENAGA KERJA'!E198)</f>
        <v/>
      </c>
      <c r="F199" s="39">
        <f>'TENAGA KERJA'!K198</f>
        <v>0</v>
      </c>
      <c r="G199" s="40">
        <f>'TENAGA KERJA'!L198</f>
        <v>0</v>
      </c>
      <c r="H199" s="40">
        <f>'TENAGA KERJA'!M198</f>
        <v>0</v>
      </c>
      <c r="I199" s="39">
        <f>'TENAGA KERJA'!N198</f>
        <v>0</v>
      </c>
      <c r="J199" s="39">
        <f t="shared" si="24"/>
        <v>0</v>
      </c>
      <c r="K199" s="39">
        <f>'BPJS TK'!D199</f>
        <v>0</v>
      </c>
      <c r="L199" s="39">
        <f>'BPJS TK'!E199</f>
        <v>0</v>
      </c>
      <c r="M199" s="39">
        <f>'BPJS TK'!F199</f>
        <v>0</v>
      </c>
      <c r="N199" s="39">
        <f>'BPJS TK'!H199</f>
        <v>0</v>
      </c>
      <c r="O199" s="39">
        <f>'BPJS KES'!D199</f>
        <v>0</v>
      </c>
      <c r="P199" s="39">
        <f t="shared" si="25"/>
        <v>0</v>
      </c>
      <c r="Q199" s="39">
        <f t="shared" si="26"/>
        <v>0</v>
      </c>
      <c r="R199" s="39">
        <f>'BPJS TK'!G199</f>
        <v>0</v>
      </c>
      <c r="S199" s="39">
        <f>'BPJS TK'!I199</f>
        <v>0</v>
      </c>
      <c r="T199" s="39">
        <f>'BPJS KES'!E199</f>
        <v>0</v>
      </c>
      <c r="U199" s="40">
        <f>'PPH PSL 21 - GROSS (MULAI 2024)'!L199</f>
        <v>0</v>
      </c>
      <c r="V199" s="41">
        <f t="shared" si="27"/>
        <v>0</v>
      </c>
      <c r="W199" s="49">
        <f t="shared" si="23"/>
        <v>0</v>
      </c>
    </row>
    <row r="200" spans="1:25">
      <c r="A200" s="23" t="str">
        <f>IF('TENAGA KERJA'!A199=0,"",'TENAGA KERJA'!A199)</f>
        <v/>
      </c>
      <c r="B200" s="28" t="str">
        <f>IF('TENAGA KERJA'!B199=0,"",'TENAGA KERJA'!B199)</f>
        <v/>
      </c>
      <c r="C200" s="23" t="str">
        <f>IF('TENAGA KERJA'!C199=0,"",'TENAGA KERJA'!C199)</f>
        <v/>
      </c>
      <c r="D200" s="23" t="str">
        <f>IF('TENAGA KERJA'!D199=0,"",'TENAGA KERJA'!D199)</f>
        <v/>
      </c>
      <c r="E200" s="23" t="str">
        <f>IF('TENAGA KERJA'!E199=0,"",'TENAGA KERJA'!E199)</f>
        <v/>
      </c>
      <c r="F200" s="39">
        <f>'TENAGA KERJA'!K199</f>
        <v>0</v>
      </c>
      <c r="G200" s="40">
        <f>'TENAGA KERJA'!L199</f>
        <v>0</v>
      </c>
      <c r="H200" s="40">
        <f>'TENAGA KERJA'!M199</f>
        <v>0</v>
      </c>
      <c r="I200" s="39">
        <f>'TENAGA KERJA'!N199</f>
        <v>0</v>
      </c>
      <c r="J200" s="39">
        <f t="shared" si="24"/>
        <v>0</v>
      </c>
      <c r="K200" s="39">
        <f>'BPJS TK'!D200</f>
        <v>0</v>
      </c>
      <c r="L200" s="39">
        <f>'BPJS TK'!E200</f>
        <v>0</v>
      </c>
      <c r="M200" s="39">
        <f>'BPJS TK'!F200</f>
        <v>0</v>
      </c>
      <c r="N200" s="39">
        <f>'BPJS TK'!H200</f>
        <v>0</v>
      </c>
      <c r="O200" s="39">
        <f>'BPJS KES'!D200</f>
        <v>0</v>
      </c>
      <c r="P200" s="39">
        <f t="shared" si="25"/>
        <v>0</v>
      </c>
      <c r="Q200" s="39">
        <f t="shared" si="26"/>
        <v>0</v>
      </c>
      <c r="R200" s="39">
        <f>'BPJS TK'!G200</f>
        <v>0</v>
      </c>
      <c r="S200" s="39">
        <f>'BPJS TK'!I200</f>
        <v>0</v>
      </c>
      <c r="T200" s="39">
        <f>'BPJS KES'!E200</f>
        <v>0</v>
      </c>
      <c r="U200" s="40">
        <f>'PPH PSL 21 - GROSS (MULAI 2024)'!L200</f>
        <v>0</v>
      </c>
      <c r="V200" s="41">
        <f t="shared" si="27"/>
        <v>0</v>
      </c>
      <c r="W200" s="49">
        <f t="shared" si="23"/>
        <v>0</v>
      </c>
    </row>
    <row r="201" spans="1:25">
      <c r="A201" s="23" t="str">
        <f>IF('TENAGA KERJA'!A200=0,"",'TENAGA KERJA'!A200)</f>
        <v/>
      </c>
      <c r="B201" s="28" t="str">
        <f>IF('TENAGA KERJA'!B200=0,"",'TENAGA KERJA'!B200)</f>
        <v/>
      </c>
      <c r="C201" s="23" t="str">
        <f>IF('TENAGA KERJA'!C200=0,"",'TENAGA KERJA'!C200)</f>
        <v/>
      </c>
      <c r="D201" s="23" t="str">
        <f>IF('TENAGA KERJA'!D200=0,"",'TENAGA KERJA'!D200)</f>
        <v/>
      </c>
      <c r="E201" s="23" t="str">
        <f>IF('TENAGA KERJA'!E200=0,"",'TENAGA KERJA'!E200)</f>
        <v/>
      </c>
      <c r="F201" s="39">
        <f>'TENAGA KERJA'!K200</f>
        <v>0</v>
      </c>
      <c r="G201" s="40">
        <f>'TENAGA KERJA'!L200</f>
        <v>0</v>
      </c>
      <c r="H201" s="40">
        <f>'TENAGA KERJA'!M200</f>
        <v>0</v>
      </c>
      <c r="I201" s="39">
        <f>'TENAGA KERJA'!N200</f>
        <v>0</v>
      </c>
      <c r="J201" s="39">
        <f t="shared" si="24"/>
        <v>0</v>
      </c>
      <c r="K201" s="39">
        <f>'BPJS TK'!D201</f>
        <v>0</v>
      </c>
      <c r="L201" s="39">
        <f>'BPJS TK'!E201</f>
        <v>0</v>
      </c>
      <c r="M201" s="39">
        <f>'BPJS TK'!F201</f>
        <v>0</v>
      </c>
      <c r="N201" s="39">
        <f>'BPJS TK'!H201</f>
        <v>0</v>
      </c>
      <c r="O201" s="39">
        <f>'BPJS KES'!D201</f>
        <v>0</v>
      </c>
      <c r="P201" s="39">
        <f t="shared" si="25"/>
        <v>0</v>
      </c>
      <c r="Q201" s="39">
        <f t="shared" si="26"/>
        <v>0</v>
      </c>
      <c r="R201" s="39">
        <f>'BPJS TK'!G201</f>
        <v>0</v>
      </c>
      <c r="S201" s="39">
        <f>'BPJS TK'!I201</f>
        <v>0</v>
      </c>
      <c r="T201" s="39">
        <f>'BPJS KES'!E201</f>
        <v>0</v>
      </c>
      <c r="U201" s="40">
        <f>'PPH PSL 21 - GROSS (MULAI 2024)'!L201</f>
        <v>0</v>
      </c>
      <c r="V201" s="41">
        <f t="shared" si="27"/>
        <v>0</v>
      </c>
      <c r="W201" s="49">
        <f t="shared" si="23"/>
        <v>0</v>
      </c>
    </row>
    <row r="202" spans="1:25">
      <c r="A202" s="23" t="str">
        <f>IF('TENAGA KERJA'!A201=0,"",'TENAGA KERJA'!A201)</f>
        <v/>
      </c>
      <c r="B202" s="28" t="str">
        <f>IF('TENAGA KERJA'!B201=0,"",'TENAGA KERJA'!B201)</f>
        <v/>
      </c>
      <c r="C202" s="23" t="str">
        <f>IF('TENAGA KERJA'!C201=0,"",'TENAGA KERJA'!C201)</f>
        <v/>
      </c>
      <c r="D202" s="23" t="str">
        <f>IF('TENAGA KERJA'!D201=0,"",'TENAGA KERJA'!D201)</f>
        <v/>
      </c>
      <c r="E202" s="23" t="str">
        <f>IF('TENAGA KERJA'!E201=0,"",'TENAGA KERJA'!E201)</f>
        <v/>
      </c>
      <c r="F202" s="39">
        <f>'TENAGA KERJA'!K201</f>
        <v>0</v>
      </c>
      <c r="G202" s="40">
        <f>'TENAGA KERJA'!L201</f>
        <v>0</v>
      </c>
      <c r="H202" s="40">
        <f>'TENAGA KERJA'!M201</f>
        <v>0</v>
      </c>
      <c r="I202" s="39">
        <f>'TENAGA KERJA'!N201</f>
        <v>0</v>
      </c>
      <c r="J202" s="39">
        <f t="shared" si="24"/>
        <v>0</v>
      </c>
      <c r="K202" s="39">
        <f>'BPJS TK'!D202</f>
        <v>0</v>
      </c>
      <c r="L202" s="39">
        <f>'BPJS TK'!E202</f>
        <v>0</v>
      </c>
      <c r="M202" s="39">
        <f>'BPJS TK'!F202</f>
        <v>0</v>
      </c>
      <c r="N202" s="39">
        <f>'BPJS TK'!H202</f>
        <v>0</v>
      </c>
      <c r="O202" s="39">
        <f>'BPJS KES'!D202</f>
        <v>0</v>
      </c>
      <c r="P202" s="39">
        <f t="shared" si="25"/>
        <v>0</v>
      </c>
      <c r="Q202" s="39">
        <f t="shared" si="26"/>
        <v>0</v>
      </c>
      <c r="R202" s="39">
        <f>'BPJS TK'!G202</f>
        <v>0</v>
      </c>
      <c r="S202" s="39">
        <f>'BPJS TK'!I202</f>
        <v>0</v>
      </c>
      <c r="T202" s="39">
        <f>'BPJS KES'!E202</f>
        <v>0</v>
      </c>
      <c r="U202" s="40">
        <f>'PPH PSL 21 - GROSS (MULAI 2024)'!L202</f>
        <v>0</v>
      </c>
      <c r="V202" s="41">
        <f t="shared" si="27"/>
        <v>0</v>
      </c>
      <c r="W202" s="49">
        <f t="shared" si="23"/>
        <v>0</v>
      </c>
    </row>
    <row r="203" spans="1:25">
      <c r="A203" s="23" t="str">
        <f>IF('TENAGA KERJA'!A202=0,"",'TENAGA KERJA'!A202)</f>
        <v/>
      </c>
      <c r="B203" s="28" t="str">
        <f>IF('TENAGA KERJA'!B202=0,"",'TENAGA KERJA'!B202)</f>
        <v/>
      </c>
      <c r="C203" s="23" t="str">
        <f>IF('TENAGA KERJA'!C202=0,"",'TENAGA KERJA'!C202)</f>
        <v/>
      </c>
      <c r="D203" s="23" t="str">
        <f>IF('TENAGA KERJA'!D202=0,"",'TENAGA KERJA'!D202)</f>
        <v/>
      </c>
      <c r="E203" s="23" t="str">
        <f>IF('TENAGA KERJA'!E202=0,"",'TENAGA KERJA'!E202)</f>
        <v/>
      </c>
      <c r="F203" s="39">
        <f>'TENAGA KERJA'!K202</f>
        <v>0</v>
      </c>
      <c r="G203" s="40">
        <f>'TENAGA KERJA'!L202</f>
        <v>0</v>
      </c>
      <c r="H203" s="40">
        <f>'TENAGA KERJA'!M202</f>
        <v>0</v>
      </c>
      <c r="I203" s="39">
        <f>'TENAGA KERJA'!N202</f>
        <v>0</v>
      </c>
      <c r="J203" s="39">
        <f t="shared" si="24"/>
        <v>0</v>
      </c>
      <c r="K203" s="39">
        <f>'BPJS TK'!D203</f>
        <v>0</v>
      </c>
      <c r="L203" s="39">
        <f>'BPJS TK'!E203</f>
        <v>0</v>
      </c>
      <c r="M203" s="39">
        <f>'BPJS TK'!F203</f>
        <v>0</v>
      </c>
      <c r="N203" s="39">
        <f>'BPJS TK'!H203</f>
        <v>0</v>
      </c>
      <c r="O203" s="39">
        <f>'BPJS KES'!D203</f>
        <v>0</v>
      </c>
      <c r="P203" s="39">
        <f t="shared" si="25"/>
        <v>0</v>
      </c>
      <c r="Q203" s="39">
        <f t="shared" si="26"/>
        <v>0</v>
      </c>
      <c r="R203" s="39">
        <f>'BPJS TK'!G203</f>
        <v>0</v>
      </c>
      <c r="S203" s="39">
        <f>'BPJS TK'!I203</f>
        <v>0</v>
      </c>
      <c r="T203" s="39">
        <f>'BPJS KES'!E203</f>
        <v>0</v>
      </c>
      <c r="U203" s="40">
        <f>'PPH PSL 21 - GROSS (MULAI 2024)'!L203</f>
        <v>0</v>
      </c>
      <c r="V203" s="41">
        <f t="shared" si="27"/>
        <v>0</v>
      </c>
      <c r="W203" s="49">
        <f t="shared" si="23"/>
        <v>0</v>
      </c>
    </row>
    <row r="204" spans="1:25">
      <c r="A204" s="23" t="str">
        <f>IF('TENAGA KERJA'!A203=0,"",'TENAGA KERJA'!A203)</f>
        <v/>
      </c>
      <c r="B204" s="28" t="str">
        <f>IF('TENAGA KERJA'!B203=0,"",'TENAGA KERJA'!B203)</f>
        <v/>
      </c>
      <c r="C204" s="23" t="str">
        <f>IF('TENAGA KERJA'!C203=0,"",'TENAGA KERJA'!C203)</f>
        <v/>
      </c>
      <c r="D204" s="23" t="str">
        <f>IF('TENAGA KERJA'!D203=0,"",'TENAGA KERJA'!D203)</f>
        <v/>
      </c>
      <c r="E204" s="23" t="str">
        <f>IF('TENAGA KERJA'!E203=0,"",'TENAGA KERJA'!E203)</f>
        <v/>
      </c>
      <c r="F204" s="39">
        <f>'TENAGA KERJA'!K203</f>
        <v>0</v>
      </c>
      <c r="G204" s="40">
        <f>'TENAGA KERJA'!L203</f>
        <v>0</v>
      </c>
      <c r="H204" s="40">
        <f>'TENAGA KERJA'!M203</f>
        <v>0</v>
      </c>
      <c r="I204" s="39">
        <f>'TENAGA KERJA'!N203</f>
        <v>0</v>
      </c>
      <c r="J204" s="39">
        <f t="shared" si="24"/>
        <v>0</v>
      </c>
      <c r="K204" s="39">
        <f>'BPJS TK'!D204</f>
        <v>0</v>
      </c>
      <c r="L204" s="39">
        <f>'BPJS TK'!E204</f>
        <v>0</v>
      </c>
      <c r="M204" s="39">
        <f>'BPJS TK'!F204</f>
        <v>0</v>
      </c>
      <c r="N204" s="39">
        <f>'BPJS TK'!H204</f>
        <v>0</v>
      </c>
      <c r="O204" s="39">
        <f>'BPJS KES'!D204</f>
        <v>0</v>
      </c>
      <c r="P204" s="39">
        <f t="shared" si="25"/>
        <v>0</v>
      </c>
      <c r="Q204" s="39">
        <f t="shared" si="26"/>
        <v>0</v>
      </c>
      <c r="R204" s="39">
        <f>'BPJS TK'!G204</f>
        <v>0</v>
      </c>
      <c r="S204" s="39">
        <f>'BPJS TK'!I204</f>
        <v>0</v>
      </c>
      <c r="T204" s="39">
        <f>'BPJS KES'!E204</f>
        <v>0</v>
      </c>
      <c r="U204" s="40">
        <f>'PPH PSL 21 - GROSS (MULAI 2024)'!L204</f>
        <v>0</v>
      </c>
      <c r="V204" s="41">
        <f t="shared" si="27"/>
        <v>0</v>
      </c>
      <c r="W204" s="49">
        <f t="shared" si="23"/>
        <v>0</v>
      </c>
    </row>
    <row r="205" spans="1:25">
      <c r="A205" s="23" t="str">
        <f>IF('TENAGA KERJA'!A204=0,"",'TENAGA KERJA'!A204)</f>
        <v/>
      </c>
      <c r="B205" s="28" t="str">
        <f>IF('TENAGA KERJA'!B204=0,"",'TENAGA KERJA'!B204)</f>
        <v/>
      </c>
      <c r="C205" s="23" t="str">
        <f>IF('TENAGA KERJA'!C204=0,"",'TENAGA KERJA'!C204)</f>
        <v/>
      </c>
      <c r="D205" s="23" t="str">
        <f>IF('TENAGA KERJA'!D204=0,"",'TENAGA KERJA'!D204)</f>
        <v/>
      </c>
      <c r="E205" s="23" t="str">
        <f>IF('TENAGA KERJA'!E204=0,"",'TENAGA KERJA'!E204)</f>
        <v/>
      </c>
      <c r="F205" s="39">
        <f>'TENAGA KERJA'!K204</f>
        <v>0</v>
      </c>
      <c r="G205" s="40">
        <f>'TENAGA KERJA'!L204</f>
        <v>0</v>
      </c>
      <c r="H205" s="40">
        <f>'TENAGA KERJA'!M204</f>
        <v>0</v>
      </c>
      <c r="I205" s="39">
        <f>'TENAGA KERJA'!N204</f>
        <v>0</v>
      </c>
      <c r="J205" s="39">
        <f t="shared" si="24"/>
        <v>0</v>
      </c>
      <c r="K205" s="39">
        <f>'BPJS TK'!D205</f>
        <v>0</v>
      </c>
      <c r="L205" s="39">
        <f>'BPJS TK'!E205</f>
        <v>0</v>
      </c>
      <c r="M205" s="39">
        <f>'BPJS TK'!F205</f>
        <v>0</v>
      </c>
      <c r="N205" s="39">
        <f>'BPJS TK'!H205</f>
        <v>0</v>
      </c>
      <c r="O205" s="39">
        <f>'BPJS KES'!D205</f>
        <v>0</v>
      </c>
      <c r="P205" s="39">
        <f t="shared" si="25"/>
        <v>0</v>
      </c>
      <c r="Q205" s="39">
        <f t="shared" si="26"/>
        <v>0</v>
      </c>
      <c r="R205" s="39">
        <f>'BPJS TK'!G205</f>
        <v>0</v>
      </c>
      <c r="S205" s="39">
        <f>'BPJS TK'!I205</f>
        <v>0</v>
      </c>
      <c r="T205" s="39">
        <f>'BPJS KES'!E205</f>
        <v>0</v>
      </c>
      <c r="U205" s="40">
        <f>'PPH PSL 21 - GROSS (MULAI 2024)'!L205</f>
        <v>0</v>
      </c>
      <c r="V205" s="41">
        <f t="shared" si="27"/>
        <v>0</v>
      </c>
      <c r="W205" s="49">
        <f t="shared" si="23"/>
        <v>0</v>
      </c>
    </row>
    <row r="206" spans="1:25">
      <c r="A206" s="23" t="str">
        <f>IF('TENAGA KERJA'!A205=0,"",'TENAGA KERJA'!A205)</f>
        <v/>
      </c>
      <c r="B206" s="28" t="str">
        <f>IF('TENAGA KERJA'!B205=0,"",'TENAGA KERJA'!B205)</f>
        <v/>
      </c>
      <c r="C206" s="23" t="str">
        <f>IF('TENAGA KERJA'!C205=0,"",'TENAGA KERJA'!C205)</f>
        <v/>
      </c>
      <c r="D206" s="23" t="str">
        <f>IF('TENAGA KERJA'!D205=0,"",'TENAGA KERJA'!D205)</f>
        <v/>
      </c>
      <c r="E206" s="23" t="str">
        <f>IF('TENAGA KERJA'!E205=0,"",'TENAGA KERJA'!E205)</f>
        <v/>
      </c>
      <c r="F206" s="39">
        <f>'TENAGA KERJA'!K205</f>
        <v>0</v>
      </c>
      <c r="G206" s="40">
        <f>'TENAGA KERJA'!L205</f>
        <v>0</v>
      </c>
      <c r="H206" s="40">
        <f>'TENAGA KERJA'!M205</f>
        <v>0</v>
      </c>
      <c r="I206" s="39">
        <f>'TENAGA KERJA'!N205</f>
        <v>0</v>
      </c>
      <c r="J206" s="39">
        <f t="shared" si="24"/>
        <v>0</v>
      </c>
      <c r="K206" s="39">
        <f>'BPJS TK'!D206</f>
        <v>0</v>
      </c>
      <c r="L206" s="39">
        <f>'BPJS TK'!E206</f>
        <v>0</v>
      </c>
      <c r="M206" s="39">
        <f>'BPJS TK'!F206</f>
        <v>0</v>
      </c>
      <c r="N206" s="39">
        <f>'BPJS TK'!H206</f>
        <v>0</v>
      </c>
      <c r="O206" s="39">
        <f>'BPJS KES'!D206</f>
        <v>0</v>
      </c>
      <c r="P206" s="39">
        <f t="shared" si="25"/>
        <v>0</v>
      </c>
      <c r="Q206" s="39">
        <f t="shared" si="26"/>
        <v>0</v>
      </c>
      <c r="R206" s="39">
        <f>'BPJS TK'!G206</f>
        <v>0</v>
      </c>
      <c r="S206" s="39">
        <f>'BPJS TK'!I206</f>
        <v>0</v>
      </c>
      <c r="T206" s="39">
        <f>'BPJS KES'!E206</f>
        <v>0</v>
      </c>
      <c r="U206" s="40">
        <f>'PPH PSL 21 - GROSS (MULAI 2024)'!L206</f>
        <v>0</v>
      </c>
      <c r="V206" s="41">
        <f t="shared" si="27"/>
        <v>0</v>
      </c>
      <c r="W206" s="49">
        <f t="shared" si="23"/>
        <v>0</v>
      </c>
    </row>
    <row r="207" spans="1:25">
      <c r="A207" s="23" t="str">
        <f>IF('TENAGA KERJA'!A206=0,"",'TENAGA KERJA'!A206)</f>
        <v/>
      </c>
      <c r="B207" s="28" t="str">
        <f>IF('TENAGA KERJA'!B206=0,"",'TENAGA KERJA'!B206)</f>
        <v/>
      </c>
      <c r="C207" s="23" t="str">
        <f>IF('TENAGA KERJA'!C206=0,"",'TENAGA KERJA'!C206)</f>
        <v/>
      </c>
      <c r="D207" s="23" t="str">
        <f>IF('TENAGA KERJA'!D206=0,"",'TENAGA KERJA'!D206)</f>
        <v/>
      </c>
      <c r="E207" s="23" t="str">
        <f>IF('TENAGA KERJA'!E206=0,"",'TENAGA KERJA'!E206)</f>
        <v/>
      </c>
      <c r="F207" s="39">
        <f>'TENAGA KERJA'!K206</f>
        <v>0</v>
      </c>
      <c r="G207" s="40">
        <f>'TENAGA KERJA'!L206</f>
        <v>0</v>
      </c>
      <c r="H207" s="40">
        <f>'TENAGA KERJA'!M206</f>
        <v>0</v>
      </c>
      <c r="I207" s="39">
        <f>'TENAGA KERJA'!N206</f>
        <v>0</v>
      </c>
      <c r="J207" s="39">
        <f t="shared" si="24"/>
        <v>0</v>
      </c>
      <c r="K207" s="39">
        <f>'BPJS TK'!D207</f>
        <v>0</v>
      </c>
      <c r="L207" s="39">
        <f>'BPJS TK'!E207</f>
        <v>0</v>
      </c>
      <c r="M207" s="39">
        <f>'BPJS TK'!F207</f>
        <v>0</v>
      </c>
      <c r="N207" s="39">
        <f>'BPJS TK'!H207</f>
        <v>0</v>
      </c>
      <c r="O207" s="39">
        <f>'BPJS KES'!D207</f>
        <v>0</v>
      </c>
      <c r="P207" s="39">
        <f t="shared" si="25"/>
        <v>0</v>
      </c>
      <c r="Q207" s="39">
        <f t="shared" si="26"/>
        <v>0</v>
      </c>
      <c r="R207" s="39">
        <f>'BPJS TK'!G207</f>
        <v>0</v>
      </c>
      <c r="S207" s="39">
        <f>'BPJS TK'!I207</f>
        <v>0</v>
      </c>
      <c r="T207" s="39">
        <f>'BPJS KES'!E207</f>
        <v>0</v>
      </c>
      <c r="U207" s="40">
        <f>'PPH PSL 21 - GROSS (MULAI 2024)'!L207</f>
        <v>0</v>
      </c>
      <c r="V207" s="41">
        <f t="shared" si="27"/>
        <v>0</v>
      </c>
      <c r="W207" s="49">
        <f t="shared" si="23"/>
        <v>0</v>
      </c>
    </row>
    <row r="208" spans="1:25">
      <c r="A208" s="23" t="str">
        <f>IF('TENAGA KERJA'!A207=0,"",'TENAGA KERJA'!A207)</f>
        <v/>
      </c>
      <c r="B208" s="28" t="str">
        <f>IF('TENAGA KERJA'!B207=0,"",'TENAGA KERJA'!B207)</f>
        <v/>
      </c>
      <c r="C208" s="23" t="str">
        <f>IF('TENAGA KERJA'!C207=0,"",'TENAGA KERJA'!C207)</f>
        <v/>
      </c>
      <c r="D208" s="23" t="str">
        <f>IF('TENAGA KERJA'!D207=0,"",'TENAGA KERJA'!D207)</f>
        <v/>
      </c>
      <c r="E208" s="23" t="str">
        <f>IF('TENAGA KERJA'!E207=0,"",'TENAGA KERJA'!E207)</f>
        <v/>
      </c>
      <c r="F208" s="39">
        <f>'TENAGA KERJA'!K207</f>
        <v>0</v>
      </c>
      <c r="G208" s="40">
        <f>'TENAGA KERJA'!L207</f>
        <v>0</v>
      </c>
      <c r="H208" s="40">
        <f>'TENAGA KERJA'!M207</f>
        <v>0</v>
      </c>
      <c r="I208" s="39">
        <f>'TENAGA KERJA'!N207</f>
        <v>0</v>
      </c>
      <c r="J208" s="39">
        <f t="shared" si="24"/>
        <v>0</v>
      </c>
      <c r="K208" s="39">
        <f>'BPJS TK'!D208</f>
        <v>0</v>
      </c>
      <c r="L208" s="39">
        <f>'BPJS TK'!E208</f>
        <v>0</v>
      </c>
      <c r="M208" s="39">
        <f>'BPJS TK'!F208</f>
        <v>0</v>
      </c>
      <c r="N208" s="39">
        <f>'BPJS TK'!H208</f>
        <v>0</v>
      </c>
      <c r="O208" s="39">
        <f>'BPJS KES'!D208</f>
        <v>0</v>
      </c>
      <c r="P208" s="39">
        <f t="shared" si="25"/>
        <v>0</v>
      </c>
      <c r="Q208" s="39">
        <f t="shared" si="26"/>
        <v>0</v>
      </c>
      <c r="R208" s="39">
        <f>'BPJS TK'!G208</f>
        <v>0</v>
      </c>
      <c r="S208" s="39">
        <f>'BPJS TK'!I208</f>
        <v>0</v>
      </c>
      <c r="T208" s="39">
        <f>'BPJS KES'!E208</f>
        <v>0</v>
      </c>
      <c r="U208" s="40">
        <f>'PPH PSL 21 - GROSS (MULAI 2024)'!L208</f>
        <v>0</v>
      </c>
      <c r="V208" s="41">
        <f t="shared" si="27"/>
        <v>0</v>
      </c>
      <c r="W208" s="49">
        <f t="shared" si="23"/>
        <v>0</v>
      </c>
    </row>
    <row r="209" spans="1:26">
      <c r="A209" s="23" t="str">
        <f>IF('TENAGA KERJA'!A208=0,"",'TENAGA KERJA'!A208)</f>
        <v/>
      </c>
      <c r="B209" s="28" t="str">
        <f>IF('TENAGA KERJA'!B208=0,"",'TENAGA KERJA'!B208)</f>
        <v/>
      </c>
      <c r="C209" s="23" t="str">
        <f>IF('TENAGA KERJA'!C208=0,"",'TENAGA KERJA'!C208)</f>
        <v/>
      </c>
      <c r="D209" s="23" t="str">
        <f>IF('TENAGA KERJA'!D208=0,"",'TENAGA KERJA'!D208)</f>
        <v/>
      </c>
      <c r="E209" s="23" t="str">
        <f>IF('TENAGA KERJA'!E208=0,"",'TENAGA KERJA'!E208)</f>
        <v/>
      </c>
      <c r="F209" s="39">
        <f>'TENAGA KERJA'!K208</f>
        <v>0</v>
      </c>
      <c r="G209" s="40">
        <f>'TENAGA KERJA'!L208</f>
        <v>0</v>
      </c>
      <c r="H209" s="40">
        <f>'TENAGA KERJA'!M208</f>
        <v>0</v>
      </c>
      <c r="I209" s="39">
        <f>'TENAGA KERJA'!N208</f>
        <v>0</v>
      </c>
      <c r="J209" s="39">
        <f t="shared" si="24"/>
        <v>0</v>
      </c>
      <c r="K209" s="39">
        <f>'BPJS TK'!D209</f>
        <v>0</v>
      </c>
      <c r="L209" s="39">
        <f>'BPJS TK'!E209</f>
        <v>0</v>
      </c>
      <c r="M209" s="39">
        <f>'BPJS TK'!F209</f>
        <v>0</v>
      </c>
      <c r="N209" s="39">
        <f>'BPJS TK'!H209</f>
        <v>0</v>
      </c>
      <c r="O209" s="39">
        <f>'BPJS KES'!D209</f>
        <v>0</v>
      </c>
      <c r="P209" s="39">
        <f t="shared" si="25"/>
        <v>0</v>
      </c>
      <c r="Q209" s="39">
        <f t="shared" si="26"/>
        <v>0</v>
      </c>
      <c r="R209" s="39">
        <f>'BPJS TK'!G209</f>
        <v>0</v>
      </c>
      <c r="S209" s="39">
        <f>'BPJS TK'!I209</f>
        <v>0</v>
      </c>
      <c r="T209" s="39">
        <f>'BPJS KES'!E209</f>
        <v>0</v>
      </c>
      <c r="U209" s="40">
        <f>'PPH PSL 21 - GROSS (MULAI 2024)'!L209</f>
        <v>0</v>
      </c>
      <c r="V209" s="41">
        <f t="shared" si="27"/>
        <v>0</v>
      </c>
      <c r="W209" s="49">
        <f t="shared" si="23"/>
        <v>0</v>
      </c>
    </row>
    <row r="210" spans="1:26">
      <c r="A210" s="23" t="str">
        <f>IF('TENAGA KERJA'!A209=0,"",'TENAGA KERJA'!A209)</f>
        <v/>
      </c>
      <c r="B210" s="28" t="str">
        <f>IF('TENAGA KERJA'!B209=0,"",'TENAGA KERJA'!B209)</f>
        <v/>
      </c>
      <c r="C210" s="23" t="str">
        <f>IF('TENAGA KERJA'!C209=0,"",'TENAGA KERJA'!C209)</f>
        <v/>
      </c>
      <c r="D210" s="23" t="str">
        <f>IF('TENAGA KERJA'!D209=0,"",'TENAGA KERJA'!D209)</f>
        <v/>
      </c>
      <c r="E210" s="23" t="str">
        <f>IF('TENAGA KERJA'!E209=0,"",'TENAGA KERJA'!E209)</f>
        <v/>
      </c>
      <c r="F210" s="39">
        <f>'TENAGA KERJA'!K209</f>
        <v>0</v>
      </c>
      <c r="G210" s="40">
        <f>'TENAGA KERJA'!L209</f>
        <v>0</v>
      </c>
      <c r="H210" s="40">
        <f>'TENAGA KERJA'!M209</f>
        <v>0</v>
      </c>
      <c r="I210" s="39">
        <f>'TENAGA KERJA'!N209</f>
        <v>0</v>
      </c>
      <c r="J210" s="39">
        <f t="shared" si="24"/>
        <v>0</v>
      </c>
      <c r="K210" s="39">
        <f>'BPJS TK'!D210</f>
        <v>0</v>
      </c>
      <c r="L210" s="39">
        <f>'BPJS TK'!E210</f>
        <v>0</v>
      </c>
      <c r="M210" s="39">
        <f>'BPJS TK'!F210</f>
        <v>0</v>
      </c>
      <c r="N210" s="39">
        <f>'BPJS TK'!H210</f>
        <v>0</v>
      </c>
      <c r="O210" s="39">
        <f>'BPJS KES'!D210</f>
        <v>0</v>
      </c>
      <c r="P210" s="39">
        <f t="shared" si="25"/>
        <v>0</v>
      </c>
      <c r="Q210" s="39">
        <f t="shared" si="26"/>
        <v>0</v>
      </c>
      <c r="R210" s="39">
        <f>'BPJS TK'!G210</f>
        <v>0</v>
      </c>
      <c r="S210" s="39">
        <f>'BPJS TK'!I210</f>
        <v>0</v>
      </c>
      <c r="T210" s="39">
        <f>'BPJS KES'!E210</f>
        <v>0</v>
      </c>
      <c r="U210" s="40">
        <f>'PPH PSL 21 - GROSS (MULAI 2024)'!L210</f>
        <v>0</v>
      </c>
      <c r="V210" s="41">
        <f t="shared" si="27"/>
        <v>0</v>
      </c>
      <c r="W210" s="49">
        <f t="shared" si="23"/>
        <v>0</v>
      </c>
      <c r="X210" s="199">
        <f>SUM(W188:W210)+W179+W182</f>
        <v>-90541.290000000008</v>
      </c>
    </row>
    <row r="211" spans="1:26">
      <c r="A211" s="210" t="str">
        <f>IF('TENAGA KERJA'!A211=0,"",'TENAGA KERJA'!A211)</f>
        <v/>
      </c>
      <c r="B211" s="211" t="str">
        <f>IF('TENAGA KERJA'!B211=0,"",'TENAGA KERJA'!B211)</f>
        <v/>
      </c>
      <c r="C211" s="210" t="str">
        <f>IF('TENAGA KERJA'!C211=0,"",'TENAGA KERJA'!C211)</f>
        <v/>
      </c>
      <c r="D211" s="210" t="str">
        <f>IF('TENAGA KERJA'!D211=0,"",'TENAGA KERJA'!D211)</f>
        <v/>
      </c>
      <c r="E211" s="210" t="str">
        <f>IF('TENAGA KERJA'!E211=0,"",'TENAGA KERJA'!E211)</f>
        <v/>
      </c>
      <c r="F211" s="214">
        <f>SUM(F3:F210)</f>
        <v>70149414</v>
      </c>
      <c r="G211" s="214">
        <f t="shared" ref="G211:W211" si="28">SUM(G3:G210)</f>
        <v>31460000</v>
      </c>
      <c r="H211" s="214">
        <f t="shared" si="28"/>
        <v>19282680.017341044</v>
      </c>
      <c r="I211" s="214">
        <f t="shared" si="28"/>
        <v>32950000</v>
      </c>
      <c r="J211" s="214">
        <f t="shared" si="28"/>
        <v>153842094.01734105</v>
      </c>
      <c r="K211" s="214">
        <f t="shared" si="28"/>
        <v>986987.70550000062</v>
      </c>
      <c r="L211" s="214">
        <f t="shared" si="28"/>
        <v>332692.48500000004</v>
      </c>
      <c r="M211" s="214">
        <f t="shared" si="28"/>
        <v>4103207.3150000004</v>
      </c>
      <c r="N211" s="214">
        <f t="shared" si="28"/>
        <v>0</v>
      </c>
      <c r="O211" s="214">
        <f t="shared" si="28"/>
        <v>4918297.4400000023</v>
      </c>
      <c r="P211" s="214">
        <f t="shared" si="28"/>
        <v>10341184.945500001</v>
      </c>
      <c r="Q211" s="214">
        <f t="shared" si="28"/>
        <v>164183278.96284094</v>
      </c>
      <c r="R211" s="214">
        <f t="shared" si="28"/>
        <v>2217949.9000000004</v>
      </c>
      <c r="S211" s="214">
        <f t="shared" si="28"/>
        <v>0</v>
      </c>
      <c r="T211" s="214">
        <f t="shared" si="28"/>
        <v>1229574.3600000006</v>
      </c>
      <c r="U211" s="214">
        <f t="shared" si="28"/>
        <v>1551423.5600787443</v>
      </c>
      <c r="V211" s="214">
        <f t="shared" si="28"/>
        <v>4998947.8200787455</v>
      </c>
      <c r="W211" s="214">
        <f t="shared" si="28"/>
        <v>148843146.19726226</v>
      </c>
      <c r="X211" s="199">
        <f>SUM(W188:W210)</f>
        <v>0</v>
      </c>
      <c r="Y211" s="50">
        <v>168250676.95950592</v>
      </c>
      <c r="Z211" s="52">
        <f>X211-Y211</f>
        <v>-168250676.95950592</v>
      </c>
    </row>
    <row r="213" spans="1:26">
      <c r="W213" s="42">
        <f>SUM(W3:W210)</f>
        <v>148843146.19726226</v>
      </c>
    </row>
  </sheetData>
  <mergeCells count="13">
    <mergeCell ref="W1:W2"/>
    <mergeCell ref="A1:A2"/>
    <mergeCell ref="B1:B2"/>
    <mergeCell ref="C1:C2"/>
    <mergeCell ref="D1:D2"/>
    <mergeCell ref="E1:E2"/>
    <mergeCell ref="F1:I1"/>
    <mergeCell ref="J1:J2"/>
    <mergeCell ref="K1:O1"/>
    <mergeCell ref="P1:P2"/>
    <mergeCell ref="Q1:Q2"/>
    <mergeCell ref="R1:U1"/>
    <mergeCell ref="V1:V2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55" fitToWidth="0" fitToHeight="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SETTING</vt:lpstr>
      <vt:lpstr>TER 2024</vt:lpstr>
      <vt:lpstr>TENAGA KERJA</vt:lpstr>
      <vt:lpstr>BPJS TK</vt:lpstr>
      <vt:lpstr>BPJS KES</vt:lpstr>
      <vt:lpstr>PPH PSL 21 - GROSS (MULAI 2024)</vt:lpstr>
      <vt:lpstr>RINCIAN GAJI - GROSS</vt:lpstr>
      <vt:lpstr>'BPJS KES'!Print_Area</vt:lpstr>
      <vt:lpstr>'BPJS TK'!Print_Area</vt:lpstr>
      <vt:lpstr>'PPH PSL 21 - GROSS (MULAI 2024)'!Print_Area</vt:lpstr>
      <vt:lpstr>'RINCIAN GAJI - GROSS'!Print_Area</vt:lpstr>
      <vt:lpstr>'TENAGA KERJA'!Print_Area</vt:lpstr>
      <vt:lpstr>'TER 2024'!Print_Area</vt:lpstr>
      <vt:lpstr>'BPJS KES'!Print_Titles</vt:lpstr>
      <vt:lpstr>'PPH PSL 21 - GROSS (MULAI 2024)'!Print_Titles</vt:lpstr>
      <vt:lpstr>'RINCIAN GAJI - GROSS'!Print_Titles</vt:lpstr>
      <vt:lpstr>'TER 2024'!Print_Titles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Nurtiyas</dc:creator>
  <cp:lastModifiedBy>Titi yulianti</cp:lastModifiedBy>
  <cp:lastPrinted>2026-07-24T09:16:37Z</cp:lastPrinted>
  <dcterms:created xsi:type="dcterms:W3CDTF">2020-08-27T14:58:16Z</dcterms:created>
  <dcterms:modified xsi:type="dcterms:W3CDTF">2026-09-30T06:13:58Z</dcterms:modified>
</cp:coreProperties>
</file>